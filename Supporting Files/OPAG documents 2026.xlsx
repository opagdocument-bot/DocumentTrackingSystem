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
    </mc:Choice>
  </mc:AlternateContent>
  <xr:revisionPtr revIDLastSave="0" documentId="8_{A2DF87A7-9292-42AB-9D98-C535FEC39EBA}" xr6:coauthVersionLast="47" xr6:coauthVersionMax="47" xr10:uidLastSave="{00000000-0000-0000-0000-000000000000}"/>
  <bookViews>
    <workbookView xWindow="-120" yWindow="-120" windowWidth="29040" windowHeight="15840" tabRatio="685" firstSheet="9" activeTab="9" xr2:uid="{610CAC4C-16FD-4F98-95A7-282E6A3AB072}"/>
  </bookViews>
  <sheets>
    <sheet name="OB SLIP 2026" sheetId="1" r:id="rId1"/>
    <sheet name="LEAVE 2026" sheetId="2" r:id="rId2"/>
    <sheet name="POST TRAVEL REPORT 2026" sheetId="4" r:id="rId3"/>
    <sheet name="TRAVEL ORDER 2026" sheetId="20" r:id="rId4"/>
    <sheet name="FUEL CHARGE-DRIVERS TRIP 2026" sheetId="5" r:id="rId5"/>
    <sheet name="PURCHASE REQUEST 2026" sheetId="6" r:id="rId6"/>
    <sheet name="OTHER DOCUMENTS 2026" sheetId="7" r:id="rId7"/>
    <sheet name="COMMUNICATION 2026" sheetId="18" r:id="rId8"/>
    <sheet name="REQUEST VEHICLE CAPITOL 2026" sheetId="8" r:id="rId9"/>
    <sheet name="OUTGOING" sheetId="19" r:id="rId10"/>
    <sheet name="TRANSMITTAL 2026" sheetId="10" r:id="rId11"/>
    <sheet name="ENDORSEMENT 2026" sheetId="11" r:id="rId12"/>
    <sheet name="Sheet2" sheetId="35" r:id="rId13"/>
    <sheet name="APADTC RESERVATION 2026" sheetId="13" r:id="rId14"/>
    <sheet name="APADTC RIS-PAR 2026" sheetId="14" r:id="rId15"/>
    <sheet name="PR(OBLIGATION REQUEST) 2026" sheetId="15" r:id="rId16"/>
    <sheet name="PROJECT PROPOSAL 2026" sheetId="21" r:id="rId17"/>
    <sheet name="INCOMING LETTER 2026" sheetId="16" r:id="rId18"/>
    <sheet name="OFFICE ORDER" sheetId="24" r:id="rId19"/>
    <sheet name="ISSUANCE SLIP" sheetId="23" r:id="rId20"/>
    <sheet name="ACCEPTANCE AND INSPECTION REPOR" sheetId="27" r:id="rId21"/>
    <sheet name="CANCELLED OBR" sheetId="28" r:id="rId22"/>
    <sheet name="OBR" sheetId="31" r:id="rId23"/>
    <sheet name="FUEL CONSUMPTION REPORT" sheetId="29" r:id="rId24"/>
    <sheet name="OUTGOING 2026" sheetId="32" r:id="rId25"/>
    <sheet name="Sheet1" sheetId="34"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9" i="32" l="1"/>
  <c r="J48" i="32"/>
  <c r="J47" i="32"/>
  <c r="J46" i="32"/>
  <c r="J45" i="32"/>
  <c r="J44" i="32"/>
  <c r="J49" i="16"/>
  <c r="J48" i="16"/>
  <c r="I28" i="19"/>
  <c r="I30" i="19"/>
  <c r="I29" i="19"/>
  <c r="I27" i="19"/>
  <c r="I26" i="19"/>
  <c r="H42" i="2" l="1"/>
  <c r="H41" i="2"/>
  <c r="I25" i="19"/>
  <c r="I20" i="19"/>
  <c r="I34" i="20"/>
  <c r="I33" i="20"/>
  <c r="I24" i="19"/>
  <c r="H40" i="2"/>
  <c r="H39" i="2"/>
  <c r="H38" i="2"/>
  <c r="J46" i="16"/>
  <c r="J47" i="16"/>
  <c r="I23" i="19"/>
  <c r="I22" i="19"/>
  <c r="K21" i="19"/>
  <c r="J21" i="19"/>
  <c r="I21" i="19"/>
  <c r="I19" i="19"/>
  <c r="J45" i="16"/>
  <c r="J44" i="16"/>
  <c r="I9" i="4"/>
  <c r="H3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Planning</author>
  </authors>
  <commentList>
    <comment ref="D277" authorId="0" shapeId="0" xr:uid="{BFE406F3-BD9D-4887-B99E-316B39357FE2}">
      <text>
        <r>
          <rPr>
            <b/>
            <sz val="9"/>
            <color indexed="81"/>
            <rFont val="Tahoma"/>
            <family val="2"/>
          </rPr>
          <t>Planning:</t>
        </r>
        <r>
          <rPr>
            <sz val="9"/>
            <color indexed="81"/>
            <rFont val="Tahoma"/>
            <family val="2"/>
          </rPr>
          <t xml:space="preserve">
</t>
        </r>
      </text>
    </comment>
  </commentList>
</comments>
</file>

<file path=xl/sharedStrings.xml><?xml version="1.0" encoding="utf-8"?>
<sst xmlns="http://schemas.openxmlformats.org/spreadsheetml/2006/main" count="9683" uniqueCount="4204">
  <si>
    <t>OB SLIP OPAg 2026</t>
  </si>
  <si>
    <t>DATE</t>
  </si>
  <si>
    <t>IN</t>
  </si>
  <si>
    <t>OUT</t>
  </si>
  <si>
    <t>NO.</t>
  </si>
  <si>
    <t>NAME</t>
  </si>
  <si>
    <t>DATE/TIME OF OB</t>
  </si>
  <si>
    <t>DESTINATION</t>
  </si>
  <si>
    <t>PURPOSE</t>
  </si>
  <si>
    <t>JARICA C. PADILLA</t>
  </si>
  <si>
    <t>APADTC CALABUANAN, BALER, AURORA</t>
  </si>
  <si>
    <t>ACCOUNTABLE</t>
  </si>
  <si>
    <t>TO ATTEND OPAG STAFF MEETING AND TO SUPERVISE MONITOR/VARIOUS ACTIVITIES AND PROJECTS IN THE CENTER</t>
  </si>
  <si>
    <t>MANUEL AMATORIO</t>
  </si>
  <si>
    <t>NELITA ABORDO</t>
  </si>
  <si>
    <t>DARWIN BAUTISTA</t>
  </si>
  <si>
    <t>ROMMEL PICART</t>
  </si>
  <si>
    <t>LEAH LOMBRES</t>
  </si>
  <si>
    <t>ANNA QUEEN CALIWAG</t>
  </si>
  <si>
    <t>LLOYD MARVIN SAN PEDRO</t>
  </si>
  <si>
    <t>LARAINE GINES</t>
  </si>
  <si>
    <t>CHRISTIAN MANUEL</t>
  </si>
  <si>
    <t>BILLY ALDRIN VENERACION</t>
  </si>
  <si>
    <t>JOCELYN CERON</t>
  </si>
  <si>
    <t>MARIA FATIMA BELEN</t>
  </si>
  <si>
    <t>AIRENE BELEN</t>
  </si>
  <si>
    <t>GRACE MAPINDAN</t>
  </si>
  <si>
    <t>ROSARIO MARIE URBANO</t>
  </si>
  <si>
    <t>ZORAIDA VELANO</t>
  </si>
  <si>
    <t>REYMAR MENDEZ</t>
  </si>
  <si>
    <t>ELEANOR MIANA</t>
  </si>
  <si>
    <t>LORENZO LEOVERAS</t>
  </si>
  <si>
    <t>SHEKINAH NORTEZ</t>
  </si>
  <si>
    <t>ALLYSA FAYE SORIANO</t>
  </si>
  <si>
    <t>01/072027</t>
  </si>
  <si>
    <t>GINA ENAJE</t>
  </si>
  <si>
    <t>NESTOR ALCANTARA</t>
  </si>
  <si>
    <t>01\06\2026</t>
  </si>
  <si>
    <t>01\02026</t>
  </si>
  <si>
    <t>ATTEND OPAG MANAGEMENT MEETING</t>
  </si>
  <si>
    <t>ASSIST IN THE ACTIVITIES OF THE FISHERY TECHNOLOGYDEVELOPMENT PROJECT</t>
  </si>
  <si>
    <t>01\08\2026</t>
  </si>
  <si>
    <t>JARICA PADILLA</t>
  </si>
  <si>
    <t>01\09\2026</t>
  </si>
  <si>
    <t>DITALE,DIPACULAO</t>
  </si>
  <si>
    <t xml:space="preserve">TO MONOTOR THE DELIVERY OF CACAO SEEDLING UNDER CDIF AND CONDUCT  TECHNICAL ASSISTANCE </t>
  </si>
  <si>
    <t>ARNOLD B. NOVICIO</t>
  </si>
  <si>
    <t>CHRISTUIAN MANUEL</t>
  </si>
  <si>
    <t xml:space="preserve">NELITA K. ABORDO </t>
  </si>
  <si>
    <t>REYMAR TERCERO</t>
  </si>
  <si>
    <t>ANNABELLE LAPITAN</t>
  </si>
  <si>
    <t>GINA DL ENAJE</t>
  </si>
  <si>
    <t>MAXIMA LIGAYA ROQUE</t>
  </si>
  <si>
    <t>MELINDA BISARRA</t>
  </si>
  <si>
    <t>MARIE FLOR CABANSAL</t>
  </si>
  <si>
    <t>DARWI N BAUTISTA</t>
  </si>
  <si>
    <t>01\12\2026</t>
  </si>
  <si>
    <t>TO FACILITATE OPAG COORDINATORS MEETING</t>
  </si>
  <si>
    <t>LORENZO BENJIE LEOVERAS</t>
  </si>
  <si>
    <t>SHEKINHA GLORY NORTEZ</t>
  </si>
  <si>
    <t>TO ATTEND OPAG COORDINATORS MEETING</t>
  </si>
  <si>
    <t>01\13\2026</t>
  </si>
  <si>
    <t>01\13-14\2026</t>
  </si>
  <si>
    <t>01\13-14\2027</t>
  </si>
  <si>
    <t>DINABUNO, DIPACULAO</t>
  </si>
  <si>
    <t>TO ASSIST OA DOCUMENTSOF OA FARMERS CANDIDATES OF PGS CERTIFIED</t>
  </si>
  <si>
    <t>01\15-16\2026</t>
  </si>
  <si>
    <t>01\15-16\2027</t>
  </si>
  <si>
    <t>CADAYACAN MARIA AURORA</t>
  </si>
  <si>
    <t>TO ASSIST TESDA STAFF AND AS RESOURCE SPEAKER ORGANIC AGRICULTURE FARMING</t>
  </si>
  <si>
    <t>01\14\2026</t>
  </si>
  <si>
    <t>01\14\2027</t>
  </si>
  <si>
    <t>REGULAR MAINTENANCE OF MUSHROOM GROWING HOUSE</t>
  </si>
  <si>
    <t>01\12\2027</t>
  </si>
  <si>
    <t>01\14-16\2026</t>
  </si>
  <si>
    <t>SUPERVISED AND MONITORING OUTGOING PROJECT</t>
  </si>
  <si>
    <t>NEW CAPITOL BLDG</t>
  </si>
  <si>
    <t>TO ATTEND ORIENTATION ON THE PROCESS AND STANDARDS FOR REVIEWING LGU GAD</t>
  </si>
  <si>
    <t>ASSIST BFAR PERSONEL AND PARTNERS AND PARTNERS INSPECTION OF FEEDMILL</t>
  </si>
  <si>
    <t>MARIA AURORA AND POINTS</t>
  </si>
  <si>
    <t>ASSIST IN THE VALIDATION OF GAWAD SAKA</t>
  </si>
  <si>
    <t>LEAVE 2026</t>
  </si>
  <si>
    <t>SP/MFL/SL/ETC/MONET</t>
  </si>
  <si>
    <t>DAYS</t>
  </si>
  <si>
    <t>01/052026</t>
  </si>
  <si>
    <t>NELITA K. ABORDO</t>
  </si>
  <si>
    <t>01/14-15/2026</t>
  </si>
  <si>
    <t>SPL</t>
  </si>
  <si>
    <t>2 DAYS</t>
  </si>
  <si>
    <t>SOL RIA MAQUINIANA</t>
  </si>
  <si>
    <t>01/29-30/206</t>
  </si>
  <si>
    <t>SL</t>
  </si>
  <si>
    <t>SOLO PARENT</t>
  </si>
  <si>
    <t>1 DAY</t>
  </si>
  <si>
    <t>01/13-15/2026</t>
  </si>
  <si>
    <t>01/22-23/2026</t>
  </si>
  <si>
    <t>01/19-21/2026</t>
  </si>
  <si>
    <t>01/13/2026</t>
  </si>
  <si>
    <t>WELLNESS LEAVE</t>
  </si>
  <si>
    <t>3 DAYS</t>
  </si>
  <si>
    <t>ANDRES ARAGON</t>
  </si>
  <si>
    <t>CRISANTO LEWANIE</t>
  </si>
  <si>
    <t>01/14/2026</t>
  </si>
  <si>
    <t>AMOUNT</t>
  </si>
  <si>
    <t>BANNER PROGRAM</t>
  </si>
  <si>
    <t>POST TRAVEL REPORT 2026</t>
  </si>
  <si>
    <t>NAME OF EMPLOYEE/S</t>
  </si>
  <si>
    <t>DATE OF TRAVEL</t>
  </si>
  <si>
    <t>PLACE/OFFICE TO VISIT</t>
  </si>
  <si>
    <t>FUEL CHARGE SLIP/DRIVER TRIP TICKET 2026</t>
  </si>
  <si>
    <t>PURCHASE ORDER 2026</t>
  </si>
  <si>
    <t>OTHER DOCUMENTS 2026</t>
  </si>
  <si>
    <t>REQUEST VEHICLE CAPITOL 2026</t>
  </si>
  <si>
    <t>TEV, OBR , DV 2026</t>
  </si>
  <si>
    <t>TRANSMITTAL 2026</t>
  </si>
  <si>
    <t>ENDORSEMENT 2026</t>
  </si>
  <si>
    <t>ASSOCIATION</t>
  </si>
  <si>
    <t>UNIT/S OF INTERVENTION REQUEST</t>
  </si>
  <si>
    <t>APADTC RESERVATION 2026</t>
  </si>
  <si>
    <t>APADTC RIS/PAR 2026</t>
  </si>
  <si>
    <t>PR (OBLIGATION REQUEST 2026)</t>
  </si>
  <si>
    <t>OBR/DV</t>
  </si>
  <si>
    <t>CONTENT/PURPOSE</t>
  </si>
  <si>
    <t>DRS NO.</t>
  </si>
  <si>
    <t>2026-01-04</t>
  </si>
  <si>
    <t>ORIGIN/FROM</t>
  </si>
  <si>
    <t>PGA NOTICE MEETING</t>
  </si>
  <si>
    <t>47TH AURORA DAY CELEBRATION ANNIVERSARY PROGRAM COORDINATION MEETING</t>
  </si>
  <si>
    <t>01/15/2026 - 8:30AM</t>
  </si>
  <si>
    <t>PLACE</t>
  </si>
  <si>
    <t>PGA CONFERENCE HALL, CAPITOL</t>
  </si>
  <si>
    <t>DATE/TIME</t>
  </si>
  <si>
    <t>2026-01-05</t>
  </si>
  <si>
    <t>PRDP-ROC 0-111</t>
  </si>
  <si>
    <t>CONDUCT ITS P/C/MPMU YEAR-END-ASSESMENT W/OUR PARTNER LGU'S  IN SUBIC BAY VENIZA HOTEL ZAMBALES</t>
  </si>
  <si>
    <t>01/15-16/2026</t>
  </si>
  <si>
    <t>SUBIC BAY VENIZA HOTEL ZAMBALES</t>
  </si>
  <si>
    <t>HVCDP &amp; CFDIP</t>
  </si>
  <si>
    <t xml:space="preserve">ENDORSING TO DIR. EDUARDO L/ LAPUZ SR/ DVM, REQUEST FOR NURSERY ESTABLISHMENT </t>
  </si>
  <si>
    <t>PARTICULAR</t>
  </si>
  <si>
    <t>MUNICIPAL/LGU/DIFFERENT OFFICE</t>
  </si>
  <si>
    <t>PERSON IN CHARGE</t>
  </si>
  <si>
    <t>PGA/OPAG signifies its intention to avail assistance for the establishment/constraction or provision of a MPDP/MCDP or other eligible post harvest drying facilities for fy 2026</t>
  </si>
  <si>
    <t>DR. EDUARDO A. LAPUZ</t>
  </si>
  <si>
    <t>LARAINE F. GINES</t>
  </si>
  <si>
    <t>01/15/2026</t>
  </si>
  <si>
    <t>01/15/2027</t>
  </si>
  <si>
    <t>MAO DIPACULAO AND POINTS</t>
  </si>
  <si>
    <t>TO MONITOR AND VISIT,THE TECHNO DEMO ON AREA ON SWEET CORN . TO COORDINATE MUN. CORN COORDINATOR FOR THE PERTINENTDOCUMENTS OF DA INTERVENTION</t>
  </si>
  <si>
    <t>SNA LUIS L. PIMENTEL</t>
  </si>
  <si>
    <t>TO ASSSIT DA-RFO3 HVC STAFF IN THE VALIDATION OF GREENHOUSE WITH HYDROPONICS SET UP FOR REHABILITATION PROGRAM</t>
  </si>
  <si>
    <t>OBR -MELINDA BISARRA</t>
  </si>
  <si>
    <t>COMMUNICATION EXPENSE</t>
  </si>
  <si>
    <t>LYKA</t>
  </si>
  <si>
    <t>CERTIFICATION FOR TRAINING FOR CASSAVA PROCESSING MOVED FOR NOV.25,2025 TO DEC. 16,2025</t>
  </si>
  <si>
    <t>NINIA</t>
  </si>
  <si>
    <t>OBR - NESTOR ALCANTARA ET.AL</t>
  </si>
  <si>
    <t>SALARY WAGES</t>
  </si>
  <si>
    <t>DEC. 16-31,2025</t>
  </si>
  <si>
    <t>AIRENE</t>
  </si>
  <si>
    <t>LIST OF FARMERS BENEFICIARIES AGRICULTURAL INPUTS</t>
  </si>
  <si>
    <t>DIPACULAO</t>
  </si>
  <si>
    <t>OBR-NELITA ABORDO</t>
  </si>
  <si>
    <t>OBR-ARNOLD NOVICIO</t>
  </si>
  <si>
    <t>DEC. 2025</t>
  </si>
  <si>
    <t>ALFRED</t>
  </si>
  <si>
    <t>ARNOLD B NOVICIO ET. AL.</t>
  </si>
  <si>
    <t>PAYROLL PERMANENT</t>
  </si>
  <si>
    <t xml:space="preserve"> JANUARY 2026</t>
  </si>
  <si>
    <t>JANUARY 7,2026</t>
  </si>
  <si>
    <t>PRC, CABANATUAN</t>
  </si>
  <si>
    <t>TO RENEW PRC ID</t>
  </si>
  <si>
    <t>JANUARY 8,2026</t>
  </si>
  <si>
    <t>LAVINIA DULAY</t>
  </si>
  <si>
    <t>JANUARY12, 2026</t>
  </si>
  <si>
    <t>DINGALAN, AURORA</t>
  </si>
  <si>
    <t>TO ASSIST IN THE CONDUCT OF PAYROLL OF DOLE KADIWA TUPAD BENEFICIARIES</t>
  </si>
  <si>
    <t>JANUARY 13,2026</t>
  </si>
  <si>
    <t>GEORGE THE</t>
  </si>
  <si>
    <t>JANUARY 20-21, 2026</t>
  </si>
  <si>
    <t>DINGALAN AURORA</t>
  </si>
  <si>
    <t>TO CONDUCT A MEETING WITH GSB WINNERS FOR REGIONAL ENTRY</t>
  </si>
  <si>
    <t>ALYSSA FAYE SORIANO</t>
  </si>
  <si>
    <t>JHON JOHXS L. DELOS REYES</t>
  </si>
  <si>
    <t>CAPITOL GROUND BRGY. SUKLAYIN, BALER, AURORA</t>
  </si>
  <si>
    <t>DISTRIBUTION OF FINANCIAL ASSITANCE AND FISHERY INTERVENTIONS</t>
  </si>
  <si>
    <t>JANUARY 14, 2026</t>
  </si>
  <si>
    <t>ARVICLOU L. ADALID</t>
  </si>
  <si>
    <t>JANUARY19-20,2026</t>
  </si>
  <si>
    <t>PARAISO,TARLAC- DINGALAN AURORA</t>
  </si>
  <si>
    <t>TO PICK UP ORGANIC FERTILIZERS UNDER 4K PROGRAM AT PARAISO TARLAC, ASSIST IN THE DISTRIBUTION/DOCUMENTATION OF THE PROJECT, CONDUCT BRIEFING/ ORIENTATION AMONG BENEFICIARIES/</t>
  </si>
  <si>
    <t>JANUARY 14,2026</t>
  </si>
  <si>
    <t>TO CONDUCT TECHNICAL BRIEFING WITH LGU OFFICIALS MAO, AEWS, REGARDING THE SCALING AND THE ADAPTATION OF PEST AND DISEASES</t>
  </si>
  <si>
    <t>JANUARY 29, 2026</t>
  </si>
  <si>
    <t>DINGALAN</t>
  </si>
  <si>
    <t xml:space="preserve">MELINDA BISARRA </t>
  </si>
  <si>
    <t>SUPPY AND DELIVERY OF OFFICE SUPPLIES-</t>
  </si>
  <si>
    <t>PAFC(FEB. 26,2026)</t>
  </si>
  <si>
    <t>SUPPY AND DELIVERY OF AGRICULTURAL SUPPLIES-COMPLETE FERTILIZER</t>
  </si>
  <si>
    <t>INTEGRATED NUTRIENT MANAGEMENT PROJECT</t>
  </si>
  <si>
    <t>SCALING THE ADAPTATION OF PEST AND NUTRIENT MANAGEMENT(MARCH 16,2026)</t>
  </si>
  <si>
    <t xml:space="preserve">SUPPLY AND DELIVERY OF CATERING SERVICES </t>
  </si>
  <si>
    <t>DESCRIPTION</t>
  </si>
  <si>
    <t>CHARGING</t>
  </si>
  <si>
    <t>TO BE USED FOR ASSISTANCE TO PAFC ACTIVITIES (FEBRUARY 26, 2026)</t>
  </si>
  <si>
    <t>5-02-03-010 GENERAL FUND - STREGTHENING OF RURAL BASED ORGANIZATION</t>
  </si>
  <si>
    <t>TO BE USED FOR THE CONDUCT OF SCALING THE ADOPTION OF PEST AND NUTRIENT MANAGEMENT (MARCH 16,2025)</t>
  </si>
  <si>
    <t>TO BE USED FOR TINTEGRATED NUTRIENT MANAGEMENT PROJECT</t>
  </si>
  <si>
    <t>TO BE SERVE DURING THE CONDUCT OF MEETING REGARDING THE PALAY MARKETING INCENTIVE PROJECT (BALER, AURORA) MARCH 27, 2026</t>
  </si>
  <si>
    <t>5-02-03-100 GENERAL FUND - RICE PRODUCTION PROGRAM</t>
  </si>
  <si>
    <t>5-02-02-010 GENERAL FUND - RICE PRODUCTION PROGRAM</t>
  </si>
  <si>
    <t>PALAY MARKETING INCENTIVE PROJECT</t>
  </si>
  <si>
    <t>SUPPLY AND DELIVERY OF OTHER TRAINING SUPPLIES(NOTEBOOK, BALLPEN ETC.)</t>
  </si>
  <si>
    <t>SUPPLY AND DELIVERY OF TOKEN, T-SHIRTS AND OTHER TRAINING MATERIALS (TSHIRT, POLO SHIRT, TOKEN , LEI AND TARP)</t>
  </si>
  <si>
    <t>5-02-02-010 ORGANIC AGRICULTURE PROGRAM</t>
  </si>
  <si>
    <t>ORGANIC</t>
  </si>
  <si>
    <t>TO BE SERVED DURING FARM CERTIFICATION/EVALUATION (GAP/PGS) MARCH 17-18, 2026 @ BALER, AURORA</t>
  </si>
  <si>
    <t>TO BE SERVED DURING TO FARM TOURISM CONGRESS. MARCH 31, 2026 @ APADTC, BRGY. CALABUANAN, BALER, AURORA</t>
  </si>
  <si>
    <t>SUPPLY AND DELIVERY OF AQUAFEED PREMIX, FEED OIL AND FLOUR</t>
  </si>
  <si>
    <t>FOR THE OPERATION OF THE AQUA FEEDMILL AT APADTC CALABAUANAN BALER, AURORA FOR THE YEAR 2026</t>
  </si>
  <si>
    <t>5-02-03-100 SPA - SPA AGRICULTURAL AND MARINE SUPPLIES EXPENSES</t>
  </si>
  <si>
    <t>FISHERIES</t>
  </si>
  <si>
    <t>SUPPLY AND DELIVERY OF TOKEN(TOTE BAG, BOSCHOCO BREAD, PISTACIOS NUT, COFFEE,VINEGAR AND BIGNAY WINE)</t>
  </si>
  <si>
    <t>TO BE SERVED DURING THE FARM TOURISM DEVELOPMENT/CERTIFICATION GAP, PGS (MARCH 16-17,2026 @ BALER</t>
  </si>
  <si>
    <t>SUPPLY AND DELIVERY OF SACKS AND PLASTIC PE BAG (SACKS AND PLASTIC BAG)</t>
  </si>
  <si>
    <t>5-02-03-990 SPA - SPA OTHER SUPPLIES AND MATERIALS EXPENSES</t>
  </si>
  <si>
    <t>REPAIR AND MAINTENNACE OF SERVICE VEHICLE NAVARA</t>
  </si>
  <si>
    <t>TO BE USED FOR MAINTENANCE OF VEHICLE NAVARA</t>
  </si>
  <si>
    <t>5-02-13-060 MOOE</t>
  </si>
  <si>
    <t>ADMIN</t>
  </si>
  <si>
    <t>SUPPLY AND DELIVERY OF MOTORCYCLE PARTS</t>
  </si>
  <si>
    <t>TO BE USED FOR MAINTENANCE OF MOTORCYCLES/STOCK PURPOSES ONLY</t>
  </si>
  <si>
    <t>SUPPLY AND DELIVERY OF OFFICE SUPPLIES(CORKBOARD)</t>
  </si>
  <si>
    <t>TO BE USED IN APADTC</t>
  </si>
  <si>
    <t>5-02-03-010 GENERAL FUND</t>
  </si>
  <si>
    <t>APADTC</t>
  </si>
  <si>
    <t xml:space="preserve">5-02-03-990 GF </t>
  </si>
  <si>
    <t>SUPPLY AND DELIVERY OF JANITORIAL SUPPLIES</t>
  </si>
  <si>
    <t>TO BE USED IN THE IMPROVEMENT OF MAINTENANCE OF APDTC</t>
  </si>
  <si>
    <t>01/15/2025</t>
  </si>
  <si>
    <t>LEWANIE CRISANTO</t>
  </si>
  <si>
    <t>01/26-27-28/2026</t>
  </si>
  <si>
    <t>L.PIMENTEL SAN LUIS AURORA</t>
  </si>
  <si>
    <t>TO VALIDATE THE GREEN HOUSE WITH HYDROPONICS FOR REHABILITATION UNDER NUPAP</t>
  </si>
  <si>
    <t>2026-01-018</t>
  </si>
  <si>
    <t>PPDC/PPMIU</t>
  </si>
  <si>
    <t>UPDATING OF THE OCIP FOR 2026-2028 IS SCHED THIS 1ST QUARTER OF 2026</t>
  </si>
  <si>
    <t>01/27-29/2026</t>
  </si>
  <si>
    <t>PGA  CONFERENCE HALL CAPITOL BUILDING ANNEX,BALER ,AURORA</t>
  </si>
  <si>
    <t>2026-01-015</t>
  </si>
  <si>
    <t>PRDP-RPCOIII</t>
  </si>
  <si>
    <t xml:space="preserve">PRDP-RPCOIII WWILL CONDUCT P/C/MPMIU YEAR END ASSESSMENT WITH THE PARNER LGU'S </t>
  </si>
  <si>
    <t>ZUBIC BAY VENEZLA HOTEL, ZAMBALES</t>
  </si>
  <si>
    <t>2026-01-014</t>
  </si>
  <si>
    <t>PGA</t>
  </si>
  <si>
    <t xml:space="preserve">47TH AURURA DAY CELEBRATION ANNIVERSARY PROGRAM COORDINATION MEETING </t>
  </si>
  <si>
    <t>PGA CONFERENCE ROOM</t>
  </si>
  <si>
    <t>CONFIRMATION SLIP(ARNOLD B. NOVICIO, NELITA K. ABORDO)</t>
  </si>
  <si>
    <t>JUDE CARMELO FULGAR-PGDH-PHRMO</t>
  </si>
  <si>
    <t>JANUARY 20-21,2026</t>
  </si>
  <si>
    <t xml:space="preserve">ASSIST IN DISTRIBUTION OF AGRICULTURAL INPUTS TO 4K BENEFICIARIES </t>
  </si>
  <si>
    <t>OFFICE OF THE GOVERNOR</t>
  </si>
  <si>
    <t xml:space="preserve">PROCURMENTDIRECTIONAL GUIDELINES </t>
  </si>
  <si>
    <t>01/16/2026</t>
  </si>
  <si>
    <t>2026/01/017</t>
  </si>
  <si>
    <t>PARTICULARS</t>
  </si>
  <si>
    <t>MUNICIPAL LGU'S/DIFFERENT OFFICES</t>
  </si>
  <si>
    <t>CONTROL NUMBER</t>
  </si>
  <si>
    <t>JAN 9, 2026</t>
  </si>
  <si>
    <t>2026 HVCDP FINAL BENEFICIARIES/BOARD RESOLUTION/DOCUMENTS</t>
  </si>
  <si>
    <t>ENGR. AB DAVID-REGIONAL HVCDP/NUPHP COORDINATOR</t>
  </si>
  <si>
    <t>2026-01-020</t>
  </si>
  <si>
    <t xml:space="preserve">OFFICE OF THE SANGGUNIANG PANLALAWIGAN </t>
  </si>
  <si>
    <t>COPY OR SESULUTION NO.4 CURRENT SERIES,TITLED- A RESULUTION AUTHORIZING THE HONORABLE ISIDRO GALBAN,TO SIGN THE ENTER MEMO OF AGREEMENT WITH BFAR FOR THE IMPLEMENTATION OF THE CATFISH HATCHERY PROJECT</t>
  </si>
  <si>
    <t xml:space="preserve">TITLE OF THE PROJECT </t>
  </si>
  <si>
    <t>JANUARY 15,2026</t>
  </si>
  <si>
    <t>AURORA AGRICULTURAL DEVELOPMENT TRAINING CENTER</t>
  </si>
  <si>
    <t>OPAG</t>
  </si>
  <si>
    <t>PROPONENT</t>
  </si>
  <si>
    <t>SOURCE OF FUND</t>
  </si>
  <si>
    <t>GENERAL FUND</t>
  </si>
  <si>
    <t>RENEWAL OF CASUAL EMPLOYEES OF PGA CY 2026</t>
  </si>
  <si>
    <t>HON. ISIDRO P. GALBAN-GOV            MR. JUDE CARMELO PULGAR</t>
  </si>
  <si>
    <t>TO;MUNICIPAL LGU'S/DIFFERENT OFFICES</t>
  </si>
  <si>
    <t>JANUARY 8,2027</t>
  </si>
  <si>
    <t>RENEWAL OF J.O. FOR CY 2026</t>
  </si>
  <si>
    <t>MR/ JUDE CARMELO PULGAR</t>
  </si>
  <si>
    <t>2026-01-01</t>
  </si>
  <si>
    <t>2026-01-02</t>
  </si>
  <si>
    <t>RECOMMENDATATION OF MISS. MARIE LORAIN G. PAULO AS CASUAL EMPLOYEE</t>
  </si>
  <si>
    <t>HON.   ISIDRO P. GALBAN</t>
  </si>
  <si>
    <t>2026-01-03</t>
  </si>
  <si>
    <t>LORAIN</t>
  </si>
  <si>
    <t>JANUARY 12,2026</t>
  </si>
  <si>
    <t>CASH ASSISTANCE TO FISHERFOLKS AFFFECTED BY SUPER TYPHOON UWAN FOAR THE MUNICIPALITIES OF BALER, SANLUIS, DIPACULAO</t>
  </si>
  <si>
    <t>MR. RICARDO Q. BAUTISTA</t>
  </si>
  <si>
    <t>C/O AFS</t>
  </si>
  <si>
    <t xml:space="preserve"> HON. RHETT RONAN ANGARA REQUEST A PRESENCE OR REPRESENTATION WITNESS FOR PAYOUT OF FINANCIAL ASSISTANCE ON JAN.15,2026</t>
  </si>
  <si>
    <t>MR. VINCENT S. PALADIO- MIUNICIPAL ADMINISTRATOR</t>
  </si>
  <si>
    <t>GINA DL. ENAJE</t>
  </si>
  <si>
    <t>QUICK RESPOND FUND(FINANCIAL ASSISTANCE)</t>
  </si>
  <si>
    <t>AO</t>
  </si>
  <si>
    <t>30DAYS</t>
  </si>
  <si>
    <t>MONETIZATION</t>
  </si>
  <si>
    <t>30 DAYS</t>
  </si>
  <si>
    <t xml:space="preserve">NELITA ABORDO </t>
  </si>
  <si>
    <t>GEORGE TEH</t>
  </si>
  <si>
    <t>DEEDS OF DONATION:200 HEADS OF FREE RANGE CHICKEN</t>
  </si>
  <si>
    <t>DEEDS OF DONATION;54UPGRADED GOATSAND 3DOE,3BUCK</t>
  </si>
  <si>
    <t>DEEDS OF DONATION;150 HEADS OF MALLARDSDUCK,80 HEAD OF MUSCUVY DUCK</t>
  </si>
  <si>
    <t>DEEDS OF DONATION;576HEADSOF READY-TO-LAY-CHICKENAND 12 UNITS OF 3 LAYERED BATTEREYCAGE</t>
  </si>
  <si>
    <t>NARCISO L. NECESITO</t>
  </si>
  <si>
    <t>RAMADA,FLORIDA,SAN JOSE MARIA AURORA, AURORA</t>
  </si>
  <si>
    <t>JAN.16,2026</t>
  </si>
  <si>
    <t>SIGNED LIST OF FARMERBENEFICIARIES WITH CSM,OATH OF UNDERTAKING,FROM MARIA AURORA</t>
  </si>
  <si>
    <t>DIR. EDUARDO L. LAPUZ JR.,DM-REGIONAL EXECUTIVE DIRECTOR</t>
  </si>
  <si>
    <t>PK-RPC, BRGY. RESERVA,BALER, AURORA</t>
  </si>
  <si>
    <t>TO ASSIST IN THE SITE VISITATION OF KOICA PERSONNEL TOGETHER WITH PABED</t>
  </si>
  <si>
    <t>2026-01-005</t>
  </si>
  <si>
    <t>PROVINCIAL ADMINISTRATOR OFFICE</t>
  </si>
  <si>
    <t>REQUEST TO PROVIDE TRANSPORTATION TO PICK UP ORGANIC FERTILIZERS</t>
  </si>
  <si>
    <t>2026-01-021</t>
  </si>
  <si>
    <t>SAMAHAN NG MANGINGISDA NG DIARABASIN,DIPACULAO</t>
  </si>
  <si>
    <t xml:space="preserve">HUMINGI NG ISANG SET NG PAYAO </t>
  </si>
  <si>
    <t>JANUARY 16,2026</t>
  </si>
  <si>
    <t>INFORM THAT OUR OFFICE WILL BE DELIVERING ORGANIC FERTILIZER ON JANUARY 19-20,2026</t>
  </si>
  <si>
    <t>ENGR.JAIRIES FAE P. BATAS-MAO</t>
  </si>
  <si>
    <t>BILLY</t>
  </si>
  <si>
    <t xml:space="preserve">GENERAL FUND </t>
  </si>
  <si>
    <t>A; FARM TOYRISM DEVELOPMENT PROGRAM                                                      B; ATTENDANCE TO FARM TOURISM CONGRESS</t>
  </si>
  <si>
    <t>SPECIAL PUPOSE PROGRAM-ORGANICAGRICULTURE PROGRAM</t>
  </si>
  <si>
    <t>EXTENSION SERVICES IN SUPORT TO PAFES( PROVINCE LED AGRICULTURE &amp;FISHERIES EXTENSION SYSTEM)</t>
  </si>
  <si>
    <t>CALABUANAN, BALER, AURORA</t>
  </si>
  <si>
    <t>TO GATHER DATA ON DA-RFO CORN TECHNO DEMO</t>
  </si>
  <si>
    <t>REQUEST MS. GINA DL. ENAJE TO CASH ADVANCE THE AMOUNT OF 21,750.OO TO BE YTILIZED UNDER QUICK RESPONSE FUND</t>
  </si>
  <si>
    <t>LLOYD</t>
  </si>
  <si>
    <t>PGO</t>
  </si>
  <si>
    <t>JAN.20,2026</t>
  </si>
  <si>
    <t>TO CONDUCTTECHNICAL BRIEFING ON CORN PRODUCTION FOR CORN FARMER W/ MAO DIPAC</t>
  </si>
  <si>
    <t>JAN/15/2026</t>
  </si>
  <si>
    <t>JAN/162026</t>
  </si>
  <si>
    <t>JAN.19,2026</t>
  </si>
  <si>
    <t>EDWARDO MAZA</t>
  </si>
  <si>
    <t>ALFREDO ESCOBAR</t>
  </si>
  <si>
    <t>CONDUCT MARKET SCOPING FOR THE PREVENTIVE MAINTENANCE OF OPAG SERVICES</t>
  </si>
  <si>
    <t>CALAOCAN, DIPACULAO</t>
  </si>
  <si>
    <t>CABANATUAN CITY</t>
  </si>
  <si>
    <t xml:space="preserve">LYKA </t>
  </si>
  <si>
    <t>EDWARDO MAZA/ALFREDO ESCOBAR</t>
  </si>
  <si>
    <t>PARAISO TARLAC</t>
  </si>
  <si>
    <t>DIESEL/GAS</t>
  </si>
  <si>
    <t>100L-DIESEL</t>
  </si>
  <si>
    <t>60L-DIESEL</t>
  </si>
  <si>
    <t>TO ATTEND 21ST RAFC</t>
  </si>
  <si>
    <t>JANUARY 29,2026</t>
  </si>
  <si>
    <t>SAN FERNANDO PAMPANGA</t>
  </si>
  <si>
    <t>MARCH 17-18,2026</t>
  </si>
  <si>
    <t>2DAYS</t>
  </si>
  <si>
    <t>TRAINING HALL,TRAINING DORMITORY ROOM</t>
  </si>
  <si>
    <t>GENERAL FUND-SPA</t>
  </si>
  <si>
    <t>LOCATION</t>
  </si>
  <si>
    <t>PROVINCE WIDE</t>
  </si>
  <si>
    <t>AURORA PROVINCE</t>
  </si>
  <si>
    <t>ATTENDANCE TO THE REGIONAL RICE VARIETY PLANNING WORKSHOP</t>
  </si>
  <si>
    <t>01/20/2026</t>
  </si>
  <si>
    <t>SANFERNANDO PAMPANGA</t>
  </si>
  <si>
    <t>2026-01-023</t>
  </si>
  <si>
    <t>OFFICE OF THE PROVINCIAL ADMIN</t>
  </si>
  <si>
    <t>REQUEST FAR AN EXTENSION OF UTILIZATION OF THE FUNDS AWARDED TO PGA OF THE OPERATION OF AURORA AQAU FEEDMILL(MAO)</t>
  </si>
  <si>
    <t>IMPLEMANTATION OF PRIORITY PPA'S,FISCAL AUSTERITY MEASURES,AND SUBMMISION OF PDIP AND FOR CY 2026</t>
  </si>
  <si>
    <t>NOTICE OF MEETING; PASIDAYAW FESTIVAL PARADE ORIENTATION IN ITHERS MATTER</t>
  </si>
  <si>
    <t>01/21/2026-1:30PM</t>
  </si>
  <si>
    <t>2026-01-025</t>
  </si>
  <si>
    <t>PGA-TRAINING HALL NEW BLDG</t>
  </si>
  <si>
    <t>2026-01-028</t>
  </si>
  <si>
    <t>PDRRMO</t>
  </si>
  <si>
    <t>TG-SEPR FIRST COORDINATION MEETING FOR AURORA DAY CELEBRATION(ADC)2026</t>
  </si>
  <si>
    <t>01/20/2026-9AM</t>
  </si>
  <si>
    <t>EOC 2ND FLOOR, PDRRRMO BLDG.</t>
  </si>
  <si>
    <t>2026-01-029</t>
  </si>
  <si>
    <t>SUBMISSION OF ANNUAL ACCOMPLISHMENT REPORT FOR PROGRAMS/PROJECTS/ACTIVITIES FUNDED LOCAL FUND (LDRRMF)CY2025</t>
  </si>
  <si>
    <t>JANUARY 19,2026</t>
  </si>
  <si>
    <t>PGA TROUGH OPAG WILL CONDUCT SKILLS TRANING ON SABUTAN PROCESSING ON JAN 29-30,2026@CALABUANAN COVERED COURT</t>
  </si>
  <si>
    <t>ALL MAO</t>
  </si>
  <si>
    <t xml:space="preserve">CHRISTIAN </t>
  </si>
  <si>
    <t>REQUEST TO THE ASSIGNMENT OF MS. MARIE LOARAIN G. PAULO FROM PGA TO BE DETAILED @OPAG</t>
  </si>
  <si>
    <t>MR. JUDE CARMELO FULGAR</t>
  </si>
  <si>
    <t>PROJECT PROPOSAL FOR 2026 OF THE OPAG</t>
  </si>
  <si>
    <t>ATTY. TORREGOSA</t>
  </si>
  <si>
    <t>AURORA CACAO AGRICULTURAL COOPERATIVE COOPERATIVE(DIFARCO)</t>
  </si>
  <si>
    <t>01/19/2026</t>
  </si>
  <si>
    <t>01/20-21/2026</t>
  </si>
  <si>
    <t>BRGY.NONONG,APADTC</t>
  </si>
  <si>
    <t>INSTALLATION OF BOUNDARY MARKERS FOR THE PROPOSED NURSERY SITE,</t>
  </si>
  <si>
    <t>SAN LUIS AND POINTS</t>
  </si>
  <si>
    <t>TO ASSIST REGION DA AND COA STAFF TO INSPECTION INTERVENTION OF SAN LUIS DAIRY F.A. OALP BENEFICIARIES</t>
  </si>
  <si>
    <t>LARAINE GINES/ROMMEL PICART</t>
  </si>
  <si>
    <t>01/22/2026</t>
  </si>
  <si>
    <t>BRGY. SUKLAYIN,BALER AURORA</t>
  </si>
  <si>
    <t>TO CODUCT MUSHROOM PRODUCTION TRAINING FOR BALER ILONGOT AGRICULTURE COOPERATIVE</t>
  </si>
  <si>
    <t>REQUIOREMENTS UNDER CORN PROGRAM</t>
  </si>
  <si>
    <t>LALA</t>
  </si>
  <si>
    <t>PAGTATALAGA BILANG PANSAMANTALANG TAGAPAMANIHALA NG TANG TANGGAPAN NG PANLILIWAGANG MAGSASAKA (MS. MELINDA BISARRA)</t>
  </si>
  <si>
    <t>HON. ISIDRO GALBAN</t>
  </si>
  <si>
    <t>REMAINING OF THE PALAY MARKETING INCENTIVES PROJECT UNDER RICE PRODUCTION PROGRAM OF THIS OFFICE ,AS WELL AS THE SUBSEQUENT TRANSFER OF ITS FUNDS</t>
  </si>
  <si>
    <t>HON. ISIDRO P. GALBAN</t>
  </si>
  <si>
    <t xml:space="preserve"> DIARABASIN INTEGRATED FARMERS AGRARIAN REFORM COOPERATIVE (DIFARCO) FOR VALIDATION /EVALUATIONOF FARM AND FISHERIES CLUSTERING AND CONSOLIDATION F2C2 PROGRAM</t>
  </si>
  <si>
    <t xml:space="preserve"> </t>
  </si>
  <si>
    <t>BALER, AURORA</t>
  </si>
  <si>
    <t>SUPPORT TO PAFES</t>
  </si>
  <si>
    <t>SPECIAL PUPOSE PROGRAM-ORGANICAGRICULTURE PROGRAM(SPA)</t>
  </si>
  <si>
    <t>DINALUNGAN</t>
  </si>
  <si>
    <t xml:space="preserve">PRODUCTION SUPPORT TO ONION FARMERS </t>
  </si>
  <si>
    <t>GENERAL FUND-HVCDP</t>
  </si>
  <si>
    <t>AGRICULTURAL PRODUCTION RESILIENCY PROGRAM(APRP)</t>
  </si>
  <si>
    <t>SPA-APRP</t>
  </si>
  <si>
    <t xml:space="preserve">CAPITOL GROUND </t>
  </si>
  <si>
    <t>ARAW NG AGRICULTURA</t>
  </si>
  <si>
    <t>SPA-ARAW NG AGRIKULTURA</t>
  </si>
  <si>
    <t>PRODUCTION SUPPORT TO CACAO FARMERS ASSOCIATION</t>
  </si>
  <si>
    <t>GENERAL FUND- HVCDP</t>
  </si>
  <si>
    <t>MARIA AURORA</t>
  </si>
  <si>
    <t xml:space="preserve">PRODUCTION SUPPORT TO ROOT CROPS FARMERS ASSOCIATION </t>
  </si>
  <si>
    <t>ORGANIC AGRICULTURE PROGRAM</t>
  </si>
  <si>
    <t>GENERAL FUND-OAP</t>
  </si>
  <si>
    <t>SUPPORT PROJECT TO PROVINCIAL COUNCIL FOR THE PROTECTIONOF CHILDREN(PCPC)</t>
  </si>
  <si>
    <t>GSP PROVINCE WIDE</t>
  </si>
  <si>
    <t>SPA-PCPC</t>
  </si>
  <si>
    <t>PROVINCIAL 4-H CONGRESS/REGIONAL 4-H CONGRESS</t>
  </si>
  <si>
    <t>4-H CLUB DEVELEPMENT PROGRAM</t>
  </si>
  <si>
    <t>GENERAL FUND-PROGRAM FOR THE STRENGTHENING OF RURAL BASED ORGANIZATION</t>
  </si>
  <si>
    <t>DILASAG,SAN LUIS, BALER, MARIA</t>
  </si>
  <si>
    <t xml:space="preserve">PRODUCTION SUPPORT PROJECT </t>
  </si>
  <si>
    <t>GENERAL FUND-CORN PROGRAM</t>
  </si>
  <si>
    <t>SICK LEAVE</t>
  </si>
  <si>
    <t>01/16-19/2026</t>
  </si>
  <si>
    <t>TRAINING ON MUSHROOM PTODUCTION</t>
  </si>
  <si>
    <t>ASSISTANCE TO PROVINCIAL AGRICULTURAL AND FISHERY COUNCIL PAFC</t>
  </si>
  <si>
    <t>APADTC(OPERATION AND MAINTENANCE OF MUSHROOM PRODUCTION PROJECT)</t>
  </si>
  <si>
    <t>RICE PRODUCTION PROGRAM(INTEGRATED NUTRIENT MANAGEMENT PROJECT)</t>
  </si>
  <si>
    <t>GENERAL FUND-RICE PRODUCTION PROGRAM</t>
  </si>
  <si>
    <t>NUTRIENT CONVERGENCE PROJECT</t>
  </si>
  <si>
    <t>SPA-GAD</t>
  </si>
  <si>
    <t>LIVELIHOOD ASSISTANCE-SUPPORT TO PROPOSAL BASEDPROJECTS FOR FARMERS AND FISHERFOLKS</t>
  </si>
  <si>
    <t>SPA-PROGRAM FOR STRENGTHENING OF RURAL BASED ORGANIZATION</t>
  </si>
  <si>
    <t>DINALUNGAN,TARLAC, AND BULACAN</t>
  </si>
  <si>
    <t>SUPPORT PROJECT TO RURAL IMPROVEMENT CLUB(SEMI ANNUAL MEETING)</t>
  </si>
  <si>
    <t>SPA-GAD PROGRAM</t>
  </si>
  <si>
    <t xml:space="preserve">RURAL IMPROVEMENT CLUB DEVELOPMENT PROJECT </t>
  </si>
  <si>
    <t>MOA-SAN LUIS DAIRY DAIRY FARM ASSOCIATION</t>
  </si>
  <si>
    <t>ENERITA DU. AMAZON</t>
  </si>
  <si>
    <t>SAN LUIS</t>
  </si>
  <si>
    <t>MOA-SAN LUIS DAIRY DAIRY FARM ASSOCIATION-DEED OF DONATIO)</t>
  </si>
  <si>
    <t>MOA- SAN LUIS CORN AND CASSAVA GROWERS ASSOCIATION</t>
  </si>
  <si>
    <t>RICKY N. FELICIANO</t>
  </si>
  <si>
    <t>LIST OF APPROVED JOB ORDER -OPAG</t>
  </si>
  <si>
    <t>JANUARY TO MARCH 2026</t>
  </si>
  <si>
    <t>01/21/2026</t>
  </si>
  <si>
    <t>ROSARIO MARIE URBANA</t>
  </si>
  <si>
    <t>20DAYS</t>
  </si>
  <si>
    <t>25DAYS</t>
  </si>
  <si>
    <t>LLYOD MARVIN SAN PEDRO</t>
  </si>
  <si>
    <t>JANUARY 21,2026</t>
  </si>
  <si>
    <t>REPAIR AND MAINTENNACE OF SERVICE VEHICLE FOTON(TRUCK)</t>
  </si>
  <si>
    <t>TO BE USED IN THE OF MAINTENANCE OF FOTON TRUCK</t>
  </si>
  <si>
    <t xml:space="preserve">REPAIR AND MAINTENNACE OF SERVICE VEHICLE </t>
  </si>
  <si>
    <t>TO BE USED FOR WHOLE BODY REPAINT OF TRAVIS</t>
  </si>
  <si>
    <t>REPAIR AND MAINTENANCE OF SERVICE VEHICLE TRAVIZ(ELECTRICAL AC)</t>
  </si>
  <si>
    <t>TP BE USED TO REPAIR OF TRAVIS</t>
  </si>
  <si>
    <t>REPAIR AND MAINTENANCE OF SERVICE VEHICLE OF NAVARRA</t>
  </si>
  <si>
    <t>TO BE USED ON FOR MAINTENANCE OF VEHICLE(NAVARRA)</t>
  </si>
  <si>
    <t>24,419,.00</t>
  </si>
  <si>
    <t>2026-01-032</t>
  </si>
  <si>
    <t>PROMOTION AND USE OF GENDER-FAIR/GENDER-SENSITIVE LANGUAGE IN ALL OFFICIAL DOCUMENTS,COMMUNICATION AND ISSUANCES</t>
  </si>
  <si>
    <t>AFTEC, BRGY.RESERVA,BALER,AURORA</t>
  </si>
  <si>
    <t>TO ATTEND FISHERIES AND AQUATIC MEETING</t>
  </si>
  <si>
    <t>BRGY. SUKLAYIN BALER,AURORA</t>
  </si>
  <si>
    <t>TO ATTEND ORIENTATION/BRIEFING ON DRY SEEDED PRODUCTION PROJECT OF BPSU</t>
  </si>
  <si>
    <t>JAN. 21,2026</t>
  </si>
  <si>
    <t>JAN.26-30,2026</t>
  </si>
  <si>
    <t>BFAR-NFTC,CLSU COMPOUND,SCIENCE CITY OF MUNOZ,NUEVA ECIJA</t>
  </si>
  <si>
    <t>TO ATTEND THE TRAINING ON FRESH WATER AQUACULTURE TECHNOLOGIES</t>
  </si>
  <si>
    <t>2026-01-011</t>
  </si>
  <si>
    <t>DA-RFOIII</t>
  </si>
  <si>
    <t xml:space="preserve">ATTACHED OF ELECTRONIC MAIL OF MR. DUTIN MARK CABOTE, </t>
  </si>
  <si>
    <t>REPAIR AND MAINTENANCE OF SERVICE VEHICLE</t>
  </si>
  <si>
    <t>TO BE USED FOR OPAG SERVICE VEHICLE(NAVARRA)</t>
  </si>
  <si>
    <t>NESTOR C. ALCANTARA ET.AL.</t>
  </si>
  <si>
    <t xml:space="preserve">SALARY WAGES </t>
  </si>
  <si>
    <t>JANUARY1-145,2026</t>
  </si>
  <si>
    <t xml:space="preserve">ARVIC LOU L. ADALID </t>
  </si>
  <si>
    <t xml:space="preserve">JANUARY 1-15,2026 </t>
  </si>
  <si>
    <t>JANUARY21,2026</t>
  </si>
  <si>
    <t>REFERENCE TO ADMINISTRATIVE SUPPORT FOR RICE PRODUCTION PROGRAM ITHE PROVINCE OF AURORA 312,000.00</t>
  </si>
  <si>
    <t>DIR. EDUARDO L. LAPUZ, JR.,DVM-REGIONAL EXECUTIVE DIRECTOR</t>
  </si>
  <si>
    <t>LAI</t>
  </si>
  <si>
    <t>NELITA K. ABORDO ET.EL.</t>
  </si>
  <si>
    <t>DESIGNATION AS AURORA EXTENSION OFFICERS UNDER THE DA-BFAR BANNER PROGRAM</t>
  </si>
  <si>
    <t>HON. ISIDRO GALBAN- GOV.</t>
  </si>
  <si>
    <t>DA-RFOIII THROUGH HVCDP REQUESTING TO SUBMIT PROPOSED BENEFICIARIES FOR CY 2027 PROGRAMS</t>
  </si>
  <si>
    <t>DESINATION OF OPAG TECHNICAL STAFF UNDER BANNER PROGRAM</t>
  </si>
  <si>
    <t>2026-01-033</t>
  </si>
  <si>
    <t>CALABAGAN-DITARAGYAN ELEMENTARY SCHOOL</t>
  </si>
  <si>
    <t>REQUEST ASSISTANCE FROM THE OFFICE IN THE FORM OF GARDEN TOOLS AND VEGETABLES SEEDS IN SUPPORT OF GULAYAN SA PAARALAN PROGRAM</t>
  </si>
  <si>
    <t>LORELEE G. VILLAFLOR</t>
  </si>
  <si>
    <t>MANUEL B. AMATORIO</t>
  </si>
  <si>
    <t>GILBERT E. GUERRERO</t>
  </si>
  <si>
    <t>2026-01-035</t>
  </si>
  <si>
    <t>TARLAC AGRICULTURAL UNIVERSITY</t>
  </si>
  <si>
    <t>WRITING AND REQUEST THE PERMISSION AND ASSITANCE TO CONDUCT FARMER INTERVIEWS IN THE DIFFERENT MUNICIPALITIES WITH GAP RICE COMPLAINT IN CONNECTION WITH STUDY ENTITLED "ADOPTATION OF GOOD AGRICULTURAL PRACTICES"GAP.</t>
  </si>
  <si>
    <t>JAN.22,2026</t>
  </si>
  <si>
    <t>JAN.29,2026</t>
  </si>
  <si>
    <t>CONDUCT TECHNICAL BRIEFING ON THE CONDUCT OF PROVINCIAL ON SCALING THE ADOPTATION OF PEST AND NUTRIENT MANAGEMENT</t>
  </si>
  <si>
    <t xml:space="preserve">   </t>
  </si>
  <si>
    <t>JANUARY 22,2026</t>
  </si>
  <si>
    <t>REQUEST THE ASSITANCE OF THE PROVINCIAL ENGINEERING OFFICE IN PREPARING THE POW AND DED FOR THE PROPOSED ACCESS ROAD PROJECT AMOUNTING 1.5M PESOS TO BE CHARED TO CAPITAL OUTLAY OT THE OFFICE FOR CY 2026</t>
  </si>
  <si>
    <t>ENGR. ARIEL P. ACOSTA</t>
  </si>
  <si>
    <t>1DAY</t>
  </si>
  <si>
    <t>MANUEL AMATORIO/JARICA PADILLA</t>
  </si>
  <si>
    <t>01/23/2026</t>
  </si>
  <si>
    <t>DITALE DIPACULAO,AURORA</t>
  </si>
  <si>
    <t>TO MONITOR THE STATUS OF CACAO SSEDLINGS DELIVERED TO DITALE FARMERS AGRICULTURE COOPERATIVE</t>
  </si>
  <si>
    <t>SUPERVISION MONITORING OF LINIS AURORA ACTIVITY IN THE CENTER AND FACILITATE OTHER AGRICULTURAL ACTIVITIES</t>
  </si>
  <si>
    <t xml:space="preserve">JOYCELINDA REYES </t>
  </si>
  <si>
    <t>01/22/2026(2-5PM)</t>
  </si>
  <si>
    <t>BRGY. RESERVA BALER,AURORA</t>
  </si>
  <si>
    <t>TO COORDINATE RIC RESERVA REGARDING THE MARCHING CONTEST OF PASIDAYAW</t>
  </si>
  <si>
    <t>PERTAINS TO THE LETTER OF DA-RFOIII TO THE SUBMISSION OF THE SIGNED MOA FOR THE PROJECTS UNDER THE REPUBLIC ACT(R.A.)NO.11524 COCONUT FARMERS ORGANIZATION AND INDUSRTY TRUST FUND</t>
  </si>
  <si>
    <t>MR. WILSON N. CANDELARIO-MAO MARIA</t>
  </si>
  <si>
    <t>QUANTITY</t>
  </si>
  <si>
    <t xml:space="preserve">UNIT </t>
  </si>
  <si>
    <t>REMARKS</t>
  </si>
  <si>
    <t>ZINC PHOSPHIDE</t>
  </si>
  <si>
    <t>DESIGNATION AS TIME KEEPER OF APADTC</t>
  </si>
  <si>
    <t>MR. DARWIN BAUTISTA</t>
  </si>
  <si>
    <t>DESIGNATION AS TIME KEEPER OPAG AURORA PROVINCE</t>
  </si>
  <si>
    <t>MS. ZORAIDA VELANO</t>
  </si>
  <si>
    <t>DESIGNATION AS TIMEKEEPER OF AFTEC</t>
  </si>
  <si>
    <t>MS. GINA DL. ENAJE</t>
  </si>
  <si>
    <t>2026-01-036</t>
  </si>
  <si>
    <t>SUBMOSSION OF THE PCPC WORK AND FINANCIAL PLAN C.Y.2027</t>
  </si>
  <si>
    <t>HERBERT B. FERNANDEZ</t>
  </si>
  <si>
    <t>DIPACULAO AND MARIA</t>
  </si>
  <si>
    <t>TO CONDUCT COORDINATION FOR THE ATTENDANCE OF COCONUT FARMER TO THE PRDFP FGD</t>
  </si>
  <si>
    <t>LARAINEGINES/ROMMEL PICART</t>
  </si>
  <si>
    <t>SAN ISIDRO, SAN LUIS AURORA</t>
  </si>
  <si>
    <t>TO MONITOR AND DATA GATHERING OF THE IPM RESEARCH PROPJECT OF DA-RFO III CORN PROGRAM</t>
  </si>
  <si>
    <t>JANUARY 23,2026</t>
  </si>
  <si>
    <t>REQUESTING THE ASSSITANCE OF THE PROVINCIAL ENGENEERING OFFICE IN PREPARING THE PROGRAM OF WORKS(POW) AND DED FOR THE PROPOSAL ACCES ROAD PROJ. AMOUNT OF 1.5M.</t>
  </si>
  <si>
    <t>BILLY ALDRIN VENERACION/ JOCELYN CERON</t>
  </si>
  <si>
    <t>NRGY. RESERVA BALER, AURORA</t>
  </si>
  <si>
    <t>TO ASSIST SMMA GROUP, TO FINALIZED DOCUMENTS OF 2 APPLICANTS OF PGS CERTIFIFED</t>
  </si>
  <si>
    <t xml:space="preserve">REQUEST TO BE RECOGNIZED AS A SATELLITE CENTER OF CRAYFISHFARMING UNDER THE TECHNICAL GUIDANCE OF CLSU IN PARNERSHIP OF BFAR REGIONIII  </t>
  </si>
  <si>
    <t>DR. KARL MARX A. QUIAZON-DIRECTOR FRESH WATER AQUACULTURE CENTER</t>
  </si>
  <si>
    <t>20 BOTTLES</t>
  </si>
  <si>
    <t>INSECTICIDE(PREXATHON)@250ML</t>
  </si>
  <si>
    <t>FROM.DA-RFO3 PESTICIDE SUBSIDY</t>
  </si>
  <si>
    <t>6 BOTTLES</t>
  </si>
  <si>
    <t>INSECTICIDE(EXALT)@250ML</t>
  </si>
  <si>
    <t>FOR THE MUNICIPALITY OF SAN LUIS</t>
  </si>
  <si>
    <t>BFAR III</t>
  </si>
  <si>
    <t>2026-01-039</t>
  </si>
  <si>
    <t>CODUCT OF TRAINING ON FRESH WATER AQUA CULTURE TECHNOLOGIES</t>
  </si>
  <si>
    <t>01/26-30/2026</t>
  </si>
  <si>
    <t>BFAR-NFTC,CLSU COMPOUND</t>
  </si>
  <si>
    <t>2026-01-042</t>
  </si>
  <si>
    <t>REGIONAL AGRICULTURAL AND FISHERY COUNCIL CENTRAL LUZON WILL BE CONDUCTING ITS 1ST SECTORIAL COMMITTEE MEETING(RICE,AFMECH, WATER MANAGEMENT AND CCENR)</t>
  </si>
  <si>
    <t>01/29/2026</t>
  </si>
  <si>
    <t>TRAINING ROOM, DA-RFO3 DMGC, MAIMPIS CSFP</t>
  </si>
  <si>
    <t>2026-01-040</t>
  </si>
  <si>
    <t>TANGGOL KALIKASAN</t>
  </si>
  <si>
    <t>REQUEST MEETING ALONG WITH THE PDRMMO AND PAGO TO DISCUSS A POTENTIAL COLLABORATION FOR UPCOMING CONFERENCE"ENHANCING CLIMATE RESILIENCY IN THE AURORA"</t>
  </si>
  <si>
    <t>01/20-22/2026</t>
  </si>
  <si>
    <t>2026-01-043</t>
  </si>
  <si>
    <t>PSWDO</t>
  </si>
  <si>
    <t xml:space="preserve">1ST COMMITTEE MEETING FPR WOMEN'S MONTH PREPARATION </t>
  </si>
  <si>
    <t>01/30/2026 2PM</t>
  </si>
  <si>
    <t>PROVINCIAL CONFERENCE HALL, ANNEX BLDG. CAPITOL COMPOUND</t>
  </si>
  <si>
    <t>2026-01-038</t>
  </si>
  <si>
    <t>BAC</t>
  </si>
  <si>
    <t>SPECIAL MEETING</t>
  </si>
  <si>
    <t>01/23/2026 10AM</t>
  </si>
  <si>
    <t>BAC CONFERENCE ROOM</t>
  </si>
  <si>
    <t>JAN.23,2026</t>
  </si>
  <si>
    <t>SIGNED LIST OF FARMER WITH CSM,OATH OF UNDERTAKING</t>
  </si>
  <si>
    <t>J-J</t>
  </si>
  <si>
    <t>INCENTIVES OF THE FF. AGRICULTURAL EXTENSION WORKERS(AEWS)</t>
  </si>
  <si>
    <t>DR. EDUARDO L. LAPUZ JR.., DVM</t>
  </si>
  <si>
    <t>CURRENTLY UPDATING THE PROVINCIAL FISHERIES PROFILE CY 2026 IN PROVIDING THE UPDATED FISHERIES RELATED DATA OF MUNICIPALITY</t>
  </si>
  <si>
    <t>ATTACHED ANNUAL GAD PLAN AND BUDGET FOR 2027OF THE OFFICE OF THE PROVINCIAL AGRICULTURIST</t>
  </si>
  <si>
    <t>ATTACHED IHEREWITH IS THE PCPC WORK AND FINANCIAL PLAN FOR CALENDAR YEAR 2027</t>
  </si>
  <si>
    <t>MS. ABIGAIEL F. PAULINO- PSWDO</t>
  </si>
  <si>
    <t>2026-01-045</t>
  </si>
  <si>
    <t>DESIGNATION OF ENGR. RONALD A. TURAJA AS ACTING EQUIPMENT POOL OFFICER(ACTING PEPO)</t>
  </si>
  <si>
    <t>01/26/2026</t>
  </si>
  <si>
    <t>MARIA ANDRIA FERRERAS</t>
  </si>
  <si>
    <t>01/30/2026</t>
  </si>
  <si>
    <t>02/20,23-27 AND 03/01/2026</t>
  </si>
  <si>
    <t>PATERNITY LEAVE</t>
  </si>
  <si>
    <t>7DAYS</t>
  </si>
  <si>
    <t>TO ATTEND RE- ECO ON THE PREPARATION OF PDS, SALN AND IPCR</t>
  </si>
  <si>
    <t>TO ATTEND RE- ECO ON THE PREPARATION OF PDS, SALN AND IPCR/SUPERVICE PROJECTS</t>
  </si>
  <si>
    <t>MARIE LORAIN G. PAULO</t>
  </si>
  <si>
    <t>DARWIN DUASO</t>
  </si>
  <si>
    <t>JANUARY 26,2026</t>
  </si>
  <si>
    <t>DINGALAN,CASIGURAN, DINALUNGAN,DIPACULAO,</t>
  </si>
  <si>
    <t>FORMATION OF WOMEN FISHERFOLKS/FARMERSCOOPERATIVE AND ASSOCIATION</t>
  </si>
  <si>
    <t>BIDANG AGRIKULTOR CELEBRATION</t>
  </si>
  <si>
    <t>SPA- INSTITUTIONAL DEVELOPMENT PROGRAM</t>
  </si>
  <si>
    <t>01/27/2026</t>
  </si>
  <si>
    <t>APDRRMO</t>
  </si>
  <si>
    <t>TG-SEPR SECOND COORDINATION MEETINGFOR AURORA DAY CELEBRATION</t>
  </si>
  <si>
    <t>01/27/2026 8:30AM</t>
  </si>
  <si>
    <t>EOC 2ND FLOOR PDRRMO BULDG. BALER</t>
  </si>
  <si>
    <t>ARNOLD B. NOVICIO ET.AL.</t>
  </si>
  <si>
    <t>CLOTHING ALLOWANCE</t>
  </si>
  <si>
    <t>JANUARY27,2026</t>
  </si>
  <si>
    <t>JAN. 27,2026</t>
  </si>
  <si>
    <t>ARVICLOUADALID</t>
  </si>
  <si>
    <t>JAN.19-20,2026</t>
  </si>
  <si>
    <t>PARAISO TARLAC, DINGALAN</t>
  </si>
  <si>
    <t>JANUARY 27,2026</t>
  </si>
  <si>
    <t>ARVICLOU ADALID</t>
  </si>
  <si>
    <t>APADTC, CALABUANAN BALER, AURORA</t>
  </si>
  <si>
    <t>AQUA FEEDMILL FACILITY</t>
  </si>
  <si>
    <t>SPA-SPA ON AGRICULTURE</t>
  </si>
  <si>
    <t>JOHN JOHXS DELOS REYES</t>
  </si>
  <si>
    <t xml:space="preserve">MARIA ANDRIA FERRERAS </t>
  </si>
  <si>
    <t>AGRIBUSINESS AND MARKETING PROGRAM</t>
  </si>
  <si>
    <t>SPA- AGRIBUSINESS AND MARKETING PROGRAM</t>
  </si>
  <si>
    <t>BALER, SAN LUIS, MARIA,DIPACULAO,DINGALAN,DINALUNGAN,DILASAG</t>
  </si>
  <si>
    <t>RICE PRODUCTION PROGRAM</t>
  </si>
  <si>
    <t>NELITA K ABORDO</t>
  </si>
  <si>
    <t xml:space="preserve">LARAINE GINES </t>
  </si>
  <si>
    <t xml:space="preserve">MARIE FLOR CABANSAL </t>
  </si>
  <si>
    <t>JOYCELINDA REYES</t>
  </si>
  <si>
    <t>CRISTIAN MANUEL</t>
  </si>
  <si>
    <t>MARIA AURORA, DIPACULAO</t>
  </si>
  <si>
    <t>TO CONDUCT MARKET SCOPING OF AGRICULTURAL AND MARINE SUPPLIES</t>
  </si>
  <si>
    <t>01/28/2026</t>
  </si>
  <si>
    <t>TO ASSIST DA-BSWMCONDUCT SITE VALIDATION FOR SMALL SCALE COMPOSTING FACILITY(SSCF)</t>
  </si>
  <si>
    <t>SHEKINAHA GLORY NIRTEZ</t>
  </si>
  <si>
    <t xml:space="preserve">WIDE CENTER, BALER, </t>
  </si>
  <si>
    <t>TO ATTEND UPDATING/WORKSHOPOF THE PROVINCIAL COMMODITY INVESTMENT PLAN(PCIP)</t>
  </si>
  <si>
    <t>LEAH  LOMBRES</t>
  </si>
  <si>
    <t>CONDUCT TECHNICAL BREIFING ON THE IMPLEMANTATION OF PROVINCIAL-LED SERRIES OF TRAINING ON THE ADAPTATION OF INTEGRATED PEST AND NUTRIENT MANAGEMENT</t>
  </si>
  <si>
    <t>KELVIN KYLE GINES</t>
  </si>
  <si>
    <t>JAN.27,2026</t>
  </si>
  <si>
    <t>PROJECT PROPOSALS FOR 2026 OPAG</t>
  </si>
  <si>
    <t>2026-01-048</t>
  </si>
  <si>
    <t>1ST QUARTER MEETING OF 2026 RISK RESILLENCY PROGRAM-RRP CLIMATE CHANGE ADAPTATION AND MITIGATION CCAM DISASTER RISK REDUCTION-DRR THROUGH CASH FOR WORK TRAINING(BINHI AT LAWA PROGRAM)</t>
  </si>
  <si>
    <t>01/28/2026 2PM</t>
  </si>
  <si>
    <t>PEO CONFERENCE ROOM</t>
  </si>
  <si>
    <t>2026-01-049</t>
  </si>
  <si>
    <t xml:space="preserve">  </t>
  </si>
  <si>
    <t>JAN.12,2026</t>
  </si>
  <si>
    <t xml:space="preserve">DINGALAN </t>
  </si>
  <si>
    <t>SIPAG AT TIYAGA FARMERS ASSOCIATION OF BRGY. BAGTU MARIA AURORA</t>
  </si>
  <si>
    <t>DIR EDUARDO L. LAPUZ JR.,DVM</t>
  </si>
  <si>
    <t>CORN AND CASSAVA</t>
  </si>
  <si>
    <t>DEEDS OF DONATION1(30UNITS COLLAPSIBLE DRYER,</t>
  </si>
  <si>
    <t>CRISPINI SAURA</t>
  </si>
  <si>
    <t>BRGY.ABULEG DINALUNGAN</t>
  </si>
  <si>
    <t>JANUARY 28,2026</t>
  </si>
  <si>
    <t>AVAIL ASSISTANCE FOR THE ESTABLISHMENT/CONSTRUCTION OR PROVISION OF A MULTI PURPOSE/MULTI CORP DRYING PAVEMENT(MPDP/MCDP)AND OR  OR OTHER ELIGEBLE POSTHARVEST</t>
  </si>
  <si>
    <t>2026-01-030</t>
  </si>
  <si>
    <t>RE ASSIGNMENT OFMR. PERCIVAL CABO</t>
  </si>
  <si>
    <t>2026-01-37</t>
  </si>
  <si>
    <t>47TH AURORA DAY CELEBRAATION ANNIVERSARY PROGRAM 2ND COORDINATOR MEETING</t>
  </si>
  <si>
    <t>01/26/2026 8:30AM</t>
  </si>
  <si>
    <t>PGA CONFERENCE HALL,CAPITOL BLDG. ANNEX</t>
  </si>
  <si>
    <t>2026-01-041</t>
  </si>
  <si>
    <t>SUBMISSION OF THE SIGNED MOA FOR THE PROJECT UNDER THE REPUBLIC ACT(RA) OR THE COCONUT FARMERS AND INDUSTRY TRUST FUND(CFITF)</t>
  </si>
  <si>
    <t>JOYCELYNDA REYES</t>
  </si>
  <si>
    <t>JANUARY 29-30,2026</t>
  </si>
  <si>
    <t>02/4-6/2026</t>
  </si>
  <si>
    <t>WELLNESS</t>
  </si>
  <si>
    <t>3DAYS</t>
  </si>
  <si>
    <t>TEV</t>
  </si>
  <si>
    <t>JAN.30,2026</t>
  </si>
  <si>
    <t>MUNOZ, NUEVA ECIJA</t>
  </si>
  <si>
    <t>TO PICK UP/TRANSPORT GET EXCEL TILAPIA AND RED TILAPIA FINGERLINGS FOR BROODSTOCK DEVELOPMENT</t>
  </si>
  <si>
    <t>TO DRIVE RP VEHICLE</t>
  </si>
  <si>
    <t>NEASTOR ALCANTARA ET.AL.</t>
  </si>
  <si>
    <t>CONDUCTING TRAINING/ORIENTATION IN AGRITOURISM DEVELOPMENT PROJ. ON MARCH17-18,2026 (CASH ADVANCE MS. JOCELYN CERON)</t>
  </si>
  <si>
    <t>HON. ISIDRO P. GALBAN-GOV</t>
  </si>
  <si>
    <t>TO CONDUCT MARKET SCOPINGOF OTHER MAINTENANCE AND OPERATING EXPENSES FOR AGRICULTURAL DEVELOPMENT</t>
  </si>
  <si>
    <t>BRGY. SAN ISIDRO SAN LUIS AURORA</t>
  </si>
  <si>
    <t>TO MONITOR AND DATA GATHERING OF THE IPM RESEARCH PROJECT OF DA-RFO3, CORN PROGRAM</t>
  </si>
  <si>
    <t>DIANED DIPACULAO \, AURORA</t>
  </si>
  <si>
    <t>TO ATTEND MEETING</t>
  </si>
  <si>
    <t>SINGNED LIST CY 2025 CORN PROGRAM ENHANCEMENT PROGRAM(PEP)</t>
  </si>
  <si>
    <t>FERTILIZER ASSISTANCE UNDER RICE PROGRAM 2025</t>
  </si>
  <si>
    <t>2026-01-055</t>
  </si>
  <si>
    <t>PROVINCIAL YOUTH DEVELOPMENT PROGRAM</t>
  </si>
  <si>
    <t>REQUEST A COPY OF THE LIST OF YOUTH RELATED PROGRAM AND SERVICES FOR THE YEAR 2024-2026</t>
  </si>
  <si>
    <t>SEAL OF THE GOOD GOVERNANCE(SGLG)</t>
  </si>
  <si>
    <t>JANUARY 30,2026</t>
  </si>
  <si>
    <t>SUPPLY DELIVERY OF AQUAFEED PREMIX, FEED OILAND FLOUR</t>
  </si>
  <si>
    <t>DIOSEL LOPEZ</t>
  </si>
  <si>
    <t>MFL</t>
  </si>
  <si>
    <t>20 DAYS</t>
  </si>
  <si>
    <t>02/16/2026</t>
  </si>
  <si>
    <t>SIGNED LIST OF FARMER BENIFICIARIES W/CSM OATH OF UNDER TAKING AND PHOTO COPY OF VALID ID FROM BALER(2025 WET AND DRY SEASON)</t>
  </si>
  <si>
    <t>DOCUMENTARY REQUIREMENTS UNDER CORN PROGRAM</t>
  </si>
  <si>
    <t>WILSON OLPINDO</t>
  </si>
  <si>
    <t>SOFT COPY</t>
  </si>
  <si>
    <t>ALYSSA FAYE R. SORIANO</t>
  </si>
  <si>
    <t>JANUARY 26-30, 2026</t>
  </si>
  <si>
    <t>CLSU COMPOUND, NUEVA ECIJA</t>
  </si>
  <si>
    <t xml:space="preserve">SOFT COPY </t>
  </si>
  <si>
    <t>FEB.4-6,2026</t>
  </si>
  <si>
    <t>CLSU MUNOZ</t>
  </si>
  <si>
    <t>TOATTEND PROVINCIAL AGRICULTURIST MEETING</t>
  </si>
  <si>
    <t>2026-01-057</t>
  </si>
  <si>
    <t>COMMISSION ON AUDIT 3</t>
  </si>
  <si>
    <t>REQUEST FOR SUBMISSION OF DOCUMENTS</t>
  </si>
  <si>
    <t>HON. OSIDRO GALBAN</t>
  </si>
  <si>
    <t>GFPS MEMO ORDER NO. 02</t>
  </si>
  <si>
    <t xml:space="preserve">REVIEW OF GAD ACCOMPLISHMENT OF THE 8 MUNICIPALITIES </t>
  </si>
  <si>
    <t>FEB4-5,2026 8AM</t>
  </si>
  <si>
    <t>DILG OFFICE CONFERENCE ROOM BALER PUBLIC MARKET</t>
  </si>
  <si>
    <t>REGISTRATION FORM FOR THE PARTICIPATE IN THE VALENTINE BUBBLE AND COLOR FUN RUN</t>
  </si>
  <si>
    <t>FEB14,2026 7AM</t>
  </si>
  <si>
    <t>QUEZON MEMORIAL PARK TO THE CAPITOL GROUND</t>
  </si>
  <si>
    <t>02/3-4/2026</t>
  </si>
  <si>
    <t>REQUEST OF PALEG BULAWAN FARMERS IRRIGATOR ASSOCIATIONS INC. OF BRGY PALEG, DINALUNGAN AURORA</t>
  </si>
  <si>
    <t>REQUEST</t>
  </si>
  <si>
    <t>YELLOW ONION SEEDS</t>
  </si>
  <si>
    <t>SITIO PARANG VEGETABLE GROWERS ASSOCIATION OF BRGY. DIBARAYBAY DINALUNGAN</t>
  </si>
  <si>
    <t>RED ONION SEED,PHEROMONE LURE AND LOW LAND VEGETABLE SEEDS</t>
  </si>
  <si>
    <t>DIMANAYAT PROPER FARMERS ASSOCIATIONOF BRGY. DIMANAYAT SANLUIS AURORA</t>
  </si>
  <si>
    <t>PLASTIC CRATES</t>
  </si>
  <si>
    <t>DIBALO FARMERS ASSOCIATION OF BRGY. DIBALO SANLUIS</t>
  </si>
  <si>
    <t>L.PIMENTEL ORGANIC VEGETABLE GROWERS ASSOCIATION OF BRGY. LPIMENTEL SAN LUIS</t>
  </si>
  <si>
    <t>NEEM OIL</t>
  </si>
  <si>
    <t>DINGALAN AGRO FOREST WORKERS ASSOCIATION (DAWA) BRGY PALTIC DINGALAN AURORA</t>
  </si>
  <si>
    <t>IBONA VEGETABLE FARMERS ASSOCIATION OF BRGY. IBONA DINGALAN</t>
  </si>
  <si>
    <t>LOW LAND VEGETABLE SEEDS</t>
  </si>
  <si>
    <t>IBONA AGRICULTURAL PLANTERS ASSOCIATION FO BRGY IBONA DINGALAN</t>
  </si>
  <si>
    <t>LINGAP BUNDOK DINGALAN INC. OF DINGALAN AURORA</t>
  </si>
  <si>
    <t>PLATIC CRATERS</t>
  </si>
  <si>
    <t>DIR. WILFREDO M. CRUZ REGIONAL DIRECTOR OF BFAR -III</t>
  </si>
  <si>
    <t xml:space="preserve">LIST OF AURORA EXTENSION OFFICERS FOR DA-BFAR BANNER PROGRAM 1.MAXIMA LIGAYA 2. ANNABELLE LAPITAN 3. ALLYSSA FAYE 4. LLOYD </t>
  </si>
  <si>
    <t>APPLICATION OF IBONA INNOVATIVE FARMERS ASSOCIATION OF BRGY. IBONA DINGALAN</t>
  </si>
  <si>
    <t>A WARE HOUSE</t>
  </si>
  <si>
    <t>DTR OF CASUAL EMPLOYEE</t>
  </si>
  <si>
    <t>SUBMMIT THE ACCOMPLISH CLIENT SATISFACTION FORM AND CUSTOMER SATISFACTION MEASUREMENT REPORT OF OPAG</t>
  </si>
  <si>
    <t>INVITATION EXECUTIVE DIALOGUE WITH PROVINCIAL COUNTER PARTS OF DA-RFOIII</t>
  </si>
  <si>
    <t>DITAWINEI COCOLIVESTOCK HIGH VALUE CROPS FARMERS ASSOCIATION OF BRGY. DITAWIWNI DINALUNGAN</t>
  </si>
  <si>
    <t>ALLYSSA FAYE SORIANO</t>
  </si>
  <si>
    <t>BALER AURORA</t>
  </si>
  <si>
    <t xml:space="preserve">GEORGE THE </t>
  </si>
  <si>
    <t>FEB. 6,2026</t>
  </si>
  <si>
    <t>DILG OFFICE</t>
  </si>
  <si>
    <t>02/20/2026</t>
  </si>
  <si>
    <t>02/4-5/2026</t>
  </si>
  <si>
    <t>DIPACULAO AND APADTC</t>
  </si>
  <si>
    <t>TO MONITOR BENIFICIARIES OF MUSHROOM PRODUCTION TO ASSIST MUSHROOM SEED BEDS PREPARATION AND SEED SOWING ONION</t>
  </si>
  <si>
    <t>MANUEL AMATORIO ET. AL</t>
  </si>
  <si>
    <t>ARVIC LOU ADALID ET AL</t>
  </si>
  <si>
    <t>RAMADA MARIA AURORA</t>
  </si>
  <si>
    <t>TO ATTEND GRADUATION CEROMONY OF PALAYAMANAN PROJECT UNDER DA-BANNER PROGRAM</t>
  </si>
  <si>
    <t>FEBRUARY 4,2026</t>
  </si>
  <si>
    <t xml:space="preserve">   SUBMIT THE ACCOMPLISHMENT AND SINGNED BIR FORM 2316 OF THE FOLLOWING PERSONNEL/ASSIGNED AT THE OPAG NO. 2026-02-059</t>
  </si>
  <si>
    <t>02/13 AND16/2026</t>
  </si>
  <si>
    <t>SAN ISIDRO SAN LUIS AURORA</t>
  </si>
  <si>
    <t>TO MONITOR AND DATA GATHERING OF THE PEST MNGT. RESEARCH PROJECT OF DA-RFOIII,CORN PROGRAM</t>
  </si>
  <si>
    <t>DIPACULAO AND POINTS</t>
  </si>
  <si>
    <t>FOLLOW UP/ASSIST THE EDITING OF OUTSTANDING RURAL WOMEN SCRAP BOOK AS ADVICE DURING REGIONAL EVALUATION</t>
  </si>
  <si>
    <t>DITUMABO SAN LUIS AURORA</t>
  </si>
  <si>
    <t>FIELD VISITATION OF AGRITOURISM FARMS</t>
  </si>
  <si>
    <t>FEBRUARY 5,2026</t>
  </si>
  <si>
    <t>24KG./PACKS</t>
  </si>
  <si>
    <t>WHITE CORN PRODUCTION ENHANCEMENT PROGRAM(WCPEP) 2025</t>
  </si>
  <si>
    <t>HYBRID WHITE CORN SEEDSFOR CORN FARMERS OF THE MUNICIPALITY OF DILASAG</t>
  </si>
  <si>
    <t>50 BOTTLES</t>
  </si>
  <si>
    <t>INSECTICIDES(PREVATITON) 250ML PER BOTTLE</t>
  </si>
  <si>
    <t>DA-RFO3-PESTICIDES SUBSIDY FOR CORN FARMERS AFFECTED BY FALLARMY WORM</t>
  </si>
  <si>
    <t>FEB.05,2026</t>
  </si>
  <si>
    <t>SIGNED LIST OF FARMER BENEFICIARIESFROM MARIA AURORA WET SEASON</t>
  </si>
  <si>
    <t>JJ</t>
  </si>
  <si>
    <t>2026-02-070</t>
  </si>
  <si>
    <t>SP</t>
  </si>
  <si>
    <t>PROPOSED PROVINCIAL ORDINANCE NO. 01-006" AN ORDINANCE INTITUTIONALIZING A SKILLS DEVELOPMENT AND INDUSTRY MATCHING PROGRAM</t>
  </si>
  <si>
    <t>FEB.9,2026 2PM</t>
  </si>
  <si>
    <t>SP SESSION HALL GROUND FLOOR</t>
  </si>
  <si>
    <t>2026-02-069</t>
  </si>
  <si>
    <t>REVIEW OF THE 2025 PGA EMPLOYEE HAND BOOK DRAFT</t>
  </si>
  <si>
    <t>FEB.09,2026</t>
  </si>
  <si>
    <t>02/16-17/2026</t>
  </si>
  <si>
    <t>2026-02-067</t>
  </si>
  <si>
    <t>91ST INFANTRY BATTALION DIVISION PHILL. ARMY</t>
  </si>
  <si>
    <t>91ST INFANTRY(SINAGTALA) BATALLION 7TH INFANTRY (KAUGNAY) REQUEST AVAILABLE DATA PERTAINING TO ALL REGISTEREDORGANIZATION PRESENT IN AURORA</t>
  </si>
  <si>
    <t>TO VALIDATE THE AREA FOR MULTI-CROP DRYING PAVEMENT(MCDP)AND ASSIST DA-RFO3 FOR THE MONITORING AND INTERVIEW OF CPEP BENEFICIARIES</t>
  </si>
  <si>
    <t>02/18/2026</t>
  </si>
  <si>
    <t>REAL FARMERS ASSOCIATION OF BRGY. REAL SAN LUIS AURORA</t>
  </si>
  <si>
    <t>PHEROMONE LURE</t>
  </si>
  <si>
    <t>LOWLAND VEGETABLE SEEDS</t>
  </si>
  <si>
    <t>ZARAH FARMERS ASSOCIATION BRGY SAN ISIDRO SAN LUIS AURORA</t>
  </si>
  <si>
    <t>3 UNITS OF SHALLOW TUBE WELL</t>
  </si>
  <si>
    <t>2026-02-071</t>
  </si>
  <si>
    <t>GOVERNOR OFFICE</t>
  </si>
  <si>
    <t xml:space="preserve">FMA1-SAG WILL HOLDS ITS FY 1ST QUARTER REGIONAL MEETING </t>
  </si>
  <si>
    <t>FEB. 23-25,2026</t>
  </si>
  <si>
    <t>BRGY. URA PRODUCERS COOPERATIVE OF BRGY. URA DILASAG AURORA</t>
  </si>
  <si>
    <t>90PH FOUR WHEEL DRIVE TRACTOR</t>
  </si>
  <si>
    <t>FEBRUARY 09,2026</t>
  </si>
  <si>
    <t>TO ATTEND COORDINATION MEETING OF THE REGIONAL RICE PROGRAM WITH THE PROVINCIAL COUNTER PARTS</t>
  </si>
  <si>
    <t>FEBRUARY12-13,2026</t>
  </si>
  <si>
    <t>ANGELES CITY PAMPANGA</t>
  </si>
  <si>
    <t>SHEKKINHA GLORY NORTEZ</t>
  </si>
  <si>
    <t>FEB.12-13,2926</t>
  </si>
  <si>
    <t>FEB.12-13,2927</t>
  </si>
  <si>
    <t>FEB.12-13,2928</t>
  </si>
  <si>
    <t>FEB.12-13,2929</t>
  </si>
  <si>
    <t>FEB.12-13,2930</t>
  </si>
  <si>
    <t>TO ATTEND THE COORDINATION MEETING OF THE REGIONAL RICE PROGRAM WITH PROVINCIAL COUNTER PARTS FOR THE IMPLEMANTATION OF VARIOUS PROGRAMS</t>
  </si>
  <si>
    <t>S</t>
  </si>
  <si>
    <t>SANGGUNIANG BARANGAY BRGY PINGIT</t>
  </si>
  <si>
    <t>TO APPEAR THE BRGY. CHIEF SETTLE PROBLEM/ISSUES ON INHERITED LAND DISPUTES</t>
  </si>
  <si>
    <t>RE QUEST ELECTRONIC COPIES OF YOUR DEPARMENT ANNUAL APPROVED INVESTMENT PROGRAM</t>
  </si>
  <si>
    <t>2026-02-076</t>
  </si>
  <si>
    <t>MAYOR CESARIO PIMENTEL NATIONAL HIGH SCHOOL SAN LUIS AURORA</t>
  </si>
  <si>
    <t>REQUEST 2RESOURCE SPEAKER</t>
  </si>
  <si>
    <t>FEB.23,2026</t>
  </si>
  <si>
    <t>FEB.23-25,2026</t>
  </si>
  <si>
    <t>TUGUEGARAO CITY</t>
  </si>
  <si>
    <t>TO ATTEND 1ST QUARTER MEETING OF FISHERIES MANAGEMENT AREAS</t>
  </si>
  <si>
    <t>IMPLEMENTATION OF FARM TOURISM DEVELOPMENT PROJECT UNDER SPA-ORGANIC PROGRAM BY OPAG RESERVED BUDGET OF 125000</t>
  </si>
  <si>
    <t>ATTY. PAZ TORREGOZA</t>
  </si>
  <si>
    <t>MARIA AURORA DIPACULAO</t>
  </si>
  <si>
    <t>TO ASSIST PROFILING OF ORGANIC AGRICULTURE PROGRAM TO CONDUCT SITE VALIDATION OF SMALL SCALE COMPOSTING FACILITY</t>
  </si>
  <si>
    <t>02/11-13/2026</t>
  </si>
  <si>
    <t xml:space="preserve">    </t>
  </si>
  <si>
    <t>SUBMITTING THE DOCUMENTARY REQUIRMENTS OF FARMERS ASSOCIATION THAT SIGNIFIES THEIR INTENT FOR THE MACHINERIES UNDER CORN PROGRAM</t>
  </si>
  <si>
    <t>MS. MELODY G. NOMBRE-REGIONAL CORN PROGRAM FOCAL PERSON</t>
  </si>
  <si>
    <t>LLOTD MARVIN SAN PEDRO</t>
  </si>
  <si>
    <t>BALER AND POINTS</t>
  </si>
  <si>
    <t>FIHPOND VISITATION AND MONITORING OF TILAPIAGROWERS</t>
  </si>
  <si>
    <t>O2/05/2026</t>
  </si>
  <si>
    <t>SAN LUIS AURORA</t>
  </si>
  <si>
    <t>TO CONDUCT MONITORING OF CFIDP PROJECTS</t>
  </si>
  <si>
    <t>TO FACILITATE THE RECONNECTING OF ELECTRICITY BROUGHT BT DAMAGEE METER READER</t>
  </si>
  <si>
    <t>2026-02-064</t>
  </si>
  <si>
    <t>2026-02-065</t>
  </si>
  <si>
    <t>SUBMIT THE ATTACHED REPORT DETAILING FISH CAPTURE DATA IN BALER</t>
  </si>
  <si>
    <t>MAO-BALER</t>
  </si>
  <si>
    <t>2026-02-074</t>
  </si>
  <si>
    <t>GOVERNOR OFFICE/PHIL.RICE</t>
  </si>
  <si>
    <t>REQUEST THE ASSITANCE OF YOUR GOOD OFFICEIN THEIDENTIFICATION AND SELECTION OF SUITABLE SITES FARMER COOPERATIVES AND ASSOCIATION</t>
  </si>
  <si>
    <t>SPECIAL LEAVE FOR WOMEN</t>
  </si>
  <si>
    <t>02/11-24/2026</t>
  </si>
  <si>
    <t>14DAYS</t>
  </si>
  <si>
    <t>02/25/2026</t>
  </si>
  <si>
    <t>02/26-27/2026</t>
  </si>
  <si>
    <t>FEBRUARY 10,2026</t>
  </si>
  <si>
    <t>25BAGS</t>
  </si>
  <si>
    <t>INBRED SEEDS</t>
  </si>
  <si>
    <t>QRF 2025</t>
  </si>
  <si>
    <t>BILLY VENERACION</t>
  </si>
  <si>
    <t>MARIE LORAIN PAULO</t>
  </si>
  <si>
    <t>2026-02-077</t>
  </si>
  <si>
    <t>FTDP,APADTC</t>
  </si>
  <si>
    <t xml:space="preserve">SUPERVISION OF THE PROJECTS </t>
  </si>
  <si>
    <t>HONORABLE GOV THAT THE SLOT INTENDED/ALLOCATED FOR MR. MARK CANSINO WISHES TO RECOMMEND MS. ALLIAH JEN LAUREANO FOR HIS REPLACEMENT</t>
  </si>
  <si>
    <t>MR. JUDE CARMELO Q. FULGAR</t>
  </si>
  <si>
    <t>REGULAR MAINTENANCE OF MUSHROOMGROWING HOUSE, TO MIXED SUBSTRATE OF MUSHROOM FRUITING BAG</t>
  </si>
  <si>
    <t xml:space="preserve">      </t>
  </si>
  <si>
    <t>DARWIN BAUTISTA ET. AL.</t>
  </si>
  <si>
    <t>02/12-13/2026</t>
  </si>
  <si>
    <t>TO ASSIST SEEDBED PREPARATION,ONIONSEEDSOWING,AND MONITORING SEED BED</t>
  </si>
  <si>
    <t>FEB.24,2026</t>
  </si>
  <si>
    <t>TO PICK-UP INSECTICIDES FOR CORN</t>
  </si>
  <si>
    <t>JFEB. 11,2026</t>
  </si>
  <si>
    <t>90L. DIESEL</t>
  </si>
  <si>
    <t>2026-02-079</t>
  </si>
  <si>
    <t xml:space="preserve">LIST OF 2026 PROGRAMS/PROJECT /ACTIVITIES(PPAs)REQUIRING RENTAL OF TRANSPORTATION VEHICLES(VAN)AND PROVISION TOKEN </t>
  </si>
  <si>
    <t>2026-02-078</t>
  </si>
  <si>
    <t>MUNICIPAL OF DIPACULAO OFFICE OF THE IPMR</t>
  </si>
  <si>
    <t>REQUEST FOR AGRICULTURAL SUPPORT AND INPUTS FOR THE INDIGENOUS PEOPLE'S VEGETABLE GARDEN PROJ. IN BRGY. DINADIAWAN DIPACULAO</t>
  </si>
  <si>
    <t>2026-02-080</t>
  </si>
  <si>
    <t>REQUEST OF THE PARTICIPATION IN THE PRESENTSTION AND FINALIZATION FOR THE PROVINCIAL FMRNP 2025-2028</t>
  </si>
  <si>
    <t>PABE</t>
  </si>
  <si>
    <t>FEB.13,2026</t>
  </si>
  <si>
    <t>HOPE RURAL IMPROVEMENT CLUB OF BRGY. SALAY DIPACULAO</t>
  </si>
  <si>
    <t>DIPACULAO CACAO FARMERS ASSOCIATIONOF BRGY. SOUTH POBLACION DIPACULAO</t>
  </si>
  <si>
    <t xml:space="preserve">HVCDP </t>
  </si>
  <si>
    <t>CARAGSACAN PALAYAMAN FARMERS ASSOCIATION OF BRGY. CARAGSACAN DINGALAN</t>
  </si>
  <si>
    <t>GREEN HOUSE NURSERY</t>
  </si>
  <si>
    <t>FEBRUARY11,2026</t>
  </si>
  <si>
    <t>INFORM THE DELIVERY OF 10,000 PIECES OF COFEE SEEDLINGS ON FEB.12,2026 THE SAIS INTERVENTIONS IS IN LINE WITH THE REQUEST OF BRGY. DIBET UPLAND FARMERS</t>
  </si>
  <si>
    <t>MAO-CASIGURAN</t>
  </si>
  <si>
    <t>FEBRUARY12,2026</t>
  </si>
  <si>
    <t>TO PICK UP INSECTICIDES FOR CORN</t>
  </si>
  <si>
    <t>FEBRUARY 24,2026</t>
  </si>
  <si>
    <t>FEBRUARY 12,2026</t>
  </si>
  <si>
    <t>20BAGS</t>
  </si>
  <si>
    <t>INBED SEEDS</t>
  </si>
  <si>
    <t>QRF 2026</t>
  </si>
  <si>
    <t>JFEB. 12,2026</t>
  </si>
  <si>
    <t>FEB.13-16-17,20256</t>
  </si>
  <si>
    <t>10L. GASOLINE</t>
  </si>
  <si>
    <t>FEB.13-14-15,2026</t>
  </si>
  <si>
    <t>30L. DIESEL</t>
  </si>
  <si>
    <t>02/12/2026 3:30-5PM</t>
  </si>
  <si>
    <t>MOUNT CARMEL COLLEGE MAIN CAMPUS</t>
  </si>
  <si>
    <t>TO ATTEND SCHOOL/CLASSROOM MEETING</t>
  </si>
  <si>
    <t>2026-02-081</t>
  </si>
  <si>
    <t>MEETING WITH THE LOCAL FINANCE COMMITTEE(LCT) PROVINCIAL LEGAL OFFICE</t>
  </si>
  <si>
    <t>FEB.12,2026 4PM</t>
  </si>
  <si>
    <t>02/18-20/2026</t>
  </si>
  <si>
    <t>TO BE SERVED AS RESOURCE SPEAKER TO THE CONDUCTED TRAINING ON NURSERY STABLISHMENT AND MANAGEMENT</t>
  </si>
  <si>
    <t>HERBERT FERNANDEZ</t>
  </si>
  <si>
    <t>02/10-13/2026</t>
  </si>
  <si>
    <t xml:space="preserve">SL </t>
  </si>
  <si>
    <t>4DAYS</t>
  </si>
  <si>
    <t>FEB.24-26,2026</t>
  </si>
  <si>
    <t>CASIGURAN AURORA</t>
  </si>
  <si>
    <t>REGISTRY PROFILLING OF FARMERS COOPERATIVES AND ASSOCIATION UNDER ORGANIC AGRICULTURE PROGRAM</t>
  </si>
  <si>
    <t>FEBRUARY 16,2026</t>
  </si>
  <si>
    <t>PHRMO</t>
  </si>
  <si>
    <t xml:space="preserve">TO THE PROPOSED PAYROLL PROCESSING SCHEDULE FOR CASUAL AND JOB ORDER PERSONEL </t>
  </si>
  <si>
    <t>SUPPLY AND DELIVERY OF BOAT REPAIR MATERIALS</t>
  </si>
  <si>
    <t xml:space="preserve">FOR THE OPERATION OF THE AURORA FEED MILL @APADTC FOR THE YEAR 2026, </t>
  </si>
  <si>
    <t>TO BE USED AND DISTRIBUTED TO THE TYPHOON AFFECTED(FARMERS AND FISHERFOLKS)2026 JUNE</t>
  </si>
  <si>
    <t>SUPPLY AND DELIVERIES OF AGRICULTURAL SUPPLIES</t>
  </si>
  <si>
    <t>SUPPLY AND DELIVERY OF TRAINING SUPPLIES,TARPAULIN AND TOKEN</t>
  </si>
  <si>
    <t>TO BE USED IN THE SERVICE OF CARAVAN FOR AGRICULTURAL MACHINERY-MAY 2026 BALER</t>
  </si>
  <si>
    <t>RENTAL OF TENTS AND CHAIRS</t>
  </si>
  <si>
    <t>RENTAL OF SOUND SYSTEM</t>
  </si>
  <si>
    <t>SUPPLY AND DELIVERY OF TOKENAND FARMERS KIT</t>
  </si>
  <si>
    <t>TO BE USED IN ARAW NG AGRICULTURA MAY 2026</t>
  </si>
  <si>
    <t>SUPPLY AND DELIVERY OF OFFICE SUPPLY</t>
  </si>
  <si>
    <t>TO BE USED IN ARAW NG AGRICULTURA MAY 2027</t>
  </si>
  <si>
    <t>TO BE USED IN ARAW NG AGRICULTURA MAY 2028</t>
  </si>
  <si>
    <t>TO BE USED IN ARAW NG AGRICULTURA MAY 2029</t>
  </si>
  <si>
    <t>VEGETABLES SEEDS HYBRID SEEDS</t>
  </si>
  <si>
    <t>TO BE AWARDED TO SCHOOL FOR THE GULAYAN SA PAARALAN</t>
  </si>
  <si>
    <t>MEAL AND SNACKS TO BE SERVED DURING THE CONDUCT OF THE ABOVE MENTIONED ACTIVITIES</t>
  </si>
  <si>
    <t>TO BE USED IN MENTAL HEALTH AWARENESS</t>
  </si>
  <si>
    <t xml:space="preserve">SUPPLY AND DELIVERY OF OFFICE SUPPLIES </t>
  </si>
  <si>
    <t>COMPUTER INK TO BE USED FOR THE PCPC ACTIVITIES</t>
  </si>
  <si>
    <t xml:space="preserve">VAN RENTAL </t>
  </si>
  <si>
    <t>TO BE USED DURING THE CONDUCT OF 4-H ORIENTATION</t>
  </si>
  <si>
    <t xml:space="preserve">TO BE SERVED DURING THE CONDUCT OF ABOVE MENTIONED </t>
  </si>
  <si>
    <t xml:space="preserve">SUPPLY AND DELIVERY OF TOKEN </t>
  </si>
  <si>
    <t>TO BE USED ON THE PCPC</t>
  </si>
  <si>
    <t>AFTEC</t>
  </si>
  <si>
    <t>FERDINAND AGUSTIN ET. AL.</t>
  </si>
  <si>
    <t>JANUARY 12-31,2026</t>
  </si>
  <si>
    <t>.</t>
  </si>
  <si>
    <t>SUPPLY AND DELIVERY OF POLO SHIRT AND TOKEN</t>
  </si>
  <si>
    <t>TO BE USED OF CONTESTATANT AND 4-H COORDINATORS</t>
  </si>
  <si>
    <t>SUPPLY AND DELIVERY OF CATERING SERVICES WITH LEASE OF ACCOMODATION AND VENUE</t>
  </si>
  <si>
    <t>TO BE USED DURING THE CONDUCT OF 4-H ORIENTATION(APRIL 2-3,2026)</t>
  </si>
  <si>
    <t>SUPPLY AND DELIVERY OF CATERING SERVICES</t>
  </si>
  <si>
    <t>TO BE USED DURING THE CONDUCT OF 4-H ORIENTATION(NOV.27,2026)</t>
  </si>
  <si>
    <t>TO BE SERVED DURING THE CONDUCT OF GRADUATION CEREMONY ON SCALING THE ADAPTATION OF PEST NUTRIENT DIPAC. JULY 24,2026</t>
  </si>
  <si>
    <t>TO BE SERVED DURING THE CONDUCT OF GRADUATION CEREMONY ON SCALING THE ADAPTATION OF PEST NUTRIENT (DINGALAN)</t>
  </si>
  <si>
    <t>LEASE ACCOMODATION</t>
  </si>
  <si>
    <t>TO BE USED FOR SWISA AND LFT SEMI-ANNUAL MEETING(BALER)</t>
  </si>
  <si>
    <t>TO BE SERVED DURING THE CONDUCT OF GRADUATION CEREMONY ON SCALING THE ADAPTATION OF PEST NUTRIENT (DINGALAN)JULY 29,2026</t>
  </si>
  <si>
    <t>TO BE SERVED DURING THE CONDUCT OF GRADUATION CEREMONY ON SCALING THE ADAPTATION OF PEST NUTRIENT (DINGALAN) JULY 29,2026</t>
  </si>
  <si>
    <t>SUPPLY AND DELIVERY OF OTHER SUPPLIES  AND MATERIALS</t>
  </si>
  <si>
    <t xml:space="preserve">TO BE USED IN THE GREEN HOUSE PRODUCTION </t>
  </si>
  <si>
    <t>SUPPLY AND DELIVERY OF AGRICULTURAL MATERIALS</t>
  </si>
  <si>
    <t>FOR USE IN THE OPERATION AND MAINTENANCE OF FISHERY TECHNOLOGY DEV. PROJECT APADTC</t>
  </si>
  <si>
    <t>SUPPLY AND DELIVERY OF AGRICULTURAL MATERIALS- APADTC OPERATION</t>
  </si>
  <si>
    <t>TO BE USED IN THE OPERATION AND MAINTENANCE OF MUSHROOM PRODUCTION</t>
  </si>
  <si>
    <t xml:space="preserve">SUPPLY AND DELIVERY OF AGRICULTURAL </t>
  </si>
  <si>
    <t>TO BE SERVED DURING THE CONDUCT OF PAFC STAKEHOLDERS(MAY28,2026)</t>
  </si>
  <si>
    <t>TO BE SERVED DURING THE CONDUCT OF PAFC STAKEHOLDERS(JUNE 18,2026)</t>
  </si>
  <si>
    <t>SUPPLY AND DELIVERY OF SUBLIMATION T-SHIRT</t>
  </si>
  <si>
    <t>TO BE USED FOR THE ASSISTANCE TO PAFC ACTIVITIES(JUNE18,2026)</t>
  </si>
  <si>
    <t>LEASE OF ACCOMODATION</t>
  </si>
  <si>
    <t>TO BE USED FOR THE ASSISTANCE TO PAFC ACTIVITIES(JULY 29,2026)</t>
  </si>
  <si>
    <t>TO BESERVED FOR PAFC ACTIVITIES ON PARTICIPATORY TRACKING AND MONITORING OF LOCAL AND NATIONAL FUNDED AGRICULTURAL PROJECTS(DINGALAN)</t>
  </si>
  <si>
    <t>SUPPLY AND DELIVERY OF JACKET</t>
  </si>
  <si>
    <t>TO BE SERVED DURING THE CODUCT OF PAFC STAKEHOLDERS AND DIALOGUES SEPT.24,2026 BALER)</t>
  </si>
  <si>
    <t>TO BE USED DURING THE CONDUCT OF MARKET HOLIDAY ONMAY 4,2026</t>
  </si>
  <si>
    <t>TO BE USED FOR DAILY OPERATION/TRANSACTION OF OPAG</t>
  </si>
  <si>
    <t>SUPPLY AND DELIVERY OF OFFICE SUPPLIES</t>
  </si>
  <si>
    <t>FEBRUARY 18,2026</t>
  </si>
  <si>
    <t>INFORM OF AN INCIDENT INVOLVING THEDEATH OF 1 ANGLO-NUBIANGOAT OWNED BY PGA OF OPAG</t>
  </si>
  <si>
    <t xml:space="preserve">     </t>
  </si>
  <si>
    <t>REGULAR MAINTENACE OF MUSHROOM PRODUCTION</t>
  </si>
  <si>
    <t xml:space="preserve">DITALE DIPACULAO </t>
  </si>
  <si>
    <t>TO MONITOR THE DISTRIBUTION OF CACAO SEEDLINGS TO MEMBERS OF DITALE FARMERS</t>
  </si>
  <si>
    <t>FEB.18,2026</t>
  </si>
  <si>
    <t>SUBMITTING THE DOCUMENTARY REQUIREMEENTS OF CORN PRODUCTION (CPEP) INCLUDE HYBRID YELLOW CORN AND INORGANIC FERTILIZER(UREA)</t>
  </si>
  <si>
    <t>SIGNED LIST OF FARMER BENEFICIARIES WITH CSM FROM CASIGURAN</t>
  </si>
  <si>
    <t xml:space="preserve">YELLOW ONION SEEDS </t>
  </si>
  <si>
    <t>PALEG BULAWAN FARMERS IRRIGATORS ASSOCIATION INC. OF BRGY PALEG DINALUNGAN</t>
  </si>
  <si>
    <t>RED ONION SEEDS AND PHEROMONE</t>
  </si>
  <si>
    <t>MAO-MARIA AURORA</t>
  </si>
  <si>
    <t>APPLICATIONN OF HYBRID YELLOW CORN SUBSIDES AND INORGANIC FERTILIZER FOR EXPANSIONAREAS</t>
  </si>
  <si>
    <t>CORN PROGRAM</t>
  </si>
  <si>
    <t xml:space="preserve">RAMEL LEMOSNERO ET. AL. </t>
  </si>
  <si>
    <t>JANUARY 1-31,2026</t>
  </si>
  <si>
    <t>RESERVA BALER AURORA</t>
  </si>
  <si>
    <t>VISIT AND RENDER TECHNICAL ASSISTANCE TO RIC. ASSIST IN GULAYAN PROJECT OF RIC</t>
  </si>
  <si>
    <t>SUBMITTING THE MOA,ENDORSEMENT AND ISSUANCE SLIP.</t>
  </si>
  <si>
    <t>02/19/2026</t>
  </si>
  <si>
    <t>DIARABASIN DIPACULAO</t>
  </si>
  <si>
    <t>02/26/2026</t>
  </si>
  <si>
    <t>02/23/2026</t>
  </si>
  <si>
    <t>2026-02-093</t>
  </si>
  <si>
    <t>GUIDELINES ON THE TIMELY SUBMISSION AND PROCESSING OF PAYROLL DOCUMENTS OF THE PGA</t>
  </si>
  <si>
    <t>2026-02-092</t>
  </si>
  <si>
    <t xml:space="preserve">REMINDER ON ADHERENCE TO OFFICE MANDATES AS STIPULATED IN THE CITIZENS CHARTER </t>
  </si>
  <si>
    <t>2026-02-094</t>
  </si>
  <si>
    <t>OFFICE OF THE SANGGUNIANG PANLALAWIGAN</t>
  </si>
  <si>
    <t>SP CONFERENCE ROOM</t>
  </si>
  <si>
    <t>REQUESTING THE PASSAGE OF A RESOLUTION AUTHORIZING HIM TO EXECUTE AND IMPLEMENT THE DOD AND ACCEPTANCE BETWEEN PGA AND BAGONG SIBOL FARMERS</t>
  </si>
  <si>
    <t>FEBRUARY 23,2026</t>
  </si>
  <si>
    <t>REQUEST TO FURNISH US A CERTIFICATION OF AVAILABILITY OF FUNDS FOR THE TRUST FUND AWARDED BY THE DA-BFAR WORTH OF 5M</t>
  </si>
  <si>
    <t>MS. WILLEEN B. BADE</t>
  </si>
  <si>
    <t>REQUEST FOR THE ISSUANCE OF A CERTIFICATION OF AVAILABILITY OF FUNDS FOR THE MAINTENANCE AND OPERATION OF APADTC</t>
  </si>
  <si>
    <t>02/23-25,2026</t>
  </si>
  <si>
    <t>ASSIST ON GOING TRAINING OF AEWS, MONITOR SUPERVISE AGRICULTURAL ACTIVITIES</t>
  </si>
  <si>
    <t>SUGUIT RANG AY FARMERS ASSOCIATION OF BRGY. SUGUIT MARIA AURORA</t>
  </si>
  <si>
    <t>PLATIC CRATES</t>
  </si>
  <si>
    <t>HVCDP</t>
  </si>
  <si>
    <t>DIKILDIT FARMERS FARM SERVICE PROVIDER OF BRGY DIKILDIT MARIA AURORA</t>
  </si>
  <si>
    <t>SWEET POTATO CUTTINGS</t>
  </si>
  <si>
    <t>2026-02-095</t>
  </si>
  <si>
    <t>DA-RFO3 THROUGH RESEARCH FOR DEVELOPMENT DIVISION WILL BE CONDUCTING THE REGIONAL RICE R4D CONSULTATION AND BRIEFING ON MARCH 4-5,2026</t>
  </si>
  <si>
    <t>02/27/2026</t>
  </si>
  <si>
    <t>TO ASSIST THE CONDUCT OF LECTURE DEMO ON CHIPS PROCESSING</t>
  </si>
  <si>
    <t>TO CONDUCT  LECTURE DEMO ON CHIPS PROCESSING</t>
  </si>
  <si>
    <t xml:space="preserve">PGA THROUGH OPAG REQUEST FOR THE PROVISION OF ASSORTED VEGETABLE SEEDS </t>
  </si>
  <si>
    <t>MR. FERDIE APAN</t>
  </si>
  <si>
    <t>MARIA/BALER AND POINTS</t>
  </si>
  <si>
    <t>TO ASSIST SITE VALIDATION FOR SMALL SCALE COMPOSTING FACILITIES , TO ASSIT SITE VALIDATION FOR ORGANIC AGRI. PROG.</t>
  </si>
  <si>
    <t>FEBRUARY 12-13,2026</t>
  </si>
  <si>
    <t>ANGELES CITY</t>
  </si>
  <si>
    <t>FEB.25-26,2026</t>
  </si>
  <si>
    <t>CASIGURAN  DILASAG,AURORA</t>
  </si>
  <si>
    <t>REFERS TO THE ENDORSEMENT OF MAO OF LGU MARIA AURORA FOR THE APPLICATION OF ORGANIC FERTILIZER FOR CASSAVA PRODUCTION</t>
  </si>
  <si>
    <t>MS. MELODY G. NOMBRE- REGIONAL CORN COORDINATOR</t>
  </si>
  <si>
    <t>SITIO KAILAGAN INTEGRATED FARMING ASSOCIATION OF BRGY. MATAWE DINGALAN</t>
  </si>
  <si>
    <t>DIR. EDUARDO L. LAPUZ JR.DVM</t>
  </si>
  <si>
    <t>IBONA BANANA FARMERS ASSOCIATION OF BRGY. IBONA DINGALAN</t>
  </si>
  <si>
    <t>COFFEE SEEDLINGS</t>
  </si>
  <si>
    <t>MARALITANG SAMAHAN NG NAGKAKAISANG MAGSASAKA OF BRGY. DIKAPANIKIAN DINGALAN</t>
  </si>
  <si>
    <t>CENTRO PINGIT FARMERS ASSOCIATION OF BRGY. PINGIT BALER</t>
  </si>
  <si>
    <t>SITIO CABITUCULAN CORN AND HVC FARMERS ASSOCIATION OF. BRGY. RESERVA BALER</t>
  </si>
  <si>
    <t>TO VALIDATE FARM MACHINERY AND IRRIGATION INTERVENTION UNDER CORN PROGRAM PROCURED THROUGH 2025 GAA</t>
  </si>
  <si>
    <t>SUBMITTING THE ATTACHED FISHERIES ACCOMPLISHMENT REPORT OF AURORA PROVINCE AND TILAPIA FINGERLINGS PRODUCTION</t>
  </si>
  <si>
    <t>MS. ROMINA V. YUTUC- CHIEF,RFTFCD</t>
  </si>
  <si>
    <t>TO BE USED FOR SERVICE VEHICLE ON THE CONDUCT OF PARTICI[ATORY TRACKING AND MONITORING(JULY29-30,2026)</t>
  </si>
  <si>
    <t>TO BE USED ON AGRICULTURAL DEVELOPMENT SATELITE STATION(ADeSS)</t>
  </si>
  <si>
    <t>SUPPLY AND DELIVERY AND INSTALLATION OF JETMATIC WATER PUMP</t>
  </si>
  <si>
    <t>TO BE USED DURING THE TRAINING ON INTEGRATED PEST AND NUTRIENT MANAGEMENT FOR FARMERS(MAY 2026)</t>
  </si>
  <si>
    <t>SUPPLY DELIVERY OF AGRI SUPPLIES</t>
  </si>
  <si>
    <t>TO BE USED IN SUPPORT TO OJTS OF OPAG</t>
  </si>
  <si>
    <t>2026-02-097</t>
  </si>
  <si>
    <t xml:space="preserve">ATI-RTC3/OFFICE </t>
  </si>
  <si>
    <t>2026-02-096</t>
  </si>
  <si>
    <t xml:space="preserve">DA-RFO3 AMAD WILL BE CONDUCTING A TRADE FAIR IN CELEBRATION OF NATIONAL WOMENS MONTH </t>
  </si>
  <si>
    <t>MARCH24-26,2026</t>
  </si>
  <si>
    <t>MARQUEE MALL</t>
  </si>
  <si>
    <t>CODUCT THE TRAINING ON RICE BASED INTERGRATED FARMING SYSTEM</t>
  </si>
  <si>
    <t>MARCH2-6,2026</t>
  </si>
  <si>
    <t>ATI SANRAMON,DINALUPIHAN,BATAAN</t>
  </si>
  <si>
    <t>SUPPLY AND DELIVERY OF TRAINING SUPPLIES,</t>
  </si>
  <si>
    <t>SUPPLY AND DELIVERY OF TRAINING MATERIALS</t>
  </si>
  <si>
    <t>TO BE USED ON TRAINING ON ONION PRODUCTION MANAGEMENT(AUGUST)</t>
  </si>
  <si>
    <t>SUPPLY AND DELIVERY OF MEALS AND SNACKS</t>
  </si>
  <si>
    <t>TO BE GIVEN/DISTRIBUTED TO THE CACAO FARMERS ASSOCIATION/COOPERATIVE</t>
  </si>
  <si>
    <t>SUPPORT TO MALNOURISHED STUDENTS(GULAYAN SA PAARALAN)DINALUNGAN-JULY21,2026</t>
  </si>
  <si>
    <t>SUPPORT TO MALNOURISHED STUDENTS(GULAYAN SA PAARALAN)DINALUNGAN-JULY21,2027</t>
  </si>
  <si>
    <t>SUPPORT TO MALNOURISHED STUDENTS(GULAYAN SA PAARALAN)DINALUNGAN-JULY21,2028</t>
  </si>
  <si>
    <t>SUPPORT TO MALNOURISHED STUDENTS(GULAYAN SA PAARALAN)DINALUNGAN-JULY21,2029</t>
  </si>
  <si>
    <t>SUPPORT TO MALNOURISHED STUDENTS(GULAYAN SA PAARALAN)DINALUNGAN-JULY21,2030</t>
  </si>
  <si>
    <t>SUPPLY AND DELIVERY OF RICE</t>
  </si>
  <si>
    <t>SUPPORT TO POOREST FAMILIES (MAY 2026)</t>
  </si>
  <si>
    <t>SUPPLY AND DELIVERY OF VEGETABLES SEEDS AND GARDEN TOOLS</t>
  </si>
  <si>
    <t>SUPPORT TO POOREST FAMILIES (MAY 31 2026)</t>
  </si>
  <si>
    <t>TO BE USED IN THE SUPPORT PROJECT TO RURAL IMPROVEMENT CLUB DURING BENCH MARKING AND LECTURE DEMONTRATION( MAY11,2026)</t>
  </si>
  <si>
    <t xml:space="preserve">COASTER RENTAL </t>
  </si>
  <si>
    <t>TO BE USED IN THE SUPPORT PROJECT TO RURAL IMPROVEMENT CLUB DURING BENCH MARKING AND LECTURE DEMONTRATION( MAY26-272026)</t>
  </si>
  <si>
    <t>TO BE USED IN THE SUPPORT PROJECT TO RURAL IMPROVEMENT CLUB DURING  THE SEMI ANNUAL MEETING( OCT.6-72026)</t>
  </si>
  <si>
    <t>SUPPLY AND DELIVERY OF INGRIDIENTS</t>
  </si>
  <si>
    <t>TO BE USED IN THE SUPPORT PROJECT TO RURAL IMPROVEMENT CLUB DURING BENCH MARKING AND LECTURE DEMONTRATION( MAY 25,2026)</t>
  </si>
  <si>
    <t>SUPPLY AND DELIVERY OF FOOD PROCESSING MATERIALS</t>
  </si>
  <si>
    <t>SUPPORT PROJECT FOR RURAL IMPROVEMENT CLUB FOR THEIR INCOME GENERATIMG PROJECT/LIVELIHOOD(MAY12,2026)</t>
  </si>
  <si>
    <t>TO BE USED IN THE SUPPORT PROJECT TO RURAL IMPROVEMENT CLUB DURING  THE SEMI ANNUAL MEETING( MAY 12,2026)</t>
  </si>
  <si>
    <t>TO BE USED IN THE SUPPORT PROJECT TO RURAL IMPROVEMENT CLUB DURING BENCH MARKING AND LECTURE DEMONTRATION( MAY27,2026)TARLAC</t>
  </si>
  <si>
    <t>TO BE USED IN THE SUPPORT PROJECT TO RURAL IMPROVEMENT CLUB DURING BENCH MARKING AND LECTURE DEMONTRATION( MAY 26,2026)BULACAN</t>
  </si>
  <si>
    <t>TO BE USED IN THE SUPPORT PROJECT TO RURAL IMPROVEMENT CLUB DURING  THE SEMI ANNUAL MEETING( OCT.6-72026)DINALUNGAN</t>
  </si>
  <si>
    <t>LEASE OF VENUE</t>
  </si>
  <si>
    <t>TO BE DELIVERED ON APRIL15,2026</t>
  </si>
  <si>
    <t>TO BE USED DURING TRAINING ON MUSHROOM PRODUCTION(APRIL 15,2026)</t>
  </si>
  <si>
    <t>SUPPLY AND DELIVERY OF AGRICULTURAL AND MARINE SUPPLIES</t>
  </si>
  <si>
    <t>TO BE USED DURING TRAINING ON MUSHROOM PRODUCTION(SEPT.25,2026)</t>
  </si>
  <si>
    <t xml:space="preserve">SUPPLY AND DELIVERY OF OTHER SUPPLIES  </t>
  </si>
  <si>
    <t>TO BE SERVED DURING THE CONDUCT OF THE ABOVE-MENTIONED ACTIVITIES</t>
  </si>
  <si>
    <t>2026-02-098</t>
  </si>
  <si>
    <t>IMPLEMENTING RESEARCH PROJECT ENTITLED "PROFILING OF RICE-BASED HILLYLAND FARMERS IN AURORA"</t>
  </si>
  <si>
    <t>2026-02-099</t>
  </si>
  <si>
    <t>AURORA PROVINCIAL OFFICE, CAMP RABINA, SABANG BALER AURORA</t>
  </si>
  <si>
    <t>PNP ORGANIZATION(RPSB) REVITALIZED-PULIS SA BARANGAY PROGRAM REQUEST GIVE LECTURES ON BASIC GARDENING AND PLANTING</t>
  </si>
  <si>
    <t>2026-02-100</t>
  </si>
  <si>
    <t>MUNICIPALITY OF BALER</t>
  </si>
  <si>
    <t>DESIGNATION AS ACTING MAO</t>
  </si>
  <si>
    <t>SUBMITTING THE COPIES OF CORRECTED SLAN OF PERMANENT AND CASUAL EMPLOYEES OF THE OPAG</t>
  </si>
  <si>
    <t>2026-02-101</t>
  </si>
  <si>
    <t>PDRRMC</t>
  </si>
  <si>
    <t>AURORA PROVINCIAL DRRM COUNCIL FIRST QUARTER FULL COUNCIL MEETING CY 2026</t>
  </si>
  <si>
    <t>MARCH 3,2026 9AM</t>
  </si>
  <si>
    <t>2026-02-102</t>
  </si>
  <si>
    <t>OFFICE OF THE PROVINCIAL ADMINISTRATOR</t>
  </si>
  <si>
    <t>REQUEST FOR FINANCIAL ASSISTANCE (CARAGSACAN PALAYAMANAN FARMERS ASSOCIATION)</t>
  </si>
  <si>
    <t>02/24/2026</t>
  </si>
  <si>
    <t>MARCH 2-6,2026</t>
  </si>
  <si>
    <t>SAN RAMON DINALUPIHAN, BATAAN</t>
  </si>
  <si>
    <t>TO ATTEND TRAINING IN RICE-BASED INTEGRATED FARMING SYSTEM</t>
  </si>
  <si>
    <t>MARCH 3-5,2026</t>
  </si>
  <si>
    <t>TO ATTEND RICE REASERCH AND DEVELOPMENT CUNSOLTATIOIN AND BRIEFING</t>
  </si>
  <si>
    <t xml:space="preserve">CLUSTER 1 CORN FARMERS ASSOCIATION </t>
  </si>
  <si>
    <t>CORN SEEDS AND FERTILIZERS</t>
  </si>
  <si>
    <t>ZARINA CORALES ET.AL.</t>
  </si>
  <si>
    <t>FEB.1-15,2026</t>
  </si>
  <si>
    <t>AARON POSERIO ET.AL.</t>
  </si>
  <si>
    <t>DIBUT SAN LUIS, AURORA</t>
  </si>
  <si>
    <t>TO ATTEND AND SUPPORT THE HANDS-ON TRAINING IN SEEWEED NURSERY AND CULTURE MANAGEMENT</t>
  </si>
  <si>
    <t>BALER, DIPACULAO AND POINTS</t>
  </si>
  <si>
    <t>TO AWARD VEGETABLES SEEDS REQUESTED BY RIC RESERVA AND COORDINATION REGARDING THE RESULT OF ORW CONTEST</t>
  </si>
  <si>
    <t>ROSARIO R. TANGSON SR. NATIONAL HIGH SCHOOL</t>
  </si>
  <si>
    <t>R.P. FOR MUSHROOM PRODUCTION</t>
  </si>
  <si>
    <t>MAYOR CESARIO PIMENTEL NATIONAL HIGH SCHOOL</t>
  </si>
  <si>
    <t>TRAINING FOR MUSHROOM PRODUCTION</t>
  </si>
  <si>
    <t>FEBRUARY 25,2026</t>
  </si>
  <si>
    <t>LIST OF FCAS AND REQUESTED INTERVENTION AND SCHEDULED FOR VALIDATION IN FE. 25,2026</t>
  </si>
  <si>
    <t>HON. REYNOLD S, SORIANO-MAYOR CASIGURAN</t>
  </si>
  <si>
    <t xml:space="preserve">COORDINATE WITHMPDC AND CONDUCT ACTUA FOD FOR PROSPECT BENIFIECIARIES </t>
  </si>
  <si>
    <t>CASIGURAN,AURORA</t>
  </si>
  <si>
    <t xml:space="preserve">CLUSTER 2 CORN FARMERS ASSOCIATION </t>
  </si>
  <si>
    <t>DIBALONG CORN FARMERS ASSOCIATION</t>
  </si>
  <si>
    <t>MANNALON A NAANUS FARMERS ASSOCIATION</t>
  </si>
  <si>
    <t>BAGGER COLLECTOR</t>
  </si>
  <si>
    <t>CLSUS IMPLEMENTINGTHE DOST-PCAARRD FUNDED PROJECT TITLED "PRODUCTIVITY TECHNICAL EFFICIENCY(CACAO TALKS 2026)</t>
  </si>
  <si>
    <t>2026-02-104</t>
  </si>
  <si>
    <t>CONDUCT PRE-PROCUREMENT CONFERENCE</t>
  </si>
  <si>
    <t>FEB.25,2026 10AM</t>
  </si>
  <si>
    <t>BAC OFFICE</t>
  </si>
  <si>
    <t>2026-02-0105</t>
  </si>
  <si>
    <t>SUBMISSION OF LIST OF RECOMMENDED JOB ORDER PERSONNEL FOR THE 2ND QUARTER OF 2026(APRIL TO JUNE 2026)</t>
  </si>
  <si>
    <t>FEB.27,2026</t>
  </si>
  <si>
    <t>2026-02-106</t>
  </si>
  <si>
    <t>ADC 2026 SOUVENIR PICTORIAL</t>
  </si>
  <si>
    <t>MPL</t>
  </si>
  <si>
    <t>03/2-3/2026</t>
  </si>
  <si>
    <t>FEB.25,2026</t>
  </si>
  <si>
    <t xml:space="preserve">ROMMEL PICART </t>
  </si>
  <si>
    <t>FE.24,2026</t>
  </si>
  <si>
    <t xml:space="preserve">ENDORSE MR. ALVIN A. BUTAY A STUDENT FROM TARLAC AGRICULTURAL UNIVERSITY </t>
  </si>
  <si>
    <t>MAO MARIA</t>
  </si>
  <si>
    <t>REFERENCE LETTER OF DA-RFO3 REGARDING THE CONDUCT OF OPERATIONAL FIELD MONITORING SCHEDULE ON MARCH 9-13,2026</t>
  </si>
  <si>
    <t>2026-02-107</t>
  </si>
  <si>
    <t xml:space="preserve">           </t>
  </si>
  <si>
    <t>ARNOLD B NOVICIO ET.AL.</t>
  </si>
  <si>
    <t>1 BAG</t>
  </si>
  <si>
    <t>HYBRID CORN SEEDS@DK82825@9KG.</t>
  </si>
  <si>
    <t>DA-RFO3 -FOR 2026 FARMERS FIELD SCHOOL</t>
  </si>
  <si>
    <t>2 BAGS</t>
  </si>
  <si>
    <t>INORGANIC FERTILIZER(UREA46-0-0</t>
  </si>
  <si>
    <t>AMCO BEACH RESORT</t>
  </si>
  <si>
    <t>SPA ORGANIC  PROGRAM(CATERING)</t>
  </si>
  <si>
    <t>MARCH 31,2026</t>
  </si>
  <si>
    <t>SPA ORGANIC  PROGRAM(CATERING) WITH ACCOMODATION</t>
  </si>
  <si>
    <t>EYAN</t>
  </si>
  <si>
    <t>INORGANIC FERTILIZER(COMPLETE FERTILIZER 14-14-14)</t>
  </si>
  <si>
    <t>INORGANIC FERTILIZER (MOP-0-0-60</t>
  </si>
  <si>
    <t>2026-02-108</t>
  </si>
  <si>
    <t>SGP</t>
  </si>
  <si>
    <t>REQUEST FOR 3 DAYS CAPACITY BUILDING TRAINING ON BIODIVERSITY FRIENDLY AGRICULTUREGOAT AND CHICKEN PRODUCTION)</t>
  </si>
  <si>
    <t>FEBRUARY 26,2026</t>
  </si>
  <si>
    <t>COMPLIENCE TO MEMO ORDER NO.02-098SERIES OF 2025 SUBMISSION OF LIST RECOMMENDATION J.O PERSONEL FOR THE 2ND QUARTER</t>
  </si>
  <si>
    <t>MR. JUDE FULGAR</t>
  </si>
  <si>
    <t>SUPPLY AND DELIVERY OF REINFORCE FIBER GLASS BOAT MAKING MATERIALS</t>
  </si>
  <si>
    <t>TO BE USED AND DISTRIBUTE TO THE TYPHOON AFFECTED(JUNE2026)</t>
  </si>
  <si>
    <t>TO BE SERVED DURING PROVINCIAL/REGIONAL TO GULAYAN SA BARANGAY/BAYAN</t>
  </si>
  <si>
    <t>SUPPLY AND DELIVERY OF PAINT</t>
  </si>
  <si>
    <t>TO BE USED FOR THE IMPLEMANTATION OF GULAYAN SA BARANGAY/BAYAN PROGRAM</t>
  </si>
  <si>
    <t>SUPPLY ABD DELIVERY OF TARPAULINE</t>
  </si>
  <si>
    <t>SUPPLY AND DELIVERY OF TOKEN</t>
  </si>
  <si>
    <t>30,000..00</t>
  </si>
  <si>
    <t xml:space="preserve">SUPPLY AND DELIVERY OF VEGETABLES SEEDS </t>
  </si>
  <si>
    <t>2026-02-109</t>
  </si>
  <si>
    <t>OFFICE OF SANGGUNIANG PANLALAWIGAN</t>
  </si>
  <si>
    <t>TRANSMITTING INFORMATION AND REFERENCE,COPY OF ORDINANCE NO.612,CURRENT SERIES TITLED "AURORA AGRI-FISHIERIES SCHOLARSHIP PROGRAM "</t>
  </si>
  <si>
    <t>MS. MARIA OLIVIA D. MAZA_SECRETARY OF THE SANGGUNIAN</t>
  </si>
  <si>
    <t xml:space="preserve">ARNOLD B. NOVICIO </t>
  </si>
  <si>
    <t>SUBMITING COPIES OF CONTRACT OF SERVICE OF THE FF JOB ORDER ASSIGNED AT THE OPAG FOR THE PERIOD OF JANUARY TO MARCH 2026</t>
  </si>
  <si>
    <t>MS. WILLEEN BADE</t>
  </si>
  <si>
    <t>SUPERVICE ON-GOING BIO-GAS PROJECTINSTALLATION MONITORING/FACILITATE OTHERAGRICULTURAL PROJECTS</t>
  </si>
  <si>
    <t>02/20 AND25/2026</t>
  </si>
  <si>
    <t>FEBRUARY26,2026</t>
  </si>
  <si>
    <t>TO ATTEND CACAO TALKS 2026: ACACAO VALUE CHAIN CONFERENCE</t>
  </si>
  <si>
    <t>SEVEN CACAO FARMERS/GROWERS</t>
  </si>
  <si>
    <t>AFTEC, RESERVA</t>
  </si>
  <si>
    <t>ASSIST IN THE FACILITATION OF TURN OVER CEREMONY OF CATFISH HATCHERY AND SOLAR POWERED WATER PUMP SYSTEM PROJECT</t>
  </si>
  <si>
    <t>03/4-6/2026</t>
  </si>
  <si>
    <t>SUBMITING REQUEST OF PGA OF OPAG FOR THE ASSORTED SEEDS</t>
  </si>
  <si>
    <t>ENG.AB.P DAVID</t>
  </si>
  <si>
    <t>JARICA PADILLA/ MANUEL AMATORIO</t>
  </si>
  <si>
    <t>MARIA AURORAAND OBIGACION</t>
  </si>
  <si>
    <t>TO MONITOR THE DELIVERY OF SWEET POTATO CUTTINGS AND FARM VISIT TO HVC FARM/TECHNICAL ASSITANCE</t>
  </si>
  <si>
    <t>2026-02-110</t>
  </si>
  <si>
    <t>STRICT PROHIBITED ON REPORTING FORWORK WITHOUT A DULY EXECUTED CONTRACT OF SERVICE AND ADVANCE PREPARATION OF J.OCONTRACTS</t>
  </si>
  <si>
    <t>2026-02-111</t>
  </si>
  <si>
    <t>OFFICE OF PROVINCIAL BOARD MEMBER</t>
  </si>
  <si>
    <t>HON. ISIDRO GALBAN GOV. REQUETING PASSAGE OF A RESULITION AUTHORIZING HIM TO SIGN AND ENTER INTO A MOA</t>
  </si>
  <si>
    <t>FEB.27,2026 3PM</t>
  </si>
  <si>
    <t>FEB.26,2026</t>
  </si>
  <si>
    <t>CASIGURAN</t>
  </si>
  <si>
    <t>FEBRUARY 27,2026</t>
  </si>
  <si>
    <t>RECEIVE LETTER FROM BFAR DATED JAN.28,2026 5M PESOS FUND DOWNLOADED TO PGA FOR THE PROCUREMENT OF RAW MATERIALS AND MAINTENANCE OF THE AURORA AQUA FEEDMILL</t>
  </si>
  <si>
    <t>MS. ARMIDA C. PALISPIS</t>
  </si>
  <si>
    <t>JANUARY 2026</t>
  </si>
  <si>
    <t>JOEMAR MIANA</t>
  </si>
  <si>
    <t>MARCH11,2026</t>
  </si>
  <si>
    <t>TO ATTEND CACAO TALKS 2026;A CACAO VALUE CHAIN CONFERENCE</t>
  </si>
  <si>
    <t xml:space="preserve">OBR-JIA OFFICE SUPPLIES AND EQUIPMENT TRAIDING </t>
  </si>
  <si>
    <t>SPO-RBO, SPA-RICE, REGULAR MOOE</t>
  </si>
  <si>
    <t>56,190.00 NINIA</t>
  </si>
  <si>
    <t>PHOTO BOOTH RENTAL</t>
  </si>
  <si>
    <t>TO BE USED DURING POAC ON NOVEMBER 5-6,2026</t>
  </si>
  <si>
    <t>SOUND SYSTEM RENTAL</t>
  </si>
  <si>
    <t>TO BE USED DURING POAC ON NOVEMBER 5-6,2027</t>
  </si>
  <si>
    <t>SUPPLY AND DELIVERY OF STAGE DÉCOR</t>
  </si>
  <si>
    <t>TO BE USED DURING POAC ON NOVEMBER 5-6,2028</t>
  </si>
  <si>
    <t>SUPPLY AND DELIVERY OF TARPAULINE AND TOKEN</t>
  </si>
  <si>
    <t>TO BE USED DURING POAC ON NOVEMBER 5-6,2029</t>
  </si>
  <si>
    <t>SUPPY AND DELIVERY OF AGRICULTURAL AND MARINE SUPPLIES</t>
  </si>
  <si>
    <t>TO BE SERVED DURING POAC</t>
  </si>
  <si>
    <t>SUPPLY AND DELIVERY OF SHIRT AND TOKEN</t>
  </si>
  <si>
    <t>SUPPLY AND DELIVERY OF CATERING SERVICE</t>
  </si>
  <si>
    <t>TO BE USED DURING POAC ON NOVEMBER 5-6,2030</t>
  </si>
  <si>
    <t>TO BE USED MEETING MA'S AND MUN.OA FOCALS(APRIL 30,2026 CENTRAL AURORA)</t>
  </si>
  <si>
    <t>TO BE USED MEETING MA'S AND MUN.OA FOCALS(NOVEMBER 27,2026 CENTRAL AURORA)</t>
  </si>
  <si>
    <t>TO BE USED IN ORGANIC PROGRAM ON MAY 26-29,2026 AT DICADI</t>
  </si>
  <si>
    <t xml:space="preserve">SUPPLY AND DELIVERY OF CATERING SERVICE </t>
  </si>
  <si>
    <t>TO BE USED MEETING MA'S AND MUN.OA FOCALS(SEP. 4,2026 AT CENTRALAURORA)</t>
  </si>
  <si>
    <t>TO BE USED OPERATION AND MAINTENANCE OF VERMI PRODUCTION PROJECT DELIVERED ON MAY</t>
  </si>
  <si>
    <t>TO BE SERVED DURING THE CONDUCT OF MEETING REGARDING THE PALAY MARKETING INCENTIVES PRO.(BALER AUGUST 26,2026</t>
  </si>
  <si>
    <t>TO BE SERVED DURING THE CONDUCT OF MEETING REGARDING THE PALAY MARKETING INCENTIVES PRO.(BALER MAY 28,2026)</t>
  </si>
  <si>
    <t>SIGNED LIST OF FARMER BENEFICIARIES CROPS DIVERSIFICATION PROGRAM 2025 FROM CASIGURAN, SOIL SAMPLE FROM ARLYN ARQUERO ANDRODERICK TANGGALIN</t>
  </si>
  <si>
    <t>2026-03-115</t>
  </si>
  <si>
    <t>BRGY. FOOD TERMINAL ASSOCIATION</t>
  </si>
  <si>
    <t>REQUEST FOR USE OF HAULING TRUCK FOR DELIVERYOF 150 CAVANSOF 20PHP RICE FROM CABANATUAN</t>
  </si>
  <si>
    <t>2026-03-116</t>
  </si>
  <si>
    <t>REQUEST FOR 5 YEARS ECONOMIC DEVELOPMENT DATA</t>
  </si>
  <si>
    <t>2026-03-117</t>
  </si>
  <si>
    <t>PHILHEALTH MEMBERSHIP OF JOB ORDER PERSONNEL</t>
  </si>
  <si>
    <t>2026-03-118</t>
  </si>
  <si>
    <t>OFFICIAL EMAIL OF THE OFFICIAL TRANSACTION</t>
  </si>
  <si>
    <t>2026-03-119</t>
  </si>
  <si>
    <t>EXECUTIVE ORDER CREATING THE TECHNICAL WORKING GROUP(TWG)FOR THE FORMOLATION OF THE PROVINCIAL FARM TO MARKET ROAD NETWORK PLAN(FMRNP)</t>
  </si>
  <si>
    <t>2026-03-120</t>
  </si>
  <si>
    <t>CITY OF PALAYAN, N.E</t>
  </si>
  <si>
    <t>2026-03-121</t>
  </si>
  <si>
    <t>NIA</t>
  </si>
  <si>
    <t>SYSTEM MANAGEMENT COMMITTEE(SMC) MEETING</t>
  </si>
  <si>
    <t>03/26-27/2026</t>
  </si>
  <si>
    <t>MARCH 02,2026</t>
  </si>
  <si>
    <t>INFORM THAT PAFC MEETING ON MARCH 5,2026 9AM AT APADTC</t>
  </si>
  <si>
    <t>2026-03-122</t>
  </si>
  <si>
    <t>PDRMO</t>
  </si>
  <si>
    <t>CHANGE OF VENUE OF AURORA PROVINCIAL DRRM COUNCIL FIRST QUARTER FULL MREETING</t>
  </si>
  <si>
    <t>DIAAT, MARIA AURORA</t>
  </si>
  <si>
    <t>TO MONITOR THE DELIVERY OF 15,000 PCS CACAO SEEDLINGS UNDER CFIDP/TECHNICAL ASSISTANCE</t>
  </si>
  <si>
    <t>03/17-19/2026</t>
  </si>
  <si>
    <t>WELNESS LEAVE</t>
  </si>
  <si>
    <t>FERBIE BLUE TRAINING AND ASSESMENT CENTER INC BRGY L. PIMENTEL SAN LUIS AURORA</t>
  </si>
  <si>
    <t>SMALL SCALE COMPOSTING FACILITY</t>
  </si>
  <si>
    <t>ORGANIC PROGRAM</t>
  </si>
  <si>
    <t>ZEN TIERRAS FARM ECO-AGRICULTURISM HUB TRAINING AND ASSESMENT CENTER INC</t>
  </si>
  <si>
    <t>03/16-17/2026</t>
  </si>
  <si>
    <t>SYSTEM MANAGEMENT COMMITTEE (SMC) MEETING ON MARCH 3-4, 2026</t>
  </si>
  <si>
    <t>MABUNGA CACAO PLANTERS ASSOCIATION OF BRGY. UMIRAY, DINGALAN, AURORA</t>
  </si>
  <si>
    <t>REPAIR AND MAINTENANCE OF SERVICE VEHICLE FOTON (TRUCK)</t>
  </si>
  <si>
    <t>MABUNGA CACAO PLANTERS ASSOCIATION</t>
  </si>
  <si>
    <t>FEB. 27, 2026</t>
  </si>
  <si>
    <t>ATTACHED PURCHASE REQUEST RE: PURCHASE AND DELIVERY OF SACKS</t>
  </si>
  <si>
    <t>REQUEST THE PROVISION OF THE SAMLL SCALE COMPOSTING FACILITY (SSCF)</t>
  </si>
  <si>
    <t>DIR. EDUARDO L. LAPUZ</t>
  </si>
  <si>
    <t>2026-03-124</t>
  </si>
  <si>
    <t>7TH CIVIL MILITARY OPERATIONS(GWAPO)</t>
  </si>
  <si>
    <t>"ARMY CARES" UGAT NG LAHING KATUTUBO IPAGBUNYI</t>
  </si>
  <si>
    <t>MARCH 14,2026 6AM</t>
  </si>
  <si>
    <t>2026-03-114</t>
  </si>
  <si>
    <t>2026-03-125</t>
  </si>
  <si>
    <t>PROCESSING OF CONVERGENCE SOCIAL PROTECTION PROGRAM</t>
  </si>
  <si>
    <t>MARCH 4,2026 2PM</t>
  </si>
  <si>
    <t xml:space="preserve">PSWDO CONFERENCE ROOM BALER </t>
  </si>
  <si>
    <t>ALEXANDER POSTOR</t>
  </si>
  <si>
    <t>DENNIS ESCOBAR</t>
  </si>
  <si>
    <t>JOHN AIKO HERMINIGILDO</t>
  </si>
  <si>
    <t>ROLDAN PIMENTEL</t>
  </si>
  <si>
    <t>JEROME OLEA</t>
  </si>
  <si>
    <t>PEPITO ALCANTARA</t>
  </si>
  <si>
    <t>03/3-4/2026</t>
  </si>
  <si>
    <t>BARANGAY NONONG SANLUIS</t>
  </si>
  <si>
    <t>HAULING COCONUT SLABS FOR GOAT PEN CONSTRACTION</t>
  </si>
  <si>
    <t>LARAIN GINES</t>
  </si>
  <si>
    <t>TO MONITOR AND GATHER DATA FOR THE IMPLEMENTATION OF THE RESEARCH PROJECT OF DA ENTITLED"DEVELOPMENT AND TESTING OF PESTT MANAGEMENT STRATEGIES ON CORN ARMYWORM</t>
  </si>
  <si>
    <t>3/4-6/2026</t>
  </si>
  <si>
    <t>TO ATTEND TRAINING OF TRAINERS ON COCONUT CACAO FARMING SYSTEM</t>
  </si>
  <si>
    <t>3/3-5/2026</t>
  </si>
  <si>
    <t>MAO BALER, SANLUIS NONONG, APADTC</t>
  </si>
  <si>
    <t>COORDINATES RE; PAFC OFFICERS, FACILITATE HAULING OF COCNUT SLABS, FACILITATE PAFC MEETING</t>
  </si>
  <si>
    <t>MARCH 13,2026</t>
  </si>
  <si>
    <t>CABANATUAN N.E</t>
  </si>
  <si>
    <t>FOR THE PRC ID RENEWAL</t>
  </si>
  <si>
    <t>TO FACILITATE AND EVALUATE SITE VALIDATION OF AGRITOURISM</t>
  </si>
  <si>
    <t>03/11-13/2026</t>
  </si>
  <si>
    <t>TO BE USED DURING THE ABOVE MENTIONED ACTIVITIES</t>
  </si>
  <si>
    <t>SUPPY AND DELIVERY OF FRESHBANGUS</t>
  </si>
  <si>
    <t>TO BE DURING TRAINING ON BANGUS DEBONING JUNE 24,JULY24,AUGUST 20AND 27,2026</t>
  </si>
  <si>
    <t>SUPPLY AND DELIVERY OF BASIN,STYROBOX AND KITCHEN KNIFE</t>
  </si>
  <si>
    <t>TO BE DURING TRAINING ON BANGUS DEBONING JUNE 24,2026</t>
  </si>
  <si>
    <t>TO BE DURING TRAINING ON BANGUS DEBONING JUNE 24,2027</t>
  </si>
  <si>
    <t>TO BE DURING TRAINING ON BANGUS DEBONING</t>
  </si>
  <si>
    <t>SUPPLY AND DELIVERY OF STAINLESS STEEL</t>
  </si>
  <si>
    <t>MARCH14-22,2026</t>
  </si>
  <si>
    <t>NAVOTAS FISHPORT, NAVOTAS CITYT</t>
  </si>
  <si>
    <t>TO ATTEND TRAINING ON BOAT CAPTAIN I ANDMOTORMAN I LEADING TO MARINALICENSE/</t>
  </si>
  <si>
    <t>OBR-AARON POSERIO ET AL</t>
  </si>
  <si>
    <t xml:space="preserve"> FEB.16-28,2026</t>
  </si>
  <si>
    <t>OBR-ARVICLOU ADALID ET AL</t>
  </si>
  <si>
    <t>FEB.11-28,2026</t>
  </si>
  <si>
    <t>2026-03-126</t>
  </si>
  <si>
    <t>AMH</t>
  </si>
  <si>
    <t>REQUEST FOR ASSORTED VEGETABLE SEEDLINGS AND GARDEN SUPPLIES FOR GREEN VIABILITY ASSESMENT</t>
  </si>
  <si>
    <t>OBR- GOLDEN PAD OFFICE SUPPLIES AND EQUIPMENT</t>
  </si>
  <si>
    <t>SPA-ORGANIC REGULAR MOOE-RICE</t>
  </si>
  <si>
    <t>2026-03-127</t>
  </si>
  <si>
    <t>AN ORDER ADOPTING THE NATION POLICY ON NUTRITION IN EMERGENCY AND  CREATING THE PROVINCIAL CLUSTER DURING EMERGENCIES AND DISASTERS IN THE PROVINCE OF AURORA</t>
  </si>
  <si>
    <t>2026-03-128</t>
  </si>
  <si>
    <t xml:space="preserve"> AN EXECUTIVE ORDER ESTABLISHING THE COMMUNAL GARDEN PROGRAM IN EVERY BARANGAY IN THE PROVINCE OF AURORA,PRESCRIBING THE GUIDELINES AND MECHANICS FOR ITS IMPLEMENTATION</t>
  </si>
  <si>
    <t>2026-03-129</t>
  </si>
  <si>
    <t xml:space="preserve"> AN ORDER REORGANIZING AND STRENGTHENING THE AURORA PROVINCE BANTAY ASIN TASJ FORCE</t>
  </si>
  <si>
    <t>2026-03-130</t>
  </si>
  <si>
    <t>PARTICIPATION IN THE CLEAN-UP DRIVE AND TREE PLANTING ACTIVITY AS KICK-OFF EVENT FOR THE MONTH 2026 NATINAL WOMENS MONTHS CELEBRATION</t>
  </si>
  <si>
    <t>MARCH6,2026 6AM ERMITA HILL</t>
  </si>
  <si>
    <t>MANNALON A NAANUS FARMERS ASSOCIATION BRGY. STO. CRISTO MARIA AURORA</t>
  </si>
  <si>
    <t>1 UNIT MOISTURE METER</t>
  </si>
  <si>
    <t>CORN AND CASSAVA PROGRAM</t>
  </si>
  <si>
    <t>SAN LUIS CORN AND CASSAVA GROWERS ASSOCIATION OF BRGY. SAN ISIDRO SAN LUIS</t>
  </si>
  <si>
    <t>1 UNIT GRAIN COLLECTOR BAGGER AND 1 UNIT MOOISTURE METER</t>
  </si>
  <si>
    <t>2026-03-131</t>
  </si>
  <si>
    <t>BFAR</t>
  </si>
  <si>
    <t>INVITATION TO ATTENDTHE 1ST PROVINCIAL FISHERIES OFFICER MEETING</t>
  </si>
  <si>
    <t>UNITED FARMERS ASSOCIATION BRGY. DITALE DIPACULAO</t>
  </si>
  <si>
    <t>MARCH 12-13,2026</t>
  </si>
  <si>
    <t>BFAR-CAR BAGUIO</t>
  </si>
  <si>
    <t>TO ATTEND 1ST PROVICIAL FISHERIRES OFFICER</t>
  </si>
  <si>
    <t xml:space="preserve">SUBMITTING OUR SPECIAL ORDER(S.O) FOR 2026 FOR ALL CORN/CASSAVA TECHNICAL STAFF OF AURORA </t>
  </si>
  <si>
    <t>MARCH 04,2026</t>
  </si>
  <si>
    <t>TUGUEGARAO</t>
  </si>
  <si>
    <t>03/2-5/2026</t>
  </si>
  <si>
    <t>PACIFIC WAVE SABANG BALER</t>
  </si>
  <si>
    <t>TO BE SERVED AS RESOURCE SPEAKER TO THE CONDUCTED TRAINING OF TRAINERS ON COCONUT CACAO FARMING SYSTEM</t>
  </si>
  <si>
    <t>MANGGITAHAN FARMER IRRIGATORS RICE CORN CASSAVA ASSOCIATIONINC. OF BRGY. MANGGITAHAN DILASAG AURORA</t>
  </si>
  <si>
    <t>CABANUANGAN MALADIPAY IRRIGATORS ASSOCIATION INC BRGY. DIMASESET DILASAG</t>
  </si>
  <si>
    <t>FOUR WHEELDRIVE TRACTOR</t>
  </si>
  <si>
    <t>TO ASSIST REGIONAL GAWAD SAKA AWARDS TEAM IN THE AUDIO VIDEO PRESENTATION(AVP) PREPARATION OF BARRAMEDA CACAO FARM</t>
  </si>
  <si>
    <t>DIPACULAO AURORA</t>
  </si>
  <si>
    <t>TO VISIT AND GIVE TECHNICAL ASSISTANCE ON THE BENEFICIARIES OF ONION</t>
  </si>
  <si>
    <t>MARCH 05,2026</t>
  </si>
  <si>
    <t xml:space="preserve">SUBMITTING THE ATTACHED DOCUMENTS OF MUNICIPALITIES, THEIR RECIPIENT </t>
  </si>
  <si>
    <t>SUBMITTING THE ATTACHED DOCUMENTS OF MUNICIPALITIES, THEIR RECIPIENT SIGNED LIST AND CSM FORM</t>
  </si>
  <si>
    <t>SUBMIITING THE ATTACHED DOCUMENTS OF QUICK RESPONSE FUND(QR) FOR 2024(SOIL AMELIORANTS-VIGOR MAX)</t>
  </si>
  <si>
    <t>2026-03-132</t>
  </si>
  <si>
    <t>2026-03-133</t>
  </si>
  <si>
    <t>ATI-RTC3 AS THE CAPACITY BUILDER,KNOWLEDGE BANK,AND CATALYST OF A HORMONIZED PHILIPPINE AGRICULTURE AND FISHERIES COUDUCT TRAINING ON FARM BUSINESS SCHOOL FOR CORN ON APRIL 13-22,2026</t>
  </si>
  <si>
    <t>APRIL 13-22,2026</t>
  </si>
  <si>
    <t>SATELITE OFFICE PALAYAN CITY</t>
  </si>
  <si>
    <t>PCAF</t>
  </si>
  <si>
    <t>PCAF AN ATTACHED AGENCY OF THE DA,FOSTER PRIVATE PUBLIC PARTNERSHIP IN POLICY DEVELOPMENT BY FACILITATING INCLUSIVE PARTICIP[ATORY DEVELOPMENT MECHANISM ACROSS THE AGRICULTURE ANFD FISHERIES</t>
  </si>
  <si>
    <t>MARCH25-27,2026</t>
  </si>
  <si>
    <t>METRO MANILA</t>
  </si>
  <si>
    <t>2026-03-134</t>
  </si>
  <si>
    <t>AURORA2ND PROVINCIAL MOBILE FORCE COMPANY DIBALONG CASIGURAN</t>
  </si>
  <si>
    <t xml:space="preserve">IMPLEMENTING THE REVITILIZED PULIS SA BARANGAY(R-PSB) PROGRAM AT BARANGAY DITINAGYAN CASIGURAN </t>
  </si>
  <si>
    <t>2026-03-135</t>
  </si>
  <si>
    <t>DA-RFO3</t>
  </si>
  <si>
    <t>PPCMD OF DA WILL CONDUCT ITS OPERATIONAL FIELD MONITORING</t>
  </si>
  <si>
    <t>2026-03-136</t>
  </si>
  <si>
    <t>DA-RFO4</t>
  </si>
  <si>
    <t>DA-RFO3 REGIONAL CORN PROGRAM IS CURRENTLY VERIFYING APPLICATIONS FOR FARM MACHINERY AND IRRIGATION INTERVENTIONS UNDER CORN PROGRAM</t>
  </si>
  <si>
    <t>2026-03-137</t>
  </si>
  <si>
    <t>DA-RFO5 OFFICE OF THE SECRETARY</t>
  </si>
  <si>
    <t xml:space="preserve">REFERS TO FPCDM OF THE FIELD OPERATION SERVICE OPERATIONAL FIELD MONITORING INITIALLY </t>
  </si>
  <si>
    <t>MARCH 9-13,2026</t>
  </si>
  <si>
    <t>2026-03-138</t>
  </si>
  <si>
    <t>RABIES UPDATES</t>
  </si>
  <si>
    <t>MARCH 10,2026</t>
  </si>
  <si>
    <t>2026-03-139</t>
  </si>
  <si>
    <t>ATI-RTC3 AS THE CAPACITY BUILDER -CONDUCT THE VALIDATION AND ASSESSMENT OF RECOGNIZED RICE CLUSTERS IN THE PROVINCE OF AURORA</t>
  </si>
  <si>
    <t>MARCH10-13,2026</t>
  </si>
  <si>
    <t>04/1 AND 6/2026</t>
  </si>
  <si>
    <t>3/11,12,13,16 AND 17/2026</t>
  </si>
  <si>
    <t>5DAYS</t>
  </si>
  <si>
    <t>2026-03-140</t>
  </si>
  <si>
    <t>CODUCT OF CY2026 QUARTERLY NATIONWIDE SIMULTANEOUS EARTQUAKE DRILL(NSED)</t>
  </si>
  <si>
    <t>2026-03-141</t>
  </si>
  <si>
    <t>INVITATION FOR CONDUCT OF TRAINING ON STANDARD FIRST AID(SFA) AND BASIC LIFE SUPPORT (BLS) FOR PDRRMC(BATCH1)</t>
  </si>
  <si>
    <t>REQUEST FOR THE ISSUANCE OF A CERTIFICATION OF AVAILABILITY OF FUNDS FOR THE SUPPLY AND DELIVERY OF CONSTRUCTION/HARDWARE SUPPLIES MATERIALS AF THE OPAG</t>
  </si>
  <si>
    <t>TO ATTEND PAFC MEETING</t>
  </si>
  <si>
    <t>2026-03-142</t>
  </si>
  <si>
    <t>MUNICIPALITY OF DIPACULAO</t>
  </si>
  <si>
    <t>RIC DIPACULAO FEDERATION THROUGH MAO IS TO INVITE MAAM JOYCELINDA REYES PROVINCIAL RIC COORDINATOR,TO THE 1ST SEMI-ANNUAL MEETING</t>
  </si>
  <si>
    <t>MARCH 17,2026</t>
  </si>
  <si>
    <t>DON CLARO M. RECTO AMHITHEATER, DIPACULAO AURORA</t>
  </si>
  <si>
    <t>2026-03-143</t>
  </si>
  <si>
    <t>PHIL RICE</t>
  </si>
  <si>
    <t>DA-PHILRICE THE RCEF-PMO FIELD OPERATION MONITORING DIVISION(FOMD) REQUEST SUPPORT AND PARTICIPATION IN THE CONDUCT OF THE TECHNICAL BRIEFING ON SEED PARTICIPATION AND MULTIPLICATION</t>
  </si>
  <si>
    <t>MARCH 17,2026 8AM-12AM</t>
  </si>
  <si>
    <t>BRGY.ESTEVES(BRGY. HALL) CASIGURAN AURORA</t>
  </si>
  <si>
    <t>2026-03-144</t>
  </si>
  <si>
    <t>2026-03-145</t>
  </si>
  <si>
    <t>PPMIU</t>
  </si>
  <si>
    <t>COORDINATION MEETING WITH MPDC'S,LFC'S AND PPMIU MEMBERS</t>
  </si>
  <si>
    <t>MARCH 10,2026 2PM</t>
  </si>
  <si>
    <t>2026-03-146</t>
  </si>
  <si>
    <t>GAD</t>
  </si>
  <si>
    <t>GAD FOCAL POINT SYSTEM</t>
  </si>
  <si>
    <t>MARCH 10,2026 1PM</t>
  </si>
  <si>
    <t>GOVERNORS CONFERENCE ROOM</t>
  </si>
  <si>
    <t>2026-03-147</t>
  </si>
  <si>
    <t>IMPLEMENTATION OF PURPLE FRIDAY IN THE WHOLE MONTH OF MARCH</t>
  </si>
  <si>
    <t>03/11-12/2026</t>
  </si>
  <si>
    <t>03/30-31-1/2026</t>
  </si>
  <si>
    <t>MARCH 9,2026</t>
  </si>
  <si>
    <t>PICK-UP AND DELIVER 20PESOS RICE</t>
  </si>
  <si>
    <t>MARCH 11-12,2026</t>
  </si>
  <si>
    <t xml:space="preserve">CLSU MUNUZ N.E. </t>
  </si>
  <si>
    <t>CABANATUAN AND DINGALAN</t>
  </si>
  <si>
    <t>LGU-MAO MARIA AURORA</t>
  </si>
  <si>
    <t xml:space="preserve">TO ASSIST MAFC MARIA IN THE VIDEO DOCUMENTATION OF THEIR ENTRY FOR GAWAD SAKA </t>
  </si>
  <si>
    <t>03/30/2026</t>
  </si>
  <si>
    <t>03/30-31/2026</t>
  </si>
  <si>
    <t>SHEKAINAH GLORY NORTEZ</t>
  </si>
  <si>
    <t xml:space="preserve">JARICA PADILLA </t>
  </si>
  <si>
    <t>MARCH 25,2026</t>
  </si>
  <si>
    <t>TRAINING HALL</t>
  </si>
  <si>
    <t xml:space="preserve">SAN PABLOFARMERS ASSOCIATION BRGY ESPERANZA DILASAG </t>
  </si>
  <si>
    <t xml:space="preserve">MAEDUP MABUHAY FARMERS ASSOCIATION BRGY. UMIRAY DINGALAN </t>
  </si>
  <si>
    <t>03/16 AND 20/2026</t>
  </si>
  <si>
    <t>SUBJECT</t>
  </si>
  <si>
    <t>DESIGNATION AS SOCIAL PROTECTION FOCAL PERSON</t>
  </si>
  <si>
    <t>TO</t>
  </si>
  <si>
    <t>MR. HERBERT FERNANDEZ</t>
  </si>
  <si>
    <t>DESIGNATION OF PROVINCIAL FOCAL PERSON AND ASSIGNMENT OF (PHILGAP)</t>
  </si>
  <si>
    <t>ARVIC LOU ADALID</t>
  </si>
  <si>
    <t>MARCH11-12,2026</t>
  </si>
  <si>
    <t>TO PICK UP AND DELIVER OF 20PESOS RICE</t>
  </si>
  <si>
    <t>JAN.-FEB.,2026</t>
  </si>
  <si>
    <t>LEA ISURENA</t>
  </si>
  <si>
    <t>03/18/2026</t>
  </si>
  <si>
    <t>03/19-20/2026</t>
  </si>
  <si>
    <t>OBR-FERDINAND AGUSTIN ET.AL</t>
  </si>
  <si>
    <t>SALARYWAGES</t>
  </si>
  <si>
    <t>FEB.16-28,2026</t>
  </si>
  <si>
    <t>2026-03-148</t>
  </si>
  <si>
    <t>2026-03-149</t>
  </si>
  <si>
    <t>LIST OF MFARMC OFFICERS PER MUNICIPALITY</t>
  </si>
  <si>
    <t>DIR.WILFREDO M. CRUZ</t>
  </si>
  <si>
    <t>03/10-11/2026</t>
  </si>
  <si>
    <t>TO FACILITATE SUPERVISE VARIOUS AGRICULTURAL PROJECT</t>
  </si>
  <si>
    <t>MARCH 09,2026</t>
  </si>
  <si>
    <t>PGA THROUGH OPAG CONDUCTING A TRAINING ON AGRITOURISM PLANNING AND SUSTAINABLE FARM BASED TOURISM MANAGEMENT ON MARCH 17-18,2026 AT APADTC</t>
  </si>
  <si>
    <t>MAO SAN LUIS</t>
  </si>
  <si>
    <t>FEB.23-27,2026</t>
  </si>
  <si>
    <t>LAVINIA DULAY (HONDA WAVE)</t>
  </si>
  <si>
    <t>ALFREDO ESCOBAR (XRM)</t>
  </si>
  <si>
    <t>BILLY VENERACION (HONDA TMX)</t>
  </si>
  <si>
    <t>FEB.24-25,2026</t>
  </si>
  <si>
    <t xml:space="preserve">CASIGURAN </t>
  </si>
  <si>
    <t>20L. GASOLINE</t>
  </si>
  <si>
    <t>FEB. 24,2026</t>
  </si>
  <si>
    <t>REYMAR MENDEZ (FOTON TRUCK)</t>
  </si>
  <si>
    <t>EDWARDO MAZA (TRAVIS)</t>
  </si>
  <si>
    <t>DIBUT</t>
  </si>
  <si>
    <t>AARON POSERIO (GL. GRANDIA)</t>
  </si>
  <si>
    <t>FEB.25-26,2026 AND MARCH3-6,2026</t>
  </si>
  <si>
    <t>2026-03-150</t>
  </si>
  <si>
    <t>GUIDELINES ON THE IMPLEMENTATION OF FLEXIBLE WORK ARRANGEMENTS IN THE PROVINCIAL GOVERNMENT OF AURORA</t>
  </si>
  <si>
    <t>MARCH 25-27,2026</t>
  </si>
  <si>
    <t>MANILA</t>
  </si>
  <si>
    <t>TO ATTEND NATIONAL AGRI-FISHERY VOLUNTEERS DAY(NVD)</t>
  </si>
  <si>
    <t>TO CONDUCT TECHNICAL BREIFING ON SEED PURIFICATION AND MULTIPLICATION</t>
  </si>
  <si>
    <t>OBR-ARNOLD B. NOVICIO ET AL</t>
  </si>
  <si>
    <t>MARCH 1-15,2026</t>
  </si>
  <si>
    <t>2026-03-151</t>
  </si>
  <si>
    <t>URGENT MEETING</t>
  </si>
  <si>
    <t>MARCH 10,2026 10M</t>
  </si>
  <si>
    <t>SIMBAHAN AGRICULTURE ORGANIC FARMERS ASSOCIATION BRGY. SIMBAHAN DINALUNGAN</t>
  </si>
  <si>
    <t>RED AND YELLOW ONION SEED,PAPAYA SEEDS,LOWLAND VEGETABLES AND PESTICIDES</t>
  </si>
  <si>
    <t xml:space="preserve">SMALL TIME ORGANIC PRACTITIONER OF PALEG BRGY. PALEG DINALUNGAN </t>
  </si>
  <si>
    <t>GINGERPLANTING MATERIALS AND ORGANIC FERTILIZERS</t>
  </si>
  <si>
    <t>PALEG BULAWAN FARMERS ASSOCIATION INC. BRGY. PALEG DINALUNGAN</t>
  </si>
  <si>
    <t>RED AND YELLOW ONION SEEDS</t>
  </si>
  <si>
    <t>DITAWINI COCOLIVESTOCK HIGH VALUE CROPS FARMERS ASSOCIATION BRGY. DITAWINI DINALUNGAN</t>
  </si>
  <si>
    <t>LIQUID FERTILIZER</t>
  </si>
  <si>
    <t>2026-03-152</t>
  </si>
  <si>
    <t>2026-03-153</t>
  </si>
  <si>
    <t xml:space="preserve">COA RTAG CANNOT COMPLETE ITS TECHNICAL INSPECTION  IN THE TILAPIA AND HATCHERY CENTER DUE TO LACKING DOCUMENTS </t>
  </si>
  <si>
    <t xml:space="preserve">SANGGUNIANG PANG LALAWIGAN </t>
  </si>
  <si>
    <t>[ROPOSED ORDINANCE NO.08-036 AN ORDINANCE ESTABLISHING THE PROVISION OF POST TRAVEL FACILITIES TO FARMERWWS AND FISHERFOLKS</t>
  </si>
  <si>
    <t>MARCH 11,2026 3PM</t>
  </si>
  <si>
    <t>2026-03-154</t>
  </si>
  <si>
    <t>PROVINCIAL TOURISM OFFICE</t>
  </si>
  <si>
    <t>FIRST QUARTER TOURISM COUNCIL MEETING</t>
  </si>
  <si>
    <t>MARCH16,2026</t>
  </si>
  <si>
    <t>EOC 2ND FLOOR,PDRRMO BUILDING</t>
  </si>
  <si>
    <t xml:space="preserve">DIOSEL LOPEZ </t>
  </si>
  <si>
    <t>MARCH 6,2026</t>
  </si>
  <si>
    <t>CORN PROGRAM OF THE OPAG COORDINATION OF DA RFO3 HAS BEEN PROVIDED WITH FAW CONTROL PESTICIDES</t>
  </si>
  <si>
    <t>DESIGNATION AS ASIN FOCAL PERSON</t>
  </si>
  <si>
    <t>MARCH 11,2026</t>
  </si>
  <si>
    <t>ALL EMPLOYEES</t>
  </si>
  <si>
    <t>STRICT COMPLIANCE WITH BIOMETRIC ATTENDANCE &amp; LOGBOOK RECORDING (MEMO)</t>
  </si>
  <si>
    <t>SUPPLY OF FUEL, OIL AND LUBRICANT</t>
  </si>
  <si>
    <t>TO BE USED OPERATION OF AQUA FEEDMILL AT APADTC CALABUANAN JUNE 1,2026</t>
  </si>
  <si>
    <t>SUPPLY AND DELIVERY OF AGRICULTURAL SUPPLIES/ MATERIALS</t>
  </si>
  <si>
    <t>TO BE USED PROVISION OF ECO-FRIENDLY FISHING GEARS , EQUIPMENT/ MACHINERIES AND PARAPHERNALIA</t>
  </si>
  <si>
    <t xml:space="preserve">SUPPLY DELIVERY INSTALLATION/FABRICANT OF PELLET FEED MECHANICAL DRYER </t>
  </si>
  <si>
    <t>APADTC/DIANAWAN MARIA AURORA</t>
  </si>
  <si>
    <t>TO ASSIST CONDUCT TRAINING ON AGRITOURISM DEVELOPMENT PROJECT</t>
  </si>
  <si>
    <t>INVITATION TO A COMMITTEE HEARING</t>
  </si>
  <si>
    <t>ALL SP MEMBERS</t>
  </si>
  <si>
    <t>MONITORING OF FUEL PRICES AND UNAUNTHORIZED PRICE INCREASE AS PER RDRRMC MEMORANDU, NO.13,s.2026</t>
  </si>
  <si>
    <t>MARCH 12, 2026</t>
  </si>
  <si>
    <t>MARCH 09, 2026</t>
  </si>
  <si>
    <t>PROVINCIAL DRRM COUNCIL; MEMBER AND MUNICIPAL DRRM COUNCIL CHAIRPERSONS (MAYOR)</t>
  </si>
  <si>
    <t xml:space="preserve">CERTIFICATE OF APPROPRIATION OF FUNDS </t>
  </si>
  <si>
    <t>CERTIFICATE OF AVAILABILITY OF FUNDS</t>
  </si>
  <si>
    <t>1ST QUARTER 2026 MEETING OF THE PROVINCIAL STATISTIC COMMITTEE (PSC)</t>
  </si>
  <si>
    <t>MARCH 16, 2026</t>
  </si>
  <si>
    <t>NEW CAPITOL BUILDING CONFERENCE ROOM, BRGY. SUKLAYIN , BALER, AURORA</t>
  </si>
  <si>
    <t>REQUEST FOR DESIGNATION OF A PERMANENT AND TWO (2) ALTERNATE REP[RESENTATIVES FOR THE CONDUCT OF THE QUARTERLY MEETINGS OF THE PROVINCIAL STATISTICS COMMITTEE OF AURORA</t>
  </si>
  <si>
    <t>MARCH 12,2026</t>
  </si>
  <si>
    <t>DA-RFO3 THROUGH HVCDP AND NUPAP IN COORDINATION OF PGA-OPAG CONDUCT 1ST QUARTERLY MEETING ON MARCH 25,2026 @ APADTC</t>
  </si>
  <si>
    <t>ALL MAO, APCO</t>
  </si>
  <si>
    <r>
      <t xml:space="preserve">DA-RFO3 IN COORDINATION WITH OPAG WILL CONDUCT 1ST QUARTERLY MEETING OF MAO ON MARCH 26,2026 8;30AM </t>
    </r>
    <r>
      <rPr>
        <b/>
        <sz val="12"/>
        <color theme="1"/>
        <rFont val="Times New Roman"/>
        <family val="1"/>
      </rPr>
      <t xml:space="preserve"> AMCO</t>
    </r>
  </si>
  <si>
    <t>2026-03-155</t>
  </si>
  <si>
    <t>2026-03-156</t>
  </si>
  <si>
    <t>2026-03-157</t>
  </si>
  <si>
    <t>2026-03-159</t>
  </si>
  <si>
    <t>2026-03-160</t>
  </si>
  <si>
    <t>DA-RFO 3</t>
  </si>
  <si>
    <t xml:space="preserve">DA-RFO 3 IMPLEMENTING KAUNLARAN NG KABABAYANG KATUTUBO(4K)PROGRAM </t>
  </si>
  <si>
    <t>MARCH17-19,2026</t>
  </si>
  <si>
    <t>HACIENDA GRACIA IN LUBAO</t>
  </si>
  <si>
    <t>GAD- FOCAL POINTSYSTEM/PSWDO</t>
  </si>
  <si>
    <t>IMPLEMENTATION OF GAD PROGRAMS AND ENSURING COMPLIENCE WITH THE PROVICION OF THE MAGNA CARTA FOR WOMEN, HOLDING A SESSION MEETING TO REVIEW,PRIORITIZE AND FANILAIZE THE GAD PLAN.</t>
  </si>
  <si>
    <t>MARCH 16,2026 1PM</t>
  </si>
  <si>
    <t>SUBMITTING SIGNED LIST OF FARMER BENEFICIARIES FROM CASIGURAN AURORA WITH CSM UNDER RICE PROGRAM QUICK RESPONSE FUND(FY 2024)</t>
  </si>
  <si>
    <t>2026-03-161</t>
  </si>
  <si>
    <t>PCPC</t>
  </si>
  <si>
    <t>FIRST QUARTER JOINT MEETING OF THE PCPC AND PCAT-VAWC</t>
  </si>
  <si>
    <t>2026-03-162</t>
  </si>
  <si>
    <t>PSA</t>
  </si>
  <si>
    <t>CURERENTLY CONDUCTING THE 2026 QUARTERLY MUNICIPAL FISHERIES SURVEY (QFMS)</t>
  </si>
  <si>
    <t>JOSELLE SAGAMPOD</t>
  </si>
  <si>
    <t>MARCH 23,2026</t>
  </si>
  <si>
    <t>DECOLIAT MARIA AURORA</t>
  </si>
  <si>
    <t>TO LECTURE ON VEGETABLE PRODUCTION AND ORGANIC INPUTS PRODUCTION</t>
  </si>
  <si>
    <t>03/13/2026</t>
  </si>
  <si>
    <t>BRGY. CALABUANAN BALER AURORA</t>
  </si>
  <si>
    <t>TO FACILITATE SKILLS TRAINING ON SABUTAN PROCESSING</t>
  </si>
  <si>
    <t>MEMORANDUM CIRCULAR NO.114,s 2026 DATED MARCH 6,2026 ISSUED BY THE OFFICE OF THE PRESIDENT, PLS. BE INFORMED THAT THE OPAG WILL IMPLEMENT A COMPRESSED 4-DAY WORKING HOLIDAY</t>
  </si>
  <si>
    <t>SUBMITTING THE ENDORSEMENT OGF GOV GALABAN AND PAFC DENNIS ZUNIGA FOR MR. SHERWIN PAUL A. BARRAMEDA-GAWAD SAKA AWADRS NATIONAL NOMINEE</t>
  </si>
  <si>
    <t xml:space="preserve">MARCH 12, 2026 </t>
  </si>
  <si>
    <t>DILASAG, CASIGURAN AND DIPACULAO</t>
  </si>
  <si>
    <t>LONG T-SHIRT COTTON W/LAY OUT, TARPAULIN,HAT W/ TIE</t>
  </si>
  <si>
    <t>03/16/2026</t>
  </si>
  <si>
    <t>PRC CABANATUAN</t>
  </si>
  <si>
    <t>SUBMITTING  THE PHILHEALTH MEMBER REGISTRATION FORM(PMRF)</t>
  </si>
  <si>
    <t>MR. JUDE CARMELOFULGAR</t>
  </si>
  <si>
    <t>ISSUANCE OF A CERTIFICATION OF APPROPRIATION OF FUNDS FOR THE SUPPLY AND DELIVERY OF OFFICE SUPPLIES</t>
  </si>
  <si>
    <t>2026-03-163</t>
  </si>
  <si>
    <t>2026-03-164</t>
  </si>
  <si>
    <t>MARCH 17, 2026 9AM</t>
  </si>
  <si>
    <t>MARIANO L. SINDAC INTEGRATED SCHOOL</t>
  </si>
  <si>
    <t>CONDUCTING ITS CARRERGUIDANCE WEEK ON MARCH 18,2026  REQUEST YOUR GOOD OFFICE TO ALLOW MS. JOSELLE D. SAGAMPOD TO BE RESOURCE SPEAKER</t>
  </si>
  <si>
    <t xml:space="preserve">MARCH 18,2026 </t>
  </si>
  <si>
    <t>MARIANO L. SINDAC INTEGRATED SCHOOL, JUNIOR AND SENIOR HIGH SCHOOL STUDENTS</t>
  </si>
  <si>
    <t xml:space="preserve">ABULEG CORN AND CASSAVA FARMERS ASSOCIATION </t>
  </si>
  <si>
    <t>MS. MELODY G. NOMBRE</t>
  </si>
  <si>
    <t>CORNSEEDS VARIETY YELLOW CORN-102 BAGS, INORGANIC FERTILIZER(UREA)-102 BAGS</t>
  </si>
  <si>
    <t xml:space="preserve">MENRO CASIGURAN </t>
  </si>
  <si>
    <t>TO ATTEND MEETING RE; CRM SINING BAYAN, SOCIAL ASSESSMENT FOR FISHERIES MANAGEMENT AREAL</t>
  </si>
  <si>
    <t>APRIL 6-7,2026</t>
  </si>
  <si>
    <t xml:space="preserve">MARIA FATIMA BELEN </t>
  </si>
  <si>
    <t>03/17-18/2026</t>
  </si>
  <si>
    <t>BRGY. BACONG SAN LUIS</t>
  </si>
  <si>
    <t>TO CONDUCT DATA GATHERING AND HARVESTING TO THE ON GOING EXPERIMENTAL SET-UP AT CASSAVA DROUGHT SCREENING ESTABLISH BY CLSU</t>
  </si>
  <si>
    <t xml:space="preserve">TO ATTEND RIC 1ST SEMI ANNUAL MEETING AND AWARDING OUTSTANDING RURAL WOMEN CERTIFICATE OF RECOGNITIOPN/ATTEND AURORA GEMS </t>
  </si>
  <si>
    <t>2026-03-165</t>
  </si>
  <si>
    <t>2026-03-166</t>
  </si>
  <si>
    <t>2026-03-167</t>
  </si>
  <si>
    <t>GUIDELINES ON THE IMPLEMENTATION OF A COMPRESSED WORKWEEK ARRANGEMENT IN THE PGA DECLAIRED HOLIDAY</t>
  </si>
  <si>
    <t>TEMPORARY REVERSION TO REGULAR WORKINGHOURS DURING CERTAIN WEEKS WITH THE DECLARED HOLIDAYS</t>
  </si>
  <si>
    <t>2026-03-168</t>
  </si>
  <si>
    <t xml:space="preserve">PROVINCIAL ADMINISTRATOR OFFICE </t>
  </si>
  <si>
    <t xml:space="preserve">ATI-RTC3 CONDUCT THE BASIC AGRICULTURAL EXTENSION COURSE </t>
  </si>
  <si>
    <t>MAY 11-15,2026</t>
  </si>
  <si>
    <t>ATI-RTC DINALUPIHAN BATAAN</t>
  </si>
  <si>
    <t>ASCOT</t>
  </si>
  <si>
    <t>INVATATION TO STAKEHOLDERS MEETING PRESENTATION OF THE ASCOT REVISED RESEARCH MANUAL</t>
  </si>
  <si>
    <t>ZOOM MEETING</t>
  </si>
  <si>
    <t xml:space="preserve">DILAGUIDI FARMERS ASSOCIATION </t>
  </si>
  <si>
    <t>CORNSEEDS VARIETY YELLOW CORN-73 BAGS, INORGANIC FERTILIZER(UREA)-73 BAGS</t>
  </si>
  <si>
    <t xml:space="preserve">P6 KASAYASAYAN FARMWERS ASSOCIATION </t>
  </si>
  <si>
    <t>TO SUPERVISE AND CONDUCT TRAINING ON AGRITOURISM DEVELOPMENT PROJECT</t>
  </si>
  <si>
    <t xml:space="preserve">JOSELLE SAGUMPOD </t>
  </si>
  <si>
    <t>MARCH 18,2026</t>
  </si>
  <si>
    <t>SINDAC INTEGRATED SCHOOL</t>
  </si>
  <si>
    <t>TO SERVED AS RESOURCE SPEAKER DURING CARRER GUIDANCE</t>
  </si>
  <si>
    <t>CORNSEEDS VARIETY YELLOW CORN-42 BAGS, INORGANIC FERTILIZER(UREA)-42 BAGS</t>
  </si>
  <si>
    <t>SAKA FLABB PLAN AGRICULTURE COOPERATIVE(SAFPLACO)</t>
  </si>
  <si>
    <t>CORNSEEDS VARIETY YELLOW CORN-54 BAGS, INORGANIC FERTILIZER(UREA)-54 BAGS</t>
  </si>
  <si>
    <t>BRGY URA PRODUCERS COOPERATIVE</t>
  </si>
  <si>
    <t>CORNSEEDS VARIETY YELLOW CORN-130 BAGS, INORGANIC FERTILIZER(UREA)-130 BAGS</t>
  </si>
  <si>
    <t xml:space="preserve">DIAGYAN INDIGENOUS PEAOPLES FARMERS ASSOCIATION </t>
  </si>
  <si>
    <t>CORNSEEDS VARIETY YELLOW CORN-24 BAGS, INORGANIC FERTILIZER(UREA)-24 BAGS</t>
  </si>
  <si>
    <t xml:space="preserve">SAN PABLO FARMERS ASSOCIATION </t>
  </si>
  <si>
    <t>CORNSEEDS VARIETY YELLOW CORN-98 BAGS, INORGANIC FERTILIZER(UREA)-98 BAGS</t>
  </si>
  <si>
    <t>MANGITAHAN FARMERS IRRIGATORS RICE CORN CASSAVA ASSOSIATION INC.</t>
  </si>
  <si>
    <t>CORNSEEDS VARIETY YELLOW CORN-153 BAGS, INORGANIC FERTILIZER(UREA)-153 BAGS</t>
  </si>
  <si>
    <t>INDEGENOUS PEOPLES FARMERS ASSOCIATION</t>
  </si>
  <si>
    <t>CORNSEEDS VARIETY YELLOW CORN-57 BAGS, INORGANIC FERTILIZER(UREA)-57 BAGS</t>
  </si>
  <si>
    <t xml:space="preserve">DIMASESET FARMERS AND ANIMALS RAISERS ASSOCIATION </t>
  </si>
  <si>
    <t>CORNSEEDS VARIETY YELLOW CORN-37 BAGS, INORGANIC FERTILIZER(UREA)-37 BAGS</t>
  </si>
  <si>
    <t>ESPERAZA FARMERS AND ANIMALS RAISER ASSOCIATION</t>
  </si>
  <si>
    <t>CORNSEEDS VARIETY YELLOW CORN-40 BAGS, INORGANIC FERTILIZER(UREA)-40 BAGS</t>
  </si>
  <si>
    <t xml:space="preserve">DIAGYAN MULTI FARMERS ASSOCIATION </t>
  </si>
  <si>
    <t>CORNSEEDS VARIETY YELLOW CORN-76 BAGS, INORGANIC FERTILIZER(UREA)-76 BAGS</t>
  </si>
  <si>
    <t xml:space="preserve">AMRO RIVER UPLAND LOWLAND FARMERS ASSOCIATION </t>
  </si>
  <si>
    <t>CORNSEEDS VARIETY YELLOW CORN-45 BAGS, INORGANIC FERTILIZER(UREA)-45 BAGS</t>
  </si>
  <si>
    <t>BRGY URA PRODUCERS COOPERATIVE OF BRGY. URA, DILASAG</t>
  </si>
  <si>
    <t>PNEUMATIC FOUR ROW SEEDER</t>
  </si>
  <si>
    <t>2026-03-169</t>
  </si>
  <si>
    <t>LETTER DATED 12 FEBRUARY 2026 OF HON. ISIDRO GALBAN, REQUESTING THE PASSAGE OF THE RESOLUTION AUTHORIZING HIM TO EXECUTE AND IMPLMENT THE DOD AND ACCEPTANCE ENTERED IN TO BY THE BETWEEN PGA</t>
  </si>
  <si>
    <t>MARCH 17,2026 10AM</t>
  </si>
  <si>
    <t>2026-03-170</t>
  </si>
  <si>
    <t xml:space="preserve">ATTEND THE REGULAR SESSION OF THE 16TH SANGGUNIAANG PANGLALAWIGAN OF PGA </t>
  </si>
  <si>
    <t>MARCH 17,2026 2PM</t>
  </si>
  <si>
    <t xml:space="preserve">L.PIMENTEL FARMERS ASSOCIATION BRGY. L.PIMENTEL SAN LUIS </t>
  </si>
  <si>
    <t>REHABILITATION FOR GREENHOUSE WITH HYDROPHONICS</t>
  </si>
  <si>
    <t>NUPAP</t>
  </si>
  <si>
    <t>TO ATTEND THE FARMTOURISM TRAINING</t>
  </si>
  <si>
    <t xml:space="preserve">TO SUPERVISE THE </t>
  </si>
  <si>
    <t>2026-03-171</t>
  </si>
  <si>
    <t>RESOLUTION LEAGUE OF MUNICIPAL AGRICULTURIST-AURORA CHAPTER,DUTY ENDORSING THE AMENDDMENT</t>
  </si>
  <si>
    <t>MARCH 18,2026 2PM</t>
  </si>
  <si>
    <t>SP EXTENSION CONFERENCE ROOM</t>
  </si>
  <si>
    <t>03/17/2026</t>
  </si>
  <si>
    <t>REYMAR TERCERO ET.AL.</t>
  </si>
  <si>
    <t>PAYMENT FOR WHOLE BODY REPAINTOF TRAVIS(MOOE)</t>
  </si>
  <si>
    <t>MARCH 22-24,2026</t>
  </si>
  <si>
    <t>ATI-RTC 3 DINALUPIHAN</t>
  </si>
  <si>
    <t>TO ATTEND 1ST QUARTER REGIONAL RIC COORDINATOR PLANNING WORKSHOP</t>
  </si>
  <si>
    <t>2026-03-172</t>
  </si>
  <si>
    <t>ATTENDANCE TO THE GROUND BRAKING CEREMONY OF THE COMMISSION ON AUDIT(COA) BUILDING</t>
  </si>
  <si>
    <t>MARCH 18,2026 10AM</t>
  </si>
  <si>
    <t>ATC</t>
  </si>
  <si>
    <t>PAYMEN FOR THE MAINTENANCE OF VEHICLE(NAVARA MOOE)</t>
  </si>
  <si>
    <t>FOR THE OPERATION OF THE AQUA FEEDMILL AT APADTC CALABUANAN (APRIL 1,2026)</t>
  </si>
  <si>
    <t>MARCH18,2026</t>
  </si>
  <si>
    <t>2026-03-173</t>
  </si>
  <si>
    <t>MARCH 19,2026 10AM</t>
  </si>
  <si>
    <t>2026-03-174</t>
  </si>
  <si>
    <t xml:space="preserve">LETTER DATED JANIARY 15,2026 HON. ISIDRO GALABAN GOV,REQUESTING THE PASSAGE OF RESOLUTION AUTHORIZING HIM TO EXECUTE, ENTWER, IMPLEMENT OF DOD AND ACCEPTANCE BY AND BETWEEN </t>
  </si>
  <si>
    <t>LETTER DATED FEBRUARY 12,2026 HON. ISIDRO GALBAN, REQUESTING PASSAGE OF A RESOLUTION AUTHORIZING HIM TO EXECUTE AND IMPLEMENTATION THE DOD OF THE FF. ASSOCIATION</t>
  </si>
  <si>
    <t>MARCH 19,2026 11AM</t>
  </si>
  <si>
    <t>MARCH 24-25,2026</t>
  </si>
  <si>
    <t>LUBAO PAMPANGA</t>
  </si>
  <si>
    <t>TO ATTEND ON CORN TRADING AND BASIC PROCESSING</t>
  </si>
  <si>
    <t xml:space="preserve">MANUEL AMATORIO </t>
  </si>
  <si>
    <t>MARCH 16,2026</t>
  </si>
  <si>
    <t>AGRICULTURAL SUPPLIES FOR NUTRITION CONVERGENCE PROJECT SUPPORT TO POOREST FAMILY</t>
  </si>
  <si>
    <t>SUPPLY AND DELIVERY OF AGRICULTURAL MARINE SUPPLIES (RICE PACKED IN 25KGS SACKS)</t>
  </si>
  <si>
    <t>REQUEST FOR CHANGES IN THE INSTALLATION SPECIFICATION OF THE SOLAR -POWERED PUMPING SYSTEM FOR SATELLITE TILAPIA HATCHERY AURORA</t>
  </si>
  <si>
    <t>2026-03-175</t>
  </si>
  <si>
    <t>2026-03-176</t>
  </si>
  <si>
    <t xml:space="preserve">ATI-RTC3 CONDUCT TRAINING OF TRAINERS ON CLIMATE  CHANGE SMART FARMING FOR HVCDP </t>
  </si>
  <si>
    <t>MARCH 23-27,2026</t>
  </si>
  <si>
    <t>BRGY. SINGALT, PALAYAN N.E.</t>
  </si>
  <si>
    <t>2026-03-177</t>
  </si>
  <si>
    <t>2ND QUARTER MEETING TWG DRR-CCAM</t>
  </si>
  <si>
    <t>2026-03-178</t>
  </si>
  <si>
    <t xml:space="preserve">PGA THROUGH PSWDO INVITES TO ATTEND A SPECIAL COMMITTEE MEETING FOR THE WOMENS MONTH OUTREACH PROGRAM </t>
  </si>
  <si>
    <t>MARCH 23,2026 2PM</t>
  </si>
  <si>
    <t>MARCH 19,2026 1:30PM</t>
  </si>
  <si>
    <t>2026-03-179</t>
  </si>
  <si>
    <t xml:space="preserve">PROCUREMENT ACTIVITIES </t>
  </si>
  <si>
    <t>MARCH 19.2026 10AM</t>
  </si>
  <si>
    <t>BAC COMMITTEE OFFICE</t>
  </si>
  <si>
    <t>SUBMITTING THE PHILHEALTH MEMBER REGISTRATION FORM(PMRF)OF CONTRACTUAL EMPLOYEESOF OPAG</t>
  </si>
  <si>
    <t>2026-03-180</t>
  </si>
  <si>
    <t>2026-03-181</t>
  </si>
  <si>
    <t>1ST QUARTER MEETING PSWMB MEETING</t>
  </si>
  <si>
    <t xml:space="preserve">PGA TRAINING HALL </t>
  </si>
  <si>
    <t>1ST QUARTER AWQMC AND ITS TWG MEETING</t>
  </si>
  <si>
    <t>MARCH 24,2026 9AM</t>
  </si>
  <si>
    <t>MARCH 24,2026 1:30PM</t>
  </si>
  <si>
    <t>03/19/2026</t>
  </si>
  <si>
    <t>UP;AND FARMERS ASSOCIATION OF PROVINCE OF AURORA</t>
  </si>
  <si>
    <t>CORN SEED VARIETY(90KG) INORGANIC FERTILIZER(UREA)30 BAGS</t>
  </si>
  <si>
    <t>SUBMITTING THE ATTACHED DOCUMENTS OF MUNICIPALITIES, THEIR REQUEST AND DOCUMENTS THAT SIGNIFIES THEIR INTENT UNDERDA-CORN PROGRAM FY 2026</t>
  </si>
  <si>
    <t>MS MELODY G. NOMBRE-REGIONAL CORN PROGRAM FOCAL PERSON</t>
  </si>
  <si>
    <t>HERBERT HERNANDEZ</t>
  </si>
  <si>
    <t>2026-03-182</t>
  </si>
  <si>
    <t>LOCAL PRICE COORDINATING COUNCIL</t>
  </si>
  <si>
    <t>AURORA LOCAL PRICE COORDINATING COUNCIL MEETING</t>
  </si>
  <si>
    <t>03/24-25/2026</t>
  </si>
  <si>
    <t>MARCH 19,2026</t>
  </si>
  <si>
    <t>UPLAND FARMERS ASSOCIATION BRGY.DIBET CASIGURAN</t>
  </si>
  <si>
    <t>CASIGURAN VEGETABLE GROWER ASSOCIATION</t>
  </si>
  <si>
    <t>DEBACONG HIGH VALUE CROPS PRODUCTION BRGY.DIBACONG CASIGURAN</t>
  </si>
  <si>
    <t>DA-RFO3 IN COLLABORATION OF OPAG IS CONDUCTING THE PROJECT "DEVELOPMENT AND TESTING OF PEST MANAGEMENT STRATEGIES ON CORN FALL ARMYWORM"</t>
  </si>
  <si>
    <t>MR.RICARDO Q. BAUTISTA</t>
  </si>
  <si>
    <t>MARCH19,2026</t>
  </si>
  <si>
    <t>03/23/2026</t>
  </si>
  <si>
    <t>2026-03-183</t>
  </si>
  <si>
    <t>ZSLZOOLOGICAL SOCIETY OF LONDON</t>
  </si>
  <si>
    <t>INVITATION TO PROVINCIAL CONSULTATION FOR FAD ACTION PLAN AND PROCA FAO DRAFT</t>
  </si>
  <si>
    <t>APRIL21-23,2026</t>
  </si>
  <si>
    <t>BALER, AURORA(SPECIFIC VENUE-TBA)</t>
  </si>
  <si>
    <t>2026-03-184</t>
  </si>
  <si>
    <t>MEETING OF PROVINCIAL BAMBOO INDUSTRY DEVELOPMENT COUNCIL(PBIDC)</t>
  </si>
  <si>
    <t>MARCH 26,2026</t>
  </si>
  <si>
    <t>2026-03-185</t>
  </si>
  <si>
    <t>PROVINCIAL TASK FORCE SAGIP KALIKASAN (PTFSK)MEMBERS</t>
  </si>
  <si>
    <t>MARCH 26,2026 1:30PM</t>
  </si>
  <si>
    <t>MARCH 26,2026 9AM</t>
  </si>
  <si>
    <t>MARCH 24,2026</t>
  </si>
  <si>
    <t>DIPACULAO AURORA AND POINTS</t>
  </si>
  <si>
    <t>TO CONDUCT SITE VALIDATION FOR SMALL SCALE COMPOSTING FACILITY</t>
  </si>
  <si>
    <t>DA-RFO3 THROUGH THE FARM AND FISHERIES CLUSTER AND CONSOLIDATION (F2C2)CONDUCTING NETWORK AND MARKET LINKAGE STRENGTHENING ACTIVITIES FOR THE ENDORSED FY 2025</t>
  </si>
  <si>
    <t>MAO MARIA AURORA- MR. WILSON CALDERON</t>
  </si>
  <si>
    <t>TO FACILITATE LOCAL FARMER TECHNICIANS</t>
  </si>
  <si>
    <t>APRIL 8-9 2026</t>
  </si>
  <si>
    <t>TO ASSIST FARMERS IN THE PROPER TRANSPLANTING OF ONION SEEDLINGS</t>
  </si>
  <si>
    <t>BANGCO, MARIA AURORA, AURORA</t>
  </si>
  <si>
    <t>TO CONDUCT DATA GATHERING ON DROUGHT ADAPTABILITY RESEARCH STUDY ON30 CASSAVA VARIETIES OF CLSU WITH THE MUNICIPAL AGRICULTURE VOFFICE OF MARIA AURORA</t>
  </si>
  <si>
    <t>MARCH 26, 2026</t>
  </si>
  <si>
    <t>2026-03-186</t>
  </si>
  <si>
    <t>DESIGNATING THE ACTING GOVERNOR AND ACTING VICE GOVERNOR DURING THE OFFICIAL TRAVEL AND APPROVED LEAVE OF GOVERNOR ISIDRO P. GALBAN</t>
  </si>
  <si>
    <t>MARCH 23, 2026</t>
  </si>
  <si>
    <t>MARCH 2-6 2026</t>
  </si>
  <si>
    <t>DINALUPIHAN, BATAAN</t>
  </si>
  <si>
    <t>MARCH  23, 2026</t>
  </si>
  <si>
    <t>CARMEN T. VALENZUELA INTEGRATED SCHOOL</t>
  </si>
  <si>
    <t>TO ATTEND SCHOOL MEETING FOR THE GRADUATION OF GRADE 12 STUDENT</t>
  </si>
  <si>
    <t>BIGGER WHALE ENTERPRISE</t>
  </si>
  <si>
    <t>REGULAR MOOE- SPA-PCPC</t>
  </si>
  <si>
    <t>JHONNY AUTO BODY PAINTING AND REPAIR SERVICES (P.O 3/23/2026)</t>
  </si>
  <si>
    <t>JMC GARAGE AND AUTO CARE CENTER(PO 3/23/2026)</t>
  </si>
  <si>
    <t>SUPERVISE CONTINOUS IMPROVEMENT AND CONSTRUCTION OF AGRICULTURAL PROJECTS</t>
  </si>
  <si>
    <t>TO DELIVER/PICK-UP CHAIRS AND TENT FOR THE FIELD DAY OF CORN RESEARCH STUDY</t>
  </si>
  <si>
    <t>APRIL 6-8,2026</t>
  </si>
  <si>
    <t>BRGY SAN ISIDRO SANLUIS &amp; MARIA AURORA</t>
  </si>
  <si>
    <t>APRIL 6-8,2026 (TRUCK)</t>
  </si>
  <si>
    <t>SAN ISIDRO SAN LUIS, BANGCO MARIA AURORA</t>
  </si>
  <si>
    <t>TO ATTEND ON THE CONDUCTOF HARVESTFESTIVALON RESEARCHON CORNPRODUCTION AND TO JOIN HARVEST</t>
  </si>
  <si>
    <t>1BOX</t>
  </si>
  <si>
    <t>FURGURAN (FUNGICIDE)</t>
  </si>
  <si>
    <t>4PACKS BY 250 GMS</t>
  </si>
  <si>
    <t>FPR BLB INCEDENCE IN BRGY. SUKLAYIN</t>
  </si>
  <si>
    <t xml:space="preserve">4BOX </t>
  </si>
  <si>
    <t>VIRTAKO INSECTICIDE(10PACKS BY 10GRMS/BOX)</t>
  </si>
  <si>
    <t>FOR CORN PROGRAM IN DILASAG</t>
  </si>
  <si>
    <t>MARCH 18-19</t>
  </si>
  <si>
    <t>DILASAG, AURORA</t>
  </si>
  <si>
    <t>TO ATTEND AND DISTRIBUTE VEGETABLES SEEDS DURING THE WOMEN'S MONTH OUTREACH PROGRAM</t>
  </si>
  <si>
    <t>SUPPORT PROJECT TO RURAL IMPROVEMENT CLUB</t>
  </si>
  <si>
    <t>SPA -GENDER AND DEVELOPMENT (GAD) PROGRAM</t>
  </si>
  <si>
    <t>MARCH 30-31,2026</t>
  </si>
  <si>
    <t>SHEKINHA GLORY NIRTEZ</t>
  </si>
  <si>
    <t>TO ATTEND THE MAO'S MEETING</t>
  </si>
  <si>
    <t>MARCH25,2026</t>
  </si>
  <si>
    <t>TO FACILITATE  THE PROVINCIAL HVCDP/NUPAP 1ST QUARTERLY MEETING</t>
  </si>
  <si>
    <t>MARCH 25-26,2026</t>
  </si>
  <si>
    <t>APADTC/AMCO BEACH</t>
  </si>
  <si>
    <t>TO ATTEND MAOS MEETING/.HVCDP/NUPAP MEETING</t>
  </si>
  <si>
    <t>TO ATTEND THE PROVINCIAL HVCDP/NUPAP 1ST QUARTERLY MEETING</t>
  </si>
  <si>
    <t>03/24/2026</t>
  </si>
  <si>
    <t>TO MONITOR THE DELIVERY OF CACAO SEEDLING TO FCA UNDER CFIDP</t>
  </si>
  <si>
    <t>2026-03-187</t>
  </si>
  <si>
    <t>BRGY. DECOLIAT MARIA AURORA</t>
  </si>
  <si>
    <t>HUMIHILING NA MABIGYAN NG UPLAND RICE UPANG MAGAMIT SA LUPANG TANIMAN</t>
  </si>
  <si>
    <t>ISSUANCE OF MEMO NO.03-113 SERIES OF2026: SUSPENSION OF WORK ON MARCH 26,2026  REQUEST OE EXEMPTION</t>
  </si>
  <si>
    <t xml:space="preserve">REYMAR MENDEZ </t>
  </si>
  <si>
    <t>MARCH 30,2026</t>
  </si>
  <si>
    <t xml:space="preserve">LAVINIA DULAY </t>
  </si>
  <si>
    <t>SUPPLY OF FUEL</t>
  </si>
  <si>
    <t>TO BE USED FOR THE OFFICIAL TRAVEL OF OPAG EMPLOYEE FOR 2ND AND 3RD QUARTER</t>
  </si>
  <si>
    <t>HERBERT FERNADEZ</t>
  </si>
  <si>
    <t>INCOMPLIANCE TO PGA OFFICES REQUIRED IN BIOMETRICS AS A PROOF OF ATTENDANCE , REQUEST TO ALLOW FF EMPLOYEES OF OPAG TO USED LOGBOOK</t>
  </si>
  <si>
    <t>MARCH 27,2026</t>
  </si>
  <si>
    <t>BRGY. DIAAT MARIA AURORA</t>
  </si>
  <si>
    <t>TO MONITOR THE STATUS OF CACAO SEEDLINGS DELIVERED TO THE DIAAT COCONUT FARMERS ASSOCIATION/TECHNICAL ASSISTANCE</t>
  </si>
  <si>
    <t>2026-03-188</t>
  </si>
  <si>
    <t>2026-03-189</t>
  </si>
  <si>
    <t>MUNICIPALITY OF DINGALAN</t>
  </si>
  <si>
    <t>IN LINE WITH OUR UPCOMING CARAVAN SERVICE ACTIVITY, REQUEST ASSITANCE FROM THE OPAG FOR THE PROVISION OF VEGETABLE SEEDS TO SUPPORT THE AGRI NEEDSOF PARTICIPATING COMMUNITIES</t>
  </si>
  <si>
    <t>MAO FFICE IS COMMITTED TO THE HOLISTIC DEVELPOMENT OF THE COMMUNITY RECOGNIZING THAT THE WELL-BEING OF YOUTH .ORGANIZED "STRONG MINDS, BRIGHTER FUTURE; AMENTAL HEALTH WORKSHOP FOR THE YOUTH</t>
  </si>
  <si>
    <t>APRIL 23-24,2026</t>
  </si>
  <si>
    <t xml:space="preserve">REQUEST FOR THE CASH ADVANCE AMOUNTING 126,350.00PH TO FACILITATE THE IMMEDIATE REPAIR AND MAINTENANCE OF SERVICE VEHICLES BEING USED TO OUR OFFICE </t>
  </si>
  <si>
    <t>03/25/2026</t>
  </si>
  <si>
    <t xml:space="preserve">      03/25/2026</t>
  </si>
  <si>
    <t>MARCH  31, 2026</t>
  </si>
  <si>
    <t>MAY 29-JUNE 1, 2026</t>
  </si>
  <si>
    <t>2DAY</t>
  </si>
  <si>
    <t>JUNE 2-4,2026</t>
  </si>
  <si>
    <t xml:space="preserve">     03/24/2026</t>
  </si>
  <si>
    <t>APRIL 13-15,2026</t>
  </si>
  <si>
    <t>EDUARDO P. MAZA</t>
  </si>
  <si>
    <t>MARCH 30-31, 2026</t>
  </si>
  <si>
    <t>STA. ROSA, NUEVA EJICA</t>
  </si>
  <si>
    <t>PREVENTIVE MAINTENANCE SERVICE OF VEHICLE (ISUZU- TRAVIZ)</t>
  </si>
  <si>
    <t>REYMAR M. MENDEZ</t>
  </si>
  <si>
    <t>MARCH 31, 2026</t>
  </si>
  <si>
    <t>PREVENTIVE MAINTENANCE SERVICE OF VEHICLE (FOTON TRUCK)</t>
  </si>
  <si>
    <t>CASH ADVANCE (Php120,833.00) To Facilitate The immediate REPAIR AND MAINTENCE OF SERVICE VEHICLES</t>
  </si>
  <si>
    <t>HON. PATRICK ALEXIS ANGARA</t>
  </si>
  <si>
    <t>LAILA</t>
  </si>
  <si>
    <t>RESOLUTION NO.010-2026 AND MOA OF AURORA CACO AGRICULTURE COOPERATIVE WITH NOTARIAL FEE UNDER CFIDP</t>
  </si>
  <si>
    <t xml:space="preserve">TO REQUEST FOR THE INSURANCE OF NEW ATM ACCOUNT UNDER LANDBANKOF THE PHILIPPINES (LBMP) </t>
  </si>
  <si>
    <t>THE BRANCH MANAGER</t>
  </si>
  <si>
    <t xml:space="preserve">     03/25/2026</t>
  </si>
  <si>
    <t>APRIL 6-8, 2026</t>
  </si>
  <si>
    <t>REQUEST YOUR GOOD OFFICE FOR ASSISTANCE IN PROVIDING VEGETABLE SEEDS TO SUPPORT THE ESTABLISHMENT OF A SUSTAINABLE GARDEN FOR THE ASCOT</t>
  </si>
  <si>
    <t>FIDELITY BOND</t>
  </si>
  <si>
    <t xml:space="preserve"> ZORAIDA G. VELANO (OBR)</t>
  </si>
  <si>
    <t>APRIL 10,2026</t>
  </si>
  <si>
    <t xml:space="preserve">SUBMITTING HEREWITH IS THE PROJECT PROPOSAL ENTITLED ONION TECHNOLOGY DEMONSTRATION IN AURORA PROVINCIAL </t>
  </si>
  <si>
    <t>DIR. EDUARDO L. LAPUZ, JR.DVM</t>
  </si>
  <si>
    <t>03/27/2026</t>
  </si>
  <si>
    <t>KABIRAN SUKLAYIN, AURORA</t>
  </si>
  <si>
    <t>TO ATTEND ANNUAL GENERAL ASSEMBLY OF GLORY TO GOD</t>
  </si>
  <si>
    <t>SUBMIT THE ENCLOSED REQUEST FOR BUDGET RE-ALIGNMENT FOR REVIEW AND APPROVAL</t>
  </si>
  <si>
    <t>ANSCI AND BALER CENTRAL SCHOOL</t>
  </si>
  <si>
    <t>TO ATTEND RECOGNITION IN SCHOOL</t>
  </si>
  <si>
    <t>2026-03-190</t>
  </si>
  <si>
    <t>2026-03-191</t>
  </si>
  <si>
    <t>2026-03-192</t>
  </si>
  <si>
    <t>2026-03-193</t>
  </si>
  <si>
    <t>2026-03-194</t>
  </si>
  <si>
    <t>2026-03-195</t>
  </si>
  <si>
    <t>REQUEST FOR USING THE HAULING TRUCK FOR HAULING 240 CAVANS OF 20PESOS RICE FROM CABANATUAN TO DINALUNGAN FOR KADIWA STORE</t>
  </si>
  <si>
    <t>APRIL 7, 2026</t>
  </si>
  <si>
    <t>SAN ISIDRO ,SAN LUIS AND MARIA AURORA</t>
  </si>
  <si>
    <t>TO ATTEND ON THE CONDUCT OF FIELD DAY OF DEPARTMENTOF AGRICULTURE (DA) RESEARCH PROJECT AND ALSO ON CASSAVA HARVEST FESTIVAL WITH FARMERS ,INSTITUTIONAL BUYER ,PARTNER AGENCIES AND OTHER STAKEHOLDERS.</t>
  </si>
  <si>
    <t>SAN ISIDRO ,SAN LUIS, AURORA</t>
  </si>
  <si>
    <t>TO ATTEND ON THE CONDUCT OF FIELD DAY ON RESEARCH PROJECT OF DA ENTITTLED  " DEVELOPMEMT AND TESTING OF PEST MANAGEMENT STRATEGIES ON CORN FALL ARMYWORM</t>
  </si>
  <si>
    <t>JOYCELINDA U. REYES</t>
  </si>
  <si>
    <t>APRIL 8, 2026</t>
  </si>
  <si>
    <t>APRIL 8, 9 &amp; 102026</t>
  </si>
  <si>
    <t xml:space="preserve">TO FACILIATE REPAIR AND CLEANING OF AIRCONDITIONING UNIT. MONITOR AND SUPERVISE PROJECTS AND ACTIVITIES IN THE CENTER </t>
  </si>
  <si>
    <t>DIARABASIN, DIPACULAO, AURORA</t>
  </si>
  <si>
    <t>ATTEND, RENDER TECHNICAL ASSISTANCE AND GIVE MESSAGE TO RIC DIARABASIN MEETING</t>
  </si>
  <si>
    <t>APRIL 27-29,2026</t>
  </si>
  <si>
    <t>REGULAR MAINTENANCE OF MUSHROOM PRODUCTION PROJECT/ PREPARE GRAIN SPAWN</t>
  </si>
  <si>
    <t>REGULAR MAINTENANCE OF MUSHROOM PRODUCTION PROJECT</t>
  </si>
  <si>
    <t>APRIL 15, 2026</t>
  </si>
  <si>
    <t>LEAH R. LOMBRES</t>
  </si>
  <si>
    <t>JUNE 11 &amp; 15, 2026</t>
  </si>
  <si>
    <t>MAY 30, JUNE 4,2026</t>
  </si>
  <si>
    <t>SUPERVISION OF PROJECT</t>
  </si>
  <si>
    <t>APRIL 8-10, 2026</t>
  </si>
  <si>
    <t>2026-04-211</t>
  </si>
  <si>
    <t>REQUESTING THE HONORABLE GOVERNOR ISIDRO P. GALBAN TO ALLOCATE TEN MILLION PESOS (P10,000.000.00) AS FIANCIAL SUBSIDY FOR RICE FARMERS</t>
  </si>
  <si>
    <t>APRIL 10, 2026</t>
  </si>
  <si>
    <t>APRIL 6,2026</t>
  </si>
  <si>
    <t>APRIL 8,2026</t>
  </si>
  <si>
    <t>TRANSMITTED THE REQUEST FOR CANCELLATION OF THE FF PURCHASED REQUEST FOR 2026</t>
  </si>
  <si>
    <t>CLEARANCE SLIP(TRAVEL ABROAD)</t>
  </si>
  <si>
    <t>POST MEETING REPORT</t>
  </si>
  <si>
    <t>BASED ON COMMENT FROM HRMO re; PROSED ORGANIZATIONAL STRUCTURE AND STAFFINGPATTERN(OSSP)</t>
  </si>
  <si>
    <t>APRIL8,2026</t>
  </si>
  <si>
    <t>BALER,SAN LUIS</t>
  </si>
  <si>
    <t>TO COORDINATE THE MAO DOD,ISSUANCE SLIP</t>
  </si>
  <si>
    <t>2026-03-196</t>
  </si>
  <si>
    <t>2026-03-197</t>
  </si>
  <si>
    <t>2026-03-198</t>
  </si>
  <si>
    <t>2026-03-199</t>
  </si>
  <si>
    <t>2026-03-200</t>
  </si>
  <si>
    <t>2026-03-201</t>
  </si>
  <si>
    <t>2026-03-202</t>
  </si>
  <si>
    <t>2026-03-203</t>
  </si>
  <si>
    <t>2026-03-204</t>
  </si>
  <si>
    <t>2026-03-205</t>
  </si>
  <si>
    <t>2026-03-206</t>
  </si>
  <si>
    <t>2026-03-207</t>
  </si>
  <si>
    <t>2026-03-208</t>
  </si>
  <si>
    <t>2026-03-209</t>
  </si>
  <si>
    <t>2026-03-210</t>
  </si>
  <si>
    <t>2026-04-212</t>
  </si>
  <si>
    <t>2026-04-213</t>
  </si>
  <si>
    <t>RESUMPTION OF OFFICE OF GOVERNOR ISIDRO P. GALBAN AND CONFIRMATION OF VALIDITY OF ACTS DURING TEMPORARY ABSENCE</t>
  </si>
  <si>
    <t>2026-04-214</t>
  </si>
  <si>
    <t>IMPLEMENTATION OF HALAL PROGRAM,PARTICULARY AT THE PROVINCIAL LEVEL, REQUEST TO DESINATE AND NOMINATE A PROVINCIAL HALAL FOCAL PERSON</t>
  </si>
  <si>
    <t>SPRING DEVELOPMENT PROJECT</t>
  </si>
  <si>
    <t>NELITA K. ABORDO ET. AL.</t>
  </si>
  <si>
    <t>OFFICE OF THE BOARD MEMBER</t>
  </si>
  <si>
    <t>APRIL 08,2026</t>
  </si>
  <si>
    <t>LAWANG DILASAG, AURORA</t>
  </si>
  <si>
    <t>SUBMITTING THE 1ST QUARTERACCOMPLISHMENT REPORT AND VOUCHER OF (LFTS)</t>
  </si>
  <si>
    <t>PUANGI AGRARIAN REFORM BENEFICIARIES COOPERATIVE</t>
  </si>
  <si>
    <t>HAULING TRUCK</t>
  </si>
  <si>
    <t>MARCH16-30,2026</t>
  </si>
  <si>
    <t>TRANSFER THE CONSOLIDATED AMOUNT OF 1,124,800.00 TO THE OFFICE OF THE GOVERNOR AS AGREED UPONDURING LAST EXECOM</t>
  </si>
  <si>
    <t>ZION AGRICULTURAL VENTURES INC.</t>
  </si>
  <si>
    <t>SUPPLY AND DELIVERY OF FEEDS(REGULAR MOOE)</t>
  </si>
  <si>
    <t>03.30/2026</t>
  </si>
  <si>
    <t>MA. ANDREA FERRERAS</t>
  </si>
  <si>
    <t>MARCH 27,2026/APRIL 10,2026</t>
  </si>
  <si>
    <t>APRIL 01,2026</t>
  </si>
  <si>
    <t>MONITORING/SUPERVISE</t>
  </si>
  <si>
    <t>CASH ADVANCE</t>
  </si>
  <si>
    <t>2026-04-215</t>
  </si>
  <si>
    <r>
      <t>D</t>
    </r>
    <r>
      <rPr>
        <sz val="12"/>
        <color theme="1"/>
        <rFont val="Times New Roman"/>
        <family val="1"/>
      </rPr>
      <t>A-RFO3 THROUGH AGRIBUSINESS AND MARKETING ASSITANCE DIVISION WILL BE CONDUCTING A KADIWA TRADE FAIR IN CELABRATION OF FARMERS FISHERFOLKS MONTH</t>
    </r>
  </si>
  <si>
    <t>MAY 26-27,2026</t>
  </si>
  <si>
    <t>2026-04-216</t>
  </si>
  <si>
    <t>2026-04-217</t>
  </si>
  <si>
    <t>2026-04-218</t>
  </si>
  <si>
    <t>2026-04-219</t>
  </si>
  <si>
    <t>CASIGURAN WOMENS FOUNDATION</t>
  </si>
  <si>
    <t>REQUESTING FOR THE PROVISION OF VEGETABLE SEEDLINGSIN IN PARNERT SHIP TO THE LAUNCHING OF CWF</t>
  </si>
  <si>
    <t>REQUEST FOR THE CERTIFICATE OF AVAILABILITY OF FUNDS(AQUA FEEDMILL)</t>
  </si>
  <si>
    <t>MS. WILLEN B. BADE</t>
  </si>
  <si>
    <t>THE FARM AND FISHERIES CLUSTERING AND CONSOLODATION(F2C2) CONDUCTING NETWORK AND MARKET LINKAGE STRENGTHENING ACTIVVITIES FOR THE ENDORESED FY 2025</t>
  </si>
  <si>
    <t xml:space="preserve">ATI-RTC 3 WILL CONDUCT THE TRAINING OF TRAINERS ON RICE PRODUCTION </t>
  </si>
  <si>
    <t>APRIL13-17,2026</t>
  </si>
  <si>
    <t>MERRYLAND INTEGRATED FARM AND TRAINING CENTER</t>
  </si>
  <si>
    <t>2026-04-220</t>
  </si>
  <si>
    <t>IN UPCOMING CARAVAN SERVICE ACTIVITY REQUEST ASSISTANCE FROM OPAG FOR THE PROVISION OF VEGETABLE SEEDS TO SUPPORT THE AGRICULTURAL NEEDS</t>
  </si>
  <si>
    <t>2026-04-221</t>
  </si>
  <si>
    <t>OFFICE OF THE SECRETARY</t>
  </si>
  <si>
    <t>2026-04-222</t>
  </si>
  <si>
    <t>LINIS AURORA -UNANG HAKBANG</t>
  </si>
  <si>
    <t>2026-04-223</t>
  </si>
  <si>
    <t>2026-04-224</t>
  </si>
  <si>
    <t>2026-04-225</t>
  </si>
  <si>
    <t>RESOLUTION ADOPTING THE ONE-TOWN-ONE PRODUCT AGRICULTURE(OTOP-AGRI)</t>
  </si>
  <si>
    <t>APRIL 10,2026 2PM</t>
  </si>
  <si>
    <t>AN ORDINANCE REQUIRING THE REGISTRATION AND ACCREDITATION OF BUYERS,TRADERS,AND CONSOLIDATION OF AGRICULTURAL AND FISHERIES PRODUCT IN THE PROVINCE</t>
  </si>
  <si>
    <t>APRIL 10,2026 3PM</t>
  </si>
  <si>
    <t>RF186:F187EQUEST TO IDENTIFY EXPERTS ON HIGH-VALUE EXPORT CROPS FROM SUCs AND OTHER INSTITUTIONS</t>
  </si>
  <si>
    <t>APRIL 12-17,2026</t>
  </si>
  <si>
    <t>TO ATTEND "UPDATING ON CLIMATE RISK VULNERABILITYMAP IN CENTRAL LUZON"</t>
  </si>
  <si>
    <t>90BAGS</t>
  </si>
  <si>
    <t>COMPLETE FERTILIZER(TRIPLE14)</t>
  </si>
  <si>
    <t>29PCS.</t>
  </si>
  <si>
    <t>GRAB HOLE</t>
  </si>
  <si>
    <t xml:space="preserve">9 UNITS </t>
  </si>
  <si>
    <t>KNAPSACK SPRAYER</t>
  </si>
  <si>
    <t>30PCS.</t>
  </si>
  <si>
    <t>PLASTIC CRATES(HEAVY DUTY STACKABLE)</t>
  </si>
  <si>
    <t>DA-BSWM THROUGH THE WRMD CONDUCT A"RE-ORGANIZATIONAL MEETING WITH THE FARMER BENEFICIARIES OF ANDUKLAO DD"</t>
  </si>
  <si>
    <t>APRIL 14-15,2026</t>
  </si>
  <si>
    <t>BRGY. CULAT CASIGURAN, AURORA</t>
  </si>
  <si>
    <t>PAROA INC IN COLLABORATION WITH THE GPPB-TSO ANNOUCE ITS CONDUCT TRAINING/SEMINAR ON "PROCUREMENT MASTERY A STEP-BY STEP APPROACH ON R.A12009</t>
  </si>
  <si>
    <t>APRIL 15-17,2026</t>
  </si>
  <si>
    <t>CROWN LEGACY HOTEL BAGUIO,BENGUET</t>
  </si>
  <si>
    <t xml:space="preserve">AMIA  WILL BE CONDUCTING "UPDATE ON CLIMATE RISK VULNERABILITY ASSASSMENT MAP IN CENTRAL LUZON </t>
  </si>
  <si>
    <t>APRIL 13-17,2026</t>
  </si>
  <si>
    <t xml:space="preserve">                                                            </t>
  </si>
  <si>
    <t>APRIL 1-15,2026</t>
  </si>
  <si>
    <t>04/13/2026</t>
  </si>
  <si>
    <t>APRIL 15,2026</t>
  </si>
  <si>
    <t>PACIFIC WAVE SABANG BALER AURORA</t>
  </si>
  <si>
    <t xml:space="preserve">TO BE SERVED AS RESOURCE SPEAKER TO THE CONDUCTED TRAI NING ON NURSERY STABLISHMENT AND MANAGEMENT </t>
  </si>
  <si>
    <t>APRIL 13,2026</t>
  </si>
  <si>
    <t>140 PACKS</t>
  </si>
  <si>
    <t>INSECTICIDE 100G/PACK(BUPROFESIN)</t>
  </si>
  <si>
    <t>INSECTICIDE 10G/PACK</t>
  </si>
  <si>
    <t xml:space="preserve">90 LITERS </t>
  </si>
  <si>
    <t>INSECTICIDE 500MGBOTTLE(LAMBDA CYHALOTHRIN)</t>
  </si>
  <si>
    <t>APRIL13-16,2026</t>
  </si>
  <si>
    <t>SUBMITTING THE 1ST QUARTER ACCOMPLISHMENT REPORT AND VOUCHERS OF LFT'S</t>
  </si>
  <si>
    <t>2026-04-226</t>
  </si>
  <si>
    <t>2026-04-227</t>
  </si>
  <si>
    <t>2026-04-228</t>
  </si>
  <si>
    <t>BAC WILL CONDUCT THE FF.PROCUREMENT ACTIVITIES FOR PROCUREMENT OF GOODS TO BE HELD OF BAC OFFICE</t>
  </si>
  <si>
    <t xml:space="preserve">5BOTTLE </t>
  </si>
  <si>
    <t>INSECTICIDE(JACKPOT)@1L</t>
  </si>
  <si>
    <t>DA-RFO3 CORN AND CASSAVA PROGRAM FUND 2026</t>
  </si>
  <si>
    <t>FOR THE CORN FCAS OF THE MUNICIPALITY OF BALER</t>
  </si>
  <si>
    <t>NEEM PARKER @1 L</t>
  </si>
  <si>
    <t xml:space="preserve">2SACHET </t>
  </si>
  <si>
    <t>12 PCS</t>
  </si>
  <si>
    <t>FALL ARMYWORM (FAW)TRAP</t>
  </si>
  <si>
    <t>CHRISTOPER</t>
  </si>
  <si>
    <t>DINADIAWAN DIPACULAO</t>
  </si>
  <si>
    <t>MONITOR AND EVALUATION OF VARIOUS AGRICULTURALAND FISHERIES PROJECT</t>
  </si>
  <si>
    <t>APRIL 30,2026</t>
  </si>
  <si>
    <t>APRIL 27,2026</t>
  </si>
  <si>
    <t>APRIL 14,2026</t>
  </si>
  <si>
    <t>APRIL 28,2026</t>
  </si>
  <si>
    <t>04/13,2026</t>
  </si>
  <si>
    <t>APRIL 16,2026</t>
  </si>
  <si>
    <t>PREVENTIVE MAINTENANCESERVICEOF VEHICLE(NAVARRA)</t>
  </si>
  <si>
    <t>ARVIC LOU ADALIDN</t>
  </si>
  <si>
    <t>NELVIN P. REOPTA</t>
  </si>
  <si>
    <t>PREVENTIVE MAINTENANCESERVICEOF VEHICLE(TRAVIS)</t>
  </si>
  <si>
    <t>MONITOR AND EVALUATION OF VARIOUS AGRICULTURAL AND FISHERIES PROJECTS</t>
  </si>
  <si>
    <t>MIJARES AND DINADIAWAN DIPACULAO</t>
  </si>
  <si>
    <t>MELINDA BISARRA/MAXIMA ROQUE/ROSARIO URBANO/ ANNABELE LAPITAN</t>
  </si>
  <si>
    <t>MONITOR AND FACILITATE CONSTRACTIO AND IMPROVEMENT OF VARIOUS PROJECT AND ACTIVITIES IN THE CENTER</t>
  </si>
  <si>
    <t>9PCS</t>
  </si>
  <si>
    <t>DIESEL ENGINE OIL10W40</t>
  </si>
  <si>
    <t>1PC</t>
  </si>
  <si>
    <t>C102FCOO3</t>
  </si>
  <si>
    <t>AIRFILTER CARTIDGE</t>
  </si>
  <si>
    <t>FUEL FILTER ELEMENT</t>
  </si>
  <si>
    <t>2PCS</t>
  </si>
  <si>
    <t>BREAK CLEATER 600ML</t>
  </si>
  <si>
    <t>WIND SHIELD WASHER 200ML</t>
  </si>
  <si>
    <t>APRIL 20-21,2026</t>
  </si>
  <si>
    <t>ASSIST IN THE INSTALLATION OF SOLAR TUNNEL BUBBLE DRYER FOR CORN PROGRAM</t>
  </si>
  <si>
    <t xml:space="preserve">MAO-DINGALAN </t>
  </si>
  <si>
    <t>CORN SEED VARIETY(YELLOW CORN 72BAGS),INORGANIC FERTILIZER(UREA72BAGS)</t>
  </si>
  <si>
    <t>CPEP</t>
  </si>
  <si>
    <t>CORN SEED VARIETY(YELLOW CORN 28BAGS),INORGANIC FERTILIZER(UREA28BAGS)</t>
  </si>
  <si>
    <t>CORN SEED VARIETY(HYBRID WHITE  CORN 48BAGS),INORGANIC FERTILIZER(UREA16BAGS)</t>
  </si>
  <si>
    <t>CORN SEED VARIETY(HYBRID WHITE  CORN 99BAGS),INORGANIC FERTILIZER(UREA33BAGS)</t>
  </si>
  <si>
    <t>CORN SEED VARIETY(HYBRID WHITE  CORN 27BAGS),INORGANIC FERTILIZER(UREA9BAGS)</t>
  </si>
  <si>
    <t>PGA TRAINING HALL</t>
  </si>
  <si>
    <t>TO ATTEND DIGITAL FINANCIAL LITERACY FOR MSMES</t>
  </si>
  <si>
    <t>2026-04-229</t>
  </si>
  <si>
    <t xml:space="preserve">3RD YEAR STUDENT FROM BSED REQUESTING TO CONDUCT RESEARCH STUDY ENTITLED"THE INTERSECTION BETWEEN GOVERNMENT INITIATIVES AND FISHER FOLKS LIVED EXPERIENCES AND RECOVERY </t>
  </si>
  <si>
    <t>2026-04-230</t>
  </si>
  <si>
    <t>FEDERATION OF AURORA FISH FARMER</t>
  </si>
  <si>
    <t>INFORMS THE UPCOMING ASSEMBLY FOR THE PRESIDENT OF ALL FISH GROWERS ASSOCIATIONS IN THE CENTRAL AURORA</t>
  </si>
  <si>
    <t>APRIL 20,2026 1:30PM</t>
  </si>
  <si>
    <t>4/13/2026</t>
  </si>
  <si>
    <t>2026-04-231</t>
  </si>
  <si>
    <t>2026-04-232</t>
  </si>
  <si>
    <t>2026-04-233</t>
  </si>
  <si>
    <t>2026-04-234</t>
  </si>
  <si>
    <t>2026-04-235</t>
  </si>
  <si>
    <t>2026-04-236</t>
  </si>
  <si>
    <t>AN ORDINANCE AMENDING SECTION V AND IX OF ORDINANCE NO. 001-2011" ESTABLISHING BAGSAKANCENTER"</t>
  </si>
  <si>
    <t>APRIL 15,2026 9AM</t>
  </si>
  <si>
    <t>A RESOLUTION REQUESTING THE HONORABLE GOV ISIDRO GALBAN TO ALLOCATE 10M AS FINANCIAL SUBSIDY FOR RICE FARMERS ON THE PGA DUE TO CURRENT RICE PRICE CRISIS</t>
  </si>
  <si>
    <t>APRIL 15,2026 9:30AM</t>
  </si>
  <si>
    <t>PRIVILEGE SPEECH OF HON. NORMA V. PALMERO DIALOGUE WITH THE OPAG AND LOCAL COCONUT FARMERS</t>
  </si>
  <si>
    <t>APRIL 15,2026 10AM</t>
  </si>
  <si>
    <t>REQUESTING PASSAGE OF A RESOLUTION AUTHORIZING HIM TO SIGN AND ENTER A MEMORANDUM PF AGREEMENT BETWEEN THE PGA AND DSWD</t>
  </si>
  <si>
    <t>APRIL 15,2026 10:30AM</t>
  </si>
  <si>
    <t>REQUESTING PASSAGE OF A RESOLUTION AUTHORIZING HIM TO SIGN AND ENTER INTO A MOA BETWEEN PGA THROUGH OPAG AND CLSU FOR THE IMPLEMENTATION OF THE TECHNO VILLAGE DEV. PROGRAM</t>
  </si>
  <si>
    <t>04/14/2026</t>
  </si>
  <si>
    <t>SAMAHAN NG NAGTATANIM NG MANI AT MAIS NG SITIO DUGYAN, BRGY. UMURAY</t>
  </si>
  <si>
    <t>2 UNITS SHALLOW TUBE WELL(STW)</t>
  </si>
  <si>
    <t>REFERS TO THE LETTER OF INTENT OF L.PIMENTEL FARMERS ASSOCIATION REQUESTING REHABILITATION HOUSE OF GREEN HOUSE W/HYDROPONICS</t>
  </si>
  <si>
    <t>JHA</t>
  </si>
  <si>
    <t>LIST OF AURORA EXTENSION OFFICERS FOR DA-BFAR BANNER PROGRAM</t>
  </si>
  <si>
    <t>DIR. WILFREDO M. CRUZ- REGIONAL DIRECTOR BFAR</t>
  </si>
  <si>
    <t>APRIL 22-23,2026</t>
  </si>
  <si>
    <t>2026-04-237</t>
  </si>
  <si>
    <t>AN ORDINANCE INSTITUTING MARITIME SAFELY MEASURES EARLY WARNING SYSTEM AND REGULATED SEAFARING ACTIVITIES IN THE MUNICIPALITY OF DINALUNGAN</t>
  </si>
  <si>
    <t>APRIL 15,2026 2:30PM</t>
  </si>
  <si>
    <t>03/14/2026</t>
  </si>
  <si>
    <t>GALINTUJA MARIA AURORA</t>
  </si>
  <si>
    <t>TO MONITOR THE PRODUCTION SUPPLY OF CROPS IN BRGY. GALINTUJA</t>
  </si>
  <si>
    <t>IBONA CORN GROWER ASSOCIATION OF BRGY. IBONA</t>
  </si>
  <si>
    <t>3 UNITS SHALLOW TUBE WELL(STW)</t>
  </si>
  <si>
    <t>2026-04-238</t>
  </si>
  <si>
    <t>DTI</t>
  </si>
  <si>
    <t>DTI- PGA THROUGH ITS CONSUMER PROTECTION DIVISION IN COLLABORATION WITH PGA WILL CONDUCTING TRAINING ON COLLABORATION OF WEIGHING SCALE</t>
  </si>
  <si>
    <t>APRIL 21,2026</t>
  </si>
  <si>
    <t>PGA TRAINING CENTER CAPITOL</t>
  </si>
  <si>
    <t>OFFICE ORDER; DESIGNATION AS FOCAL PERSON IN THE PROVINCIALCOMMITTEE AGAINST TRAFFICKINA AND VIOLENCE AGAINST CHILDREN(PCAT-VAWC) MS. JOSSELLE SAGAMPOD</t>
  </si>
  <si>
    <t>GROUND BREAKING OF THE PDC</t>
  </si>
  <si>
    <t>APRIL 23,2026 9AM</t>
  </si>
  <si>
    <t>ATC COMPOUND</t>
  </si>
  <si>
    <t>ARAW NG PASASALAMAT OF THE FARMER REBELS</t>
  </si>
  <si>
    <t>APRIL 23,2026 1PM</t>
  </si>
  <si>
    <t>CAPITOL COMPOUND</t>
  </si>
  <si>
    <t>2026-04-240</t>
  </si>
  <si>
    <t>DESIGNATION AS GENDER AND DEVELOPMENT FOCAL PERSON. MS. FATIMA BELEN</t>
  </si>
  <si>
    <t>2026-04-241</t>
  </si>
  <si>
    <t>2026-04-242</t>
  </si>
  <si>
    <t>MUNICIPALITY OF DILASAG</t>
  </si>
  <si>
    <t>LOCAL GOVERNMENT UNIT OF DILASAG CELEBRATING ITS 67TH FOUNDING ANNIVERSARY WITH THE THEME; DILASAG; NAGKAKAISANG PAMAYANAN NAGPUPUGAY SA MAYAMANGKASAYSAYAN</t>
  </si>
  <si>
    <t>JUNE 20,2026</t>
  </si>
  <si>
    <t>REQUUIRMENTS OFREPUBLICACT NO.11032 KNOWN AS THE EASE OF DOING BUSINESS AND EFFICIENT GONERMENT SERVICE(CITIZEN CHARTER FOR CY 2026)</t>
  </si>
  <si>
    <t>DA RFO3TOGETHER WITH PHILRICE -PRISM  AS RECOMEMDED BY THE PHILRICE -PRISM TEAM,THE MUNICIPAL OF MARIA AURORA WAS SELECTED AS ADDITIONAL MONITORING POINTS STARTING CY2026</t>
  </si>
  <si>
    <t xml:space="preserve">MEMORANDUM AGREEMENT;DA-RFO3 THE DETAILEN FARMERS ASSOCIATION </t>
  </si>
  <si>
    <t>REQUESR FOR FINANCIAL ASSITANCE TO MS. LORELEE G. VILLAFLOR WHO FACING HEALTH RELATED CANCER</t>
  </si>
  <si>
    <t>2026-04-243</t>
  </si>
  <si>
    <t>EXECUTIVE ORDER PROVIDING FOR THE CREATION OF AURORA PROVINCIAL SPECIAL TASK FORCE ON ENERGY EFFICIENCY AND RESILENCE AMID UNCERTANTIES ON GLOBAL AND LOCAL SUPPLY AND MARKET STABILITY AND FOR OTHER PURPOSE</t>
  </si>
  <si>
    <t>CASH ADVANCE(FUEL,OIL)</t>
  </si>
  <si>
    <t>04/15/2026</t>
  </si>
  <si>
    <t>SUBMITTING THE DOCUMENTARY REQUIREMENTS UNDER CORN PROGRAM</t>
  </si>
  <si>
    <t>ROMMEL</t>
  </si>
  <si>
    <t>APRIL 30-MAY 4,2026</t>
  </si>
  <si>
    <t>APRIL 29-30,2026</t>
  </si>
  <si>
    <t>SUPPLY AND DELIVERY OF AGRICULTURAL SUPPLIES(COMPLETE FERTILIZER)</t>
  </si>
  <si>
    <t>TO BE USED FOR INTEGRETED NUTRIENT MANAGEMENT PROJECT (JUNE 15,2026)</t>
  </si>
  <si>
    <t>APRIL 27-28,2026</t>
  </si>
  <si>
    <t>REQUEST FOR THE INSUANCE OF A CERTIFICATE OF AVAILABILITY OF FUNDS FOR THE INFRASTRUCTURE PROJECT OF THE OPAG( CONSTRUCTION OF ACCESS ROAD APADTC 1.5M)</t>
  </si>
  <si>
    <t>REQUEST FOR THE INSUANCE OF A CERTIFICATE OF AVAILABILITY OF FUNDS FOR THE AGRICULTURAL AND MARINE SUPPLIES OF THE OPAG( SUPPLY AND DELIVERY OF RICE, 975,000.00 )</t>
  </si>
  <si>
    <t xml:space="preserve">DOD TANGOL KALIKASAN INC. </t>
  </si>
  <si>
    <t>HON.ISIDRO GALBAN</t>
  </si>
  <si>
    <t>AFS</t>
  </si>
  <si>
    <t>MOA-DA-RFO3 , THE ZARAH FARMERS ASSOCIATION REPRESENTED BY ITS PRESIDENT /CHAIRPERSON C.CUERDO RECIPIENT</t>
  </si>
  <si>
    <t>04/16/2026</t>
  </si>
  <si>
    <r>
      <t xml:space="preserve">OPAG REQUEST TO CONDUCT A RE-ASSESSMENT OF THE PROPERTY OWNED PGA LOCATED </t>
    </r>
    <r>
      <rPr>
        <b/>
        <sz val="12"/>
        <color theme="1"/>
        <rFont val="Times New Roman"/>
        <family val="1"/>
      </rPr>
      <t>@ AFTEC</t>
    </r>
  </si>
  <si>
    <t>MR. JOSE ANGELITO HERNANDEZ-ASSESSOR, ALL MAO</t>
  </si>
  <si>
    <t>REQUEST FOR THE BUDGET RE-ALIGNMENT (3,897,376.00</t>
  </si>
  <si>
    <t>SUBMITTING THE ATTENDANCE,DOCUMENTS MOA,DOD (HVCDO)</t>
  </si>
  <si>
    <t>2026-04-244</t>
  </si>
  <si>
    <t>2026-04-245</t>
  </si>
  <si>
    <t>2026-04-246</t>
  </si>
  <si>
    <t>2026-04-247</t>
  </si>
  <si>
    <t>2026-04-248</t>
  </si>
  <si>
    <t>ORDINANCE AMENDING SECTION V AND IX OF ORDINANCE NO.001-2011"BAGSAKAN CENTER"</t>
  </si>
  <si>
    <t>APRIL 20,2026 9AM</t>
  </si>
  <si>
    <t>APRIL 20,2026 9:30AM</t>
  </si>
  <si>
    <t>APRIL 20,2026  10AM</t>
  </si>
  <si>
    <t>APRIL 20,2026  2PM</t>
  </si>
  <si>
    <t>APRIL 22-23-27,2026</t>
  </si>
  <si>
    <t>2026-04-249</t>
  </si>
  <si>
    <t>2026-04-250</t>
  </si>
  <si>
    <t>2026-04-251</t>
  </si>
  <si>
    <t>A RESOLUTION REQUESTING THE HONORABLE GOV ISIDRO GALBAN TO SIGN FOR THE BEHALF OF PGA THE CERTIFICATE DONATION ISSUED BY PHILMECH COVERING VARIOUS AGRICULTURAL MACHINERIES UNDER THE 2024 RICE COMPETITIVENESS</t>
  </si>
  <si>
    <t>DALUHAY</t>
  </si>
  <si>
    <t xml:space="preserve">REQUEST OF TESDA ;DALUHAY AND THE BAGONG LUMAD ARTIST FEDERATIONINC.(BLAFI)DELIVERING 2DAYS TRAINING SESSION FOR SENIOR TESDA STAFF </t>
  </si>
  <si>
    <t>APRIL29-30,2026</t>
  </si>
  <si>
    <t>DESIGNATION AS FOCAL PERSON IN THE PCPC, MS. LEAH LOMBRES</t>
  </si>
  <si>
    <t>HON.ISIDRO P GALBAN</t>
  </si>
  <si>
    <t>OFFICE ASSIGNMENTIN MUNICIPAL AGRICULTURE OFFICE, CASIGURAN(MR. RAUL TORRE)</t>
  </si>
  <si>
    <t>MAO CASIGURAN</t>
  </si>
  <si>
    <t xml:space="preserve">VALLEJOS COMMERCIAL </t>
  </si>
  <si>
    <t>FUEL OIL, LUBRICANT</t>
  </si>
  <si>
    <t>MOA-DOD, IMULAT LOWLAND UPLAND FARMERS ASSOCIATION REPRESENTED BY ITS PRESIDENT FRANCIS D. FLORORITA BRGY. IBONA  DINGALAN</t>
  </si>
  <si>
    <t>APRI; 16,2026</t>
  </si>
  <si>
    <t>MOA- DOD,CARAGSACAN PALAYAMANAN FARMERS REPRESENTED BY ITS PRESIDENT AQUILINO A. SALDASAL JR. AT BRGY. CARAGSACAN DINGALAN</t>
  </si>
  <si>
    <t>APRIL1-15,2026</t>
  </si>
  <si>
    <t>ENGR. AMADO ELSON EGARGUE</t>
  </si>
  <si>
    <t>UPCOMING TREE PLANTING ACTIVITY OF THE VICE PRESIDENT TAGGED" PAGBABAGO AMILLION TREES CAMPAIGN" APRIL 22,2026 7AM @ SAN JUAN MARIA AURORA</t>
  </si>
  <si>
    <t>APRIL 21-22,2026</t>
  </si>
  <si>
    <t>TO PICK UP SEEDLINGS/ATTEND TREE PLANTING</t>
  </si>
  <si>
    <t>APRIL 20,2026</t>
  </si>
  <si>
    <t>TO ASSIST SCHEDULED MEETING/TRAINING IN THE CENTER /TO FACILITATE CONTINOUS PROJECT CONSTRATION AND PREPARATION ON THE UPCOMING ACTIVITIES</t>
  </si>
  <si>
    <t>APRIL 20,2027</t>
  </si>
  <si>
    <t>TO ATTEND YOUTH INTERNSHIP PROGRAM FOR CHILDREN OF COCONUT FARMERS BATCH 2 ORIENTATION</t>
  </si>
  <si>
    <t>DA CENTRAL OFFICE QUEZON CITY</t>
  </si>
  <si>
    <t>TO ATTEND MEETING OF DA-SPECIAL PROJECTS COORDINATION AND MANAGEMENT ASSISTANCE DIVISION REGARDING THE KOICA-RPC</t>
  </si>
  <si>
    <t>APRIL 19,2026</t>
  </si>
  <si>
    <t>DISTRIBUTION OF INTERVENTION FOR PRODUCTION SUPPORT TO ROOT CROPS FARMERS ASSOSIATION UNDER HVCDP ON 4/23/2026 AT ATC</t>
  </si>
  <si>
    <t>DA-RFO3 CONDUCTING THE FIRST QUARTER ASSESSMENT OF LFT'S UNDER MASAGANA RICE INDUSTRY DEVELOPMENT PROGRAM (MRIDP) APRIL 28-30,2026 AT ANGELES CITY</t>
  </si>
  <si>
    <t>MAO BALER</t>
  </si>
  <si>
    <t>SABANG BALER AURORA</t>
  </si>
  <si>
    <t>0420/2026</t>
  </si>
  <si>
    <t>TO ATTEND PROVINCIAL CONSULTATION MEETING FPR FOA ACTION PLAN</t>
  </si>
  <si>
    <t>04/20/2026</t>
  </si>
  <si>
    <t>2026-04-252</t>
  </si>
  <si>
    <t>ENDORSEMENT OF THE TECHNICAL EVALUATION AND RECOMMENDATION FOR THE DEVELOPMENT PLAN OF THE APAMSTEC</t>
  </si>
  <si>
    <t xml:space="preserve">PAG IBIG LOYALTY CARD PLUS CAPTURING </t>
  </si>
  <si>
    <t>2026-04-253</t>
  </si>
  <si>
    <t xml:space="preserve">INVITATION TO THE STOCKING OF 60,000 PIECES OF MILKFISH FINGERLINGS FOR THE CAGES FOR LIVELIHOOD PROJECT IN BALER AURORA </t>
  </si>
  <si>
    <t>APRIL 21,2026 6AM</t>
  </si>
  <si>
    <t>BALERR FISHPORT</t>
  </si>
  <si>
    <t>TO ATTEND ORGANIC INTERNSHIP PROGRAM ORIENTATION</t>
  </si>
  <si>
    <t>APRIL26-29,2026</t>
  </si>
  <si>
    <t>TO ASSIST DA-PHILGAP CONDUCT TRAINING FOR THE IBONA AGRICULTURAL PLANTERS ASSOCIATION (IAPA)</t>
  </si>
  <si>
    <t>2026-04-254</t>
  </si>
  <si>
    <t>NEPFCC</t>
  </si>
  <si>
    <t>NEPFCC WILL CONDUCT ITSANNUAL GENARAL ASSEMBLY MEETING</t>
  </si>
  <si>
    <t>APRIL 28,2026  1PM</t>
  </si>
  <si>
    <t>WIDE CENTER ATC COMPOUND</t>
  </si>
  <si>
    <t>FISH FARMER AND FISH VENDOR ASSEMBLY</t>
  </si>
  <si>
    <t>04/20/206</t>
  </si>
  <si>
    <t>PAYMENT  FOR OIL AND LUBRICANTS(GENERAL FUND)</t>
  </si>
  <si>
    <t>BALER FISHPORT AND DIBUT SAN LUIS</t>
  </si>
  <si>
    <t xml:space="preserve">TO ATTEND THE STOCKING </t>
  </si>
  <si>
    <t>TO ATTEND AND DISTRIBUTE VEGETABLES SEEDS IN SOLO PARENT DAY OUTREACH PROGRAM</t>
  </si>
  <si>
    <t>APRIL 29,2026</t>
  </si>
  <si>
    <t>30 BAGS</t>
  </si>
  <si>
    <t>COMPLETE FERTILIZER</t>
  </si>
  <si>
    <t>3UNITS</t>
  </si>
  <si>
    <t>8PCS</t>
  </si>
  <si>
    <t>KWIN B CONSTRUCTION</t>
  </si>
  <si>
    <t>SUPPLY AND DELIVERY OF HARDWARE AND CONSTRUCTION MATERIALS</t>
  </si>
  <si>
    <t>2026-04-255</t>
  </si>
  <si>
    <t>REQUEST FOR USE OF VENUE FOR AURORA YOUTH LEADERSHIP SUMMIT(YSL) 2026</t>
  </si>
  <si>
    <t>MAY20-22,2026</t>
  </si>
  <si>
    <t>2026-04-256</t>
  </si>
  <si>
    <t>BATAAN PENINSULA STATE UNIVERSITY</t>
  </si>
  <si>
    <t>FORMAL INVITATION TO THE FARMERS FIELD DAY HARVEST FESTIVAL UNDER PROJECT SAPAT-EDDSRS</t>
  </si>
  <si>
    <t>MAY 15,2026 8AM-12NOON</t>
  </si>
  <si>
    <t>PUROK 6 BRGY. BUHANGIN BALER AURORA</t>
  </si>
  <si>
    <t>TO SUPERVISE APADTC ACTIVITIES AND TO ATTEND HYBRID RICE DERBY TECHNICAL BRIEFING</t>
  </si>
  <si>
    <t>APRIL 21-23,2026</t>
  </si>
  <si>
    <t xml:space="preserve">ARNOLD B NOVICIO </t>
  </si>
  <si>
    <t>COMUNICATION EXPENSES</t>
  </si>
  <si>
    <t>DOD-CLUSTER 1 CORN FARMERS ASSOCIATION @BRGY. CALANGCUASAN CASIGURAN</t>
  </si>
  <si>
    <t>04/21/2026</t>
  </si>
  <si>
    <t>TO ATTEND THE ORIENTATION-MEETING ON PRISM OPERATIONAL PROTOCOL</t>
  </si>
  <si>
    <t>2026-04-257</t>
  </si>
  <si>
    <t>INVITATION ON THE CAPACITYBUILDING ON THE FORMULATION AND UPDATING OF PROVINCIAL CITY AND MUNICIPAL AGRICULTURAL FISHERY MECHANIZATION PLANS FOR CY 2027-2031</t>
  </si>
  <si>
    <t>REQUEST FOR THE ISSUANCE OF A CERTIFICATE OF APPROPRIATION OF FUNDS FOR THE CONSTRACTION MATERIALS OF OPAG(12,450.00)</t>
  </si>
  <si>
    <t>REQUEST FOR THE ISSUANCE OF A CERTIFICATE OF APPROPRIATION OF FUNDS FOR THE AGRICULTURAL AND MARINE SUPPLIES AND CONSTRACTION MATERIALS OF OPAG(199,580.00-12,450.00)</t>
  </si>
  <si>
    <t>REYMAR MENDEZ ET.AL.</t>
  </si>
  <si>
    <t>APRIL 21,2026 2PM</t>
  </si>
  <si>
    <t xml:space="preserve">SAN LUIS, RESERVA </t>
  </si>
  <si>
    <t>HAND CARRY CERTIFICATE OF FOOD PROCESING TRAINING AND OUTSTANDING RURAL WOMEN</t>
  </si>
  <si>
    <t>LARINE GINES</t>
  </si>
  <si>
    <t>APRIL 23,2026</t>
  </si>
  <si>
    <t>SAN ISIDRO, SANLUIS</t>
  </si>
  <si>
    <t>PACIFIC WAVE SABANG, BALER</t>
  </si>
  <si>
    <t>APRIL 22-24,2026</t>
  </si>
  <si>
    <t>TO BE SERVED AS A RESOURCE SPEAKER TO THE CONDUCT TRAINING ON COCONUT-COFFEE FARMING SYSTEM</t>
  </si>
  <si>
    <t>REQUEST FOR THE ISSUANCE OF A CERTIFICATE OF APPROPRIATION OF FUNDS FOR THE CONSTRACTION MATERIALS OF OPAG(199,580.00)</t>
  </si>
  <si>
    <t>MOA-SUGUIT RANG AY FARMERS ASSOCIATION REPRESENTED BY. WILFREDO P.LIDDAN OF BRGY. SUGUIT MARIA AURORA</t>
  </si>
  <si>
    <t>HOPE RURAL IMPROVEMENT CLUB(RIC) PRESIDENT JINGELYN P. CACANINDIN AT BARANGAY SALAY DIPACULAO, AURORA</t>
  </si>
  <si>
    <t>PROPERTY RETURN SLIP(HONDA XRM)</t>
  </si>
  <si>
    <t>MARCH</t>
  </si>
  <si>
    <t>APRIL 22,2026</t>
  </si>
  <si>
    <t>AFTEC BRGY.RESERVA</t>
  </si>
  <si>
    <t>2026-04-258</t>
  </si>
  <si>
    <t xml:space="preserve">PGA THROUGH PSWDO CONDUCTING AN OUTREACH PROGRAM AS THE SOLO PARENT DAY CELEBRATION </t>
  </si>
  <si>
    <t>DINALUNGAN MUNICIPAL COVERER COURT</t>
  </si>
  <si>
    <t>SUBMITTING THE ATTACHED DOCUMENTS OF MUNICIPALITIES THEIR REQUEST AND DOCUMENTS THAT SIGNIFIES THEIR INTENT UNDER DA-CORN PROGRAM FY 2026</t>
  </si>
  <si>
    <t>PAGTALAGA BILANG PANSAMANTALANG TAGAPAMAHALA NG TANGGAPAN NG PANLALAWIGAN PAGSASAKA</t>
  </si>
  <si>
    <t>04/22/2026</t>
  </si>
  <si>
    <t>DARWIM DUASO</t>
  </si>
  <si>
    <t>2026-04-259</t>
  </si>
  <si>
    <t>2026-04-260</t>
  </si>
  <si>
    <t>PYDO</t>
  </si>
  <si>
    <t>NOTICE OF COMMITTEE FOCAL MEMBERSHIP AND MEETING FOR SOYA</t>
  </si>
  <si>
    <t>APRIL 27,2026 2PM</t>
  </si>
  <si>
    <t>INVITATION AND REQUEST FOR MESSAGE- ARAW NG MAGSASAKA AT MANGINGISDA 2026</t>
  </si>
  <si>
    <t>DILASAG SPORT COMPLEX</t>
  </si>
  <si>
    <t>2026-04-261</t>
  </si>
  <si>
    <t>CONCERN ISSUSES AND CLARIFICATIONS REGARDING PROCUREMENT UNDER FALGU-FATO LGUS-RICE DISTRIBUTION PROJECT</t>
  </si>
  <si>
    <t>LETTER DATED 15 APRIL 2026 OF HON. ISIDRO P. GALBAN, GOVERNOR TRANSMITTING COPIES OF PDC RESOLUTION, ALL SERIES OF 2026</t>
  </si>
  <si>
    <t>1 TRAY</t>
  </si>
  <si>
    <t>EGGPLANT SEEDLINGS</t>
  </si>
  <si>
    <t>PUNLA SA MADLA</t>
  </si>
  <si>
    <t>JOSELLE</t>
  </si>
  <si>
    <t>04/23/2026</t>
  </si>
  <si>
    <t>2026-04-262</t>
  </si>
  <si>
    <t>2026-04-263</t>
  </si>
  <si>
    <t>2026-04-264</t>
  </si>
  <si>
    <t>2026-04-265</t>
  </si>
  <si>
    <t>2026-04-266</t>
  </si>
  <si>
    <t>2026-04-267</t>
  </si>
  <si>
    <t>2026-04-268</t>
  </si>
  <si>
    <t>2026-04-269</t>
  </si>
  <si>
    <t>2026-04-270</t>
  </si>
  <si>
    <t>2026-04-271</t>
  </si>
  <si>
    <t>2026-04-272</t>
  </si>
  <si>
    <t>2026-04-273</t>
  </si>
  <si>
    <t>APRIL 27,2026 8:30 AM</t>
  </si>
  <si>
    <t>APRIL 27,2026 9:30 AM</t>
  </si>
  <si>
    <t>APRIL 27,2026 10:00 AM</t>
  </si>
  <si>
    <t>HON. ISIDRO GALBAN, GOVERNOR REQUESTING THE PASSAGE OF A RESOLUTION AUTHORIZING HIM TO SIGN AND ENTER A MOA AGREEMENT BETWEEN THE PGA AND DSWD FOR THE IMPLEMENTATION OF THE PROJECT LAWA AND BINHI</t>
  </si>
  <si>
    <t>APRIL 27,2026 10:30 AM</t>
  </si>
  <si>
    <t>APRIL 27,2026 2 PM</t>
  </si>
  <si>
    <t>BFAR 3</t>
  </si>
  <si>
    <t>DA-DELARED THE MONTH OF MAY AS FARMER AND FISHERFOLKS MONTH IN COORDINANCE WITH PRESIDENTIAL PROCLAMATION</t>
  </si>
  <si>
    <t>DOST</t>
  </si>
  <si>
    <t>UPCOMING INAUGURATION AND BLESSING OF THE PSTO-AURORA BUILDING ON MAY 1 2026 INCLUDES VISIT TO THE MUSHROOM DEVELOPMENT CENTER AND MOBILE SOLAR POWER PUMP AT APADTC</t>
  </si>
  <si>
    <t>MAY 1,2026</t>
  </si>
  <si>
    <t>APDRRMC</t>
  </si>
  <si>
    <t>REVIEW OF MUNICIPAL DRRM PLAN ,AIP, AND 5%LDRRMFIP FOR CY 2027</t>
  </si>
  <si>
    <t>ATTENDING PGA CHOIR REHERSAL</t>
  </si>
  <si>
    <t>TO FACILITATE TECHNICAL BREIFING  RE;HYBRID RICE DERBY</t>
  </si>
  <si>
    <t>6 LTRS</t>
  </si>
  <si>
    <t>ENGINE OIL</t>
  </si>
  <si>
    <t>RIS</t>
  </si>
  <si>
    <t>1 PC</t>
  </si>
  <si>
    <t>OIL FILTER</t>
  </si>
  <si>
    <t xml:space="preserve">FUEL FILTER </t>
  </si>
  <si>
    <t>DRAIN FLUG WASHER</t>
  </si>
  <si>
    <t>AIRCON FILTER PREMIUM</t>
  </si>
  <si>
    <t>BRAKE FLUID</t>
  </si>
  <si>
    <t>2LTRS</t>
  </si>
  <si>
    <t>RADIATOR COOLANT</t>
  </si>
  <si>
    <t>1LTR</t>
  </si>
  <si>
    <t>WIND SHIELD WASHER FLUID</t>
  </si>
  <si>
    <t>BRAKE CLEANER</t>
  </si>
  <si>
    <t>BRAKE PASTE</t>
  </si>
  <si>
    <t>PENETRATING OIL</t>
  </si>
  <si>
    <t>BACLAKLEEN SM</t>
  </si>
  <si>
    <t>1ML</t>
  </si>
  <si>
    <t>1OC</t>
  </si>
  <si>
    <t>ARVIC</t>
  </si>
  <si>
    <t>5PCS</t>
  </si>
  <si>
    <t>FARM TOURISM</t>
  </si>
  <si>
    <t>MAY 6,2026</t>
  </si>
  <si>
    <t>AN ORDINANCE INSTITUTIONALIZING THE ANNUAL STATE OF THE YOUTH ADDRESS(SOYA) IN THE PROVINCE OF AURORA AND APPROPRIATING FUNDS FOR THE PURPOSE</t>
  </si>
  <si>
    <t>SUBMITTING THE MOA,DOD(RIC HVCDP 2026)(WALKING TYOE AGRI TRACTOR)</t>
  </si>
  <si>
    <t>04/27/2026</t>
  </si>
  <si>
    <t>ASSIST IN THE TRANSFER OF PINAWA RICE MILL TO APADRTC</t>
  </si>
  <si>
    <t>MUNICIPALITY OF SAN LUIS</t>
  </si>
  <si>
    <t xml:space="preserve">SANGGUNIANG BRGY. NG ELPIMENTEL HUMIHINGI NG TULONG SA PAGBIBIGAY NG BINHI </t>
  </si>
  <si>
    <t>APRIL 27-30,2026</t>
  </si>
  <si>
    <t>PGA THROUGH OPAG AND PROVINCIAL TOURISM OFFICE WILL CONDUCTING A COOKING CHALLENGE IN LINE WITH THE CELEBRATION OF FILIPINO FOOD MONTH</t>
  </si>
  <si>
    <t>MS. ANNIE VI A. RANAN</t>
  </si>
  <si>
    <t>(APRIL 30,2026- ABUCAY FARM RESORT</t>
  </si>
  <si>
    <t>CASIGURAN KADIWA</t>
  </si>
  <si>
    <t>TO PICK-UP 150 NFA BAGS OF RICE FROM CASIGURAN</t>
  </si>
  <si>
    <t>APRIL 29,2027</t>
  </si>
  <si>
    <t>CABANATUAN</t>
  </si>
  <si>
    <t>TO PICK UO SERVICE VEHICLE (TRAVIS) AT BM DOMINGO MOTORS</t>
  </si>
  <si>
    <t>JOHN MARK SORIANO</t>
  </si>
  <si>
    <t>APRIL 29,2028</t>
  </si>
  <si>
    <t>PANDI BULACAN</t>
  </si>
  <si>
    <t>TO PICK UP LIVE RED BLOOD WORM((RBC) TO BE USED IN CATFISH PRODUCTION PROJECT</t>
  </si>
  <si>
    <t>MAINTENANCE OF AQUA FEEDMILL</t>
  </si>
  <si>
    <t xml:space="preserve">BRGY. DITUMABO SAN LUIS </t>
  </si>
  <si>
    <t>TO ATTEND DISTRIBUTION OF CACAO SEEDLINGS TO MEMBERS OF DITUMABO COCNUT FARMERS AND LIVESTOCKS</t>
  </si>
  <si>
    <t>MARIE FLOR CANASAL</t>
  </si>
  <si>
    <t>SITIO SETAN</t>
  </si>
  <si>
    <t>TO CONDUCT GEOREFERENCING TO HYBRID SEED DERBY</t>
  </si>
  <si>
    <t>APTIL 28-30,2026</t>
  </si>
  <si>
    <t>TO FACILITATE CONTINOUS PROJECT CONSTRATION AND PREPARATION ON THE UPCOMING ACTIVITIES</t>
  </si>
  <si>
    <t>CLEAN,REPAIR AND RECONDITION THE PINAWAN RICE MILL FROM DOST</t>
  </si>
  <si>
    <t>ATTEND THE CAPACITY BUILDING ON THE FORMATION AND UPDATING OF PROVINCIAL CITY AND MUNICIPAL AGRICULTURAL LAND FISHERIES</t>
  </si>
  <si>
    <t>04/28/2026</t>
  </si>
  <si>
    <t>LARA'S AGRICULTURAL AND POULTRY SUPPLIES</t>
  </si>
  <si>
    <t xml:space="preserve">REGULAR MOOE </t>
  </si>
  <si>
    <t>MIKKO'S AGRICULTURAL AND POULTRY</t>
  </si>
  <si>
    <t>CLOCKWISE MARKETING INTERPRISES</t>
  </si>
  <si>
    <t>GENERAL FUND 2026</t>
  </si>
  <si>
    <t>AARA AGRIVET TRAIDING</t>
  </si>
  <si>
    <t xml:space="preserve">SPA-GAD </t>
  </si>
  <si>
    <t>2026-04-274</t>
  </si>
  <si>
    <t>MASAGANA RICE INDUSTRY PROGRAM WILL CONDUCT "MRIDP CLUSTERING AND CONSOLIDATION WORKSHOP"</t>
  </si>
  <si>
    <t>MAY 6-8,2026</t>
  </si>
  <si>
    <t>SUPPLY AND DELIVERY OF TRAINING SUPPLIES</t>
  </si>
  <si>
    <t>DA-RFO3 CWILL BE CONDUCTING MRIDP CLUSTERING AND CONSOLIDATION WORKSHOP</t>
  </si>
  <si>
    <t>REGULAR MOOE</t>
  </si>
  <si>
    <t xml:space="preserve">IMPLEMENTATION OF"GSB" PROJECT IS IN 2ND YEAR OF IMPLEMENTATION </t>
  </si>
  <si>
    <t>ENGR. AB P. DAVID</t>
  </si>
  <si>
    <t>04/229/2026</t>
  </si>
  <si>
    <t>MAY 4-5-6,2026</t>
  </si>
  <si>
    <t>04/29/2026</t>
  </si>
  <si>
    <t>TO CONDUCT INDUCED SPAWNING CATFISH</t>
  </si>
  <si>
    <t>SUBMITTING THE PAG-IBIG LOYALTY CARD PLUS APPICATION FROM OF PERMANENT AND CASUAL</t>
  </si>
  <si>
    <t>BRGY SAN ISIDRO SAN LUIS</t>
  </si>
  <si>
    <t>SUBMITTING THE ATTACHED DOCUMENTS ON THE FIELD DAY FOR THE IMPLEMENTATION OF THE RESEARCH PROJECT OF DA ENTITLED"DEVELOPMENT AND TESTING OF PEST MANAGEMENT STRATEGIES ON CORN FAIL ARMYWORM"</t>
  </si>
  <si>
    <t>MR. JEROME SUMANGAN-SCIENCE RESEARCH SPECIALIST 2</t>
  </si>
  <si>
    <t>SUBMITTING THE DOCUMENTARY REQUIREMENTS UNDER CORN AND CASSAVA PROGRAM</t>
  </si>
  <si>
    <t>INORGANIC FERTILIZER; 50BAGS MURIATE OF POTASH AND 50 BAGS UREA</t>
  </si>
  <si>
    <t>MAO-SAN LUIS</t>
  </si>
  <si>
    <t>HYBRID WHITE CORN-300KG,100 BAGS UREA</t>
  </si>
  <si>
    <t>HYBRID WHITE CORN-160 kg,160 BAGS UREA</t>
  </si>
  <si>
    <t>JHON JOHXS  DELOS REYES</t>
  </si>
  <si>
    <t>APRIL 30,2026-MAY 1,2026</t>
  </si>
  <si>
    <t>CAPITOL COMPOUND/APADTC</t>
  </si>
  <si>
    <t>TO ASSIST KADIWANG NG PANGULO AND CONDUCT FILIPINO FOOD MONTH</t>
  </si>
  <si>
    <t>2026-04-275</t>
  </si>
  <si>
    <t>2026-04-276</t>
  </si>
  <si>
    <t>GFPS</t>
  </si>
  <si>
    <t xml:space="preserve">2ND QUARTER MEETING TWG </t>
  </si>
  <si>
    <t>MAY 7,2026 1PM</t>
  </si>
  <si>
    <t>TRAINING HALL ANNEX BLDG</t>
  </si>
  <si>
    <t>MAY 4-7,2026</t>
  </si>
  <si>
    <t xml:space="preserve">SUPERVISE ACTIVITY IN MUSHROOM PRODUCTION </t>
  </si>
  <si>
    <t>MAY 6-8,2027</t>
  </si>
  <si>
    <t>MAY 6-8,2028</t>
  </si>
  <si>
    <t>TO ATTEND THE MRIDP CLUSTERING AND CONSOLIDATION WORKSHOP</t>
  </si>
  <si>
    <t>FABROS INTEGRETED TRAINING AND ASSESSMENT CENTER INC BRGY. DIAAT MARIA AURORA</t>
  </si>
  <si>
    <t>APPLICATION OF RENEWAL OF LEARNING SITE FOR AGRICULTURS(LSA)</t>
  </si>
  <si>
    <t>ASSIGNMENT IN PROCESSING OF PAYROLL AND APADTC DOCUMENTS</t>
  </si>
  <si>
    <t>AARON XAVIER M. POSERIO</t>
  </si>
  <si>
    <t>ARVIC LOU ADALID ET.AL.</t>
  </si>
  <si>
    <t>APRIL 16-30,2026</t>
  </si>
  <si>
    <t>MAY 5-7,2026</t>
  </si>
  <si>
    <t>TO ATTEND VOLUNTEERISM PROGRAM MEETING, TO SUPERVISE AND FACILITATE</t>
  </si>
  <si>
    <t>MAY 5,2026</t>
  </si>
  <si>
    <t>TO CONDUCT TECHNICAL TRAINING BAND ORIENTATION ON CACAO PRODUCTION</t>
  </si>
  <si>
    <t>MAY 25-26.2026</t>
  </si>
  <si>
    <t>MAY 4,2026</t>
  </si>
  <si>
    <t>2026-04-277</t>
  </si>
  <si>
    <t>2026-04-278</t>
  </si>
  <si>
    <t>2026-04-279</t>
  </si>
  <si>
    <t>2026-04-280</t>
  </si>
  <si>
    <t>2026-04-281</t>
  </si>
  <si>
    <t>2026-04-282</t>
  </si>
  <si>
    <t>REQUEST ASSISTANCE OF OPAG PROVIDING RELEVANT PRODUCTION DATA TO SUPPORT ON GOING INITIATIVE OF THE DTI</t>
  </si>
  <si>
    <t>COBDUCT REGIONAL STAKEHOLDER CONSULTATION WORKSHOP ON AGRICULTURE AND FISHERIES EXTENSION(AFE)</t>
  </si>
  <si>
    <t>MAY 14,2026</t>
  </si>
  <si>
    <t>VIA GOOGLE MEET</t>
  </si>
  <si>
    <t>MID YEAR BONUS</t>
  </si>
  <si>
    <t>ROSE MARIE URBANO</t>
  </si>
  <si>
    <t>MAY 28,2026</t>
  </si>
  <si>
    <t>2026-04-283</t>
  </si>
  <si>
    <t>PGSO</t>
  </si>
  <si>
    <t>PGSO CURRENTLY UNDERTAKING LANDSCAPING ACTIVITIES, REQUEST VERMI-COMPOSITE,GARDEN SOIL</t>
  </si>
  <si>
    <t>DESIGNATION AS SPECIAL DISBURSING OFFICER</t>
  </si>
  <si>
    <t>APRIL 16-APRIL 30,2026</t>
  </si>
  <si>
    <t>CALAOCAN DIPACULAO,DINALUNGAN</t>
  </si>
  <si>
    <t>JANITORIAL SUPPLIES APDTC</t>
  </si>
  <si>
    <t>WALIS TAMBO,MAKAPAL</t>
  </si>
  <si>
    <t>4PCS</t>
  </si>
  <si>
    <t>WATER JUG FOR WATER DISPENSER(ROUND TYPE)</t>
  </si>
  <si>
    <t xml:space="preserve">2PCS </t>
  </si>
  <si>
    <t>DISH RACK DRAINER ORGANIZER</t>
  </si>
  <si>
    <t>TOILET BOWL BRUSH WITH STONG BRISTLES</t>
  </si>
  <si>
    <t>ENTRANCE DOOR FLOOR MAT PLASTIC,ANTI-SLIP 2X4FT</t>
  </si>
  <si>
    <t>10PCS</t>
  </si>
  <si>
    <t>DISHWASHING LIQUID 800ML</t>
  </si>
  <si>
    <t>DETERGEBT POWDER, 1KL PER PACK</t>
  </si>
  <si>
    <t xml:space="preserve"> LIQUID BLEACH 500ML</t>
  </si>
  <si>
    <t xml:space="preserve">10 PCS </t>
  </si>
  <si>
    <t>MURIATIC ACID 500ML</t>
  </si>
  <si>
    <t>AIR FRESHENER</t>
  </si>
  <si>
    <t>INSECT REPELANT/INSECTICIDE SPRAY 500ML</t>
  </si>
  <si>
    <t>DISENFECTANT SPRAY 538ML</t>
  </si>
  <si>
    <t>22PCS</t>
  </si>
  <si>
    <t>TOILET DEODORANT CAKE. 100G WITH HOLDER</t>
  </si>
  <si>
    <t>SOL</t>
  </si>
  <si>
    <t>2026-04-284</t>
  </si>
  <si>
    <t>2026-04-285</t>
  </si>
  <si>
    <t>DIRECTIVE TO EXTEND FULL ASSISTANCE AND EXPIDITE THE RELEASE OF DOCUMENTS TO PROVINCIAL LEGAL OFFICE IN THE CONDUCT OF INVESTIGATION ON ALLEGED IRREGULARITIES OF J.O</t>
  </si>
  <si>
    <t>REQUEST FOR THE COLLABORATION UNDER THE WORD INTELLECTUAL PROPERTY ORGANIZATION(WIPO_FOR FOSHERIES SECTOR DEVELOPMENT</t>
  </si>
  <si>
    <t xml:space="preserve">WAGES </t>
  </si>
  <si>
    <t xml:space="preserve"> APRIL 16-30,2026</t>
  </si>
  <si>
    <t>MAY6-7,2026</t>
  </si>
  <si>
    <t>REFER FOR RESENT REQUEST FOR PRODUCTION VOLUMES OF KEY CROPS-NAMELY RICE,CORN,PALAY AND OTHER HVCDP</t>
  </si>
  <si>
    <t>MR. ALDRIN VENERACION - DTI</t>
  </si>
  <si>
    <t>BETS</t>
  </si>
  <si>
    <t>CAPITOL</t>
  </si>
  <si>
    <t>MAY 7,2026</t>
  </si>
  <si>
    <t>CALAOCAN DIPACULAO</t>
  </si>
  <si>
    <t>FOR THE OPERATION OF THE AQUA FEEDMILL AT APADTC(JUNE 2026, AUGUST 2026) TWICE DELIVERY</t>
  </si>
  <si>
    <t>TRUST FUND (5M SOURCE DA-BFAR)</t>
  </si>
  <si>
    <t>BPSU-INSTITUTE OF AGRICULTURAL AND BIOSYSTEM ENGINEERING WILL HOLDS FARMERS FIELD DAY (SAPAT) ON MAY 18,2026 AT PUROK 6 BRGY BUHANGIN</t>
  </si>
  <si>
    <t>MR. GUY ALIPIO TUZON</t>
  </si>
  <si>
    <t>REFERENCE TO THE POSTPONEMENT OF SERIES OF TRAINING ON THE LGU-LED SCALLING THE ADAPTATION OF PEST AND NUTRIENT MANAGEMENT TECHNOLOGIESFOR RICE FARMER OF DIPACULAO</t>
  </si>
  <si>
    <t>MR. JOEL V. PASCUAL- HEAD TMS</t>
  </si>
  <si>
    <t>KAI</t>
  </si>
  <si>
    <t>SUBMITING THE ATTACHED DOCUMENTS OF MUNICIPALITIES THEIR REQUEST AND DOCUMENTS THAT SIGNIFIES THEIR INTENT(CORN AND CASSAVA)</t>
  </si>
  <si>
    <t>JOYCELINDA REYES ET AL</t>
  </si>
  <si>
    <t>APRIL</t>
  </si>
  <si>
    <t>JOHNMARK SORIANO</t>
  </si>
  <si>
    <t>MAY</t>
  </si>
  <si>
    <t>PROVISION ON FARM TOURISM INPUTS FOR FARM TOURIST DEVELOPMENT</t>
  </si>
  <si>
    <t>SPA-ORGANIC AGRICULTURE PROGRAM</t>
  </si>
  <si>
    <t>2026-04-286</t>
  </si>
  <si>
    <t>2026-04-287</t>
  </si>
  <si>
    <t xml:space="preserve">SK PROVINCIALFEDERATION PRESIDENT </t>
  </si>
  <si>
    <t>REQUEST COPIES OF DOCUMENTS PERTAINING TO THE ALLOTED BUDGET FOR YOUTH DEVELOPMENT PROGRAMS IN AGRICULTURE COVERING IN THE PAST FIVE YEARS</t>
  </si>
  <si>
    <t>CONDUCT TRAI NING ON GENDER MAINSTREAMING EVALUATION FRAME WORK(GMEF)</t>
  </si>
  <si>
    <t>MAY 19-20,2026 8-5PM</t>
  </si>
  <si>
    <t>AS A RESULT OF THE CURRENT GLOBALFUEL CRISIS WE REQUEST THE ISSUANCE OF A CERTIFICATE OF AVAILABILITY OF FUNDS</t>
  </si>
  <si>
    <t>PAGTATALAGA BILANG PANSAMANTALANG TAGAPAMANIHALA NG TANGGAPAN MG PANLALAWIGANG PAGSASAKA</t>
  </si>
  <si>
    <t>INFORM THAT DA THROUGH NUPAP-PMO AND THE NATIONAL AND PERI-URBAN AGRICULTURE PROGRAM DARFO 3NUPAP WILL BE CONDUCTING MONITORING AND EVALUATION OF GREEN HOUSE AND HYDROPONICS PROJECTS</t>
  </si>
  <si>
    <t>MAY6-8,2026</t>
  </si>
  <si>
    <t>TO ATTEND CLUSTERING  THE MRIDP AND CONSOLIDATION WORKSHOP</t>
  </si>
  <si>
    <t>2026-04-288</t>
  </si>
  <si>
    <t>2026-04-289</t>
  </si>
  <si>
    <t>2026-04-290</t>
  </si>
  <si>
    <t>2026-04-291</t>
  </si>
  <si>
    <t>2026-04-292</t>
  </si>
  <si>
    <t>MUNICIPAL OF SAN LUIS</t>
  </si>
  <si>
    <t>106TH FOUNDING ANNIVERSARY OF BARANGAY BACONG " ARAW NG MAGSASAKA"</t>
  </si>
  <si>
    <t>MAY 15,2026 7:30 AM</t>
  </si>
  <si>
    <t>BACONG COVERED COURT</t>
  </si>
  <si>
    <t>AN ORDINANCE INSTITUTIONALIZING THE ONE TOWN, ONE PRODUCT (OTOP) PROGRAM</t>
  </si>
  <si>
    <t>MAY 12,2026 11AM</t>
  </si>
  <si>
    <t>TERMINAL REPORT</t>
  </si>
  <si>
    <t>ROOTCROPS</t>
  </si>
  <si>
    <t>JANUARY TO DECEMBER 2026</t>
  </si>
  <si>
    <t>RESPOND TO THE REQUEST DATED MAY 5,2026 FOR DOCUMENTS PERTAINING TO THE ALLOTED BUDGET FOR YOUTH DEVELOPMENT PROGRAMS IN THE PROVINCE FOR THE LAST 5 YEARS</t>
  </si>
  <si>
    <t>HON. LLYOD ALSEN A. DELOS REYES -SKF PRESIDENT</t>
  </si>
  <si>
    <t>SUBMITTING THE ISSUANCE SLIP OF HVCDP 2026</t>
  </si>
  <si>
    <t>AURORA PROVINCIAL DRRM COUNCLSECOND QUARTER FULL COUNCIL MEETING CY 2026</t>
  </si>
  <si>
    <t>MAY 12,2026 1:30PM</t>
  </si>
  <si>
    <t>EOC 2ND FLOOR PDRRMO BUILDING</t>
  </si>
  <si>
    <t>AALYSA FAYE SORIANO</t>
  </si>
  <si>
    <t>MAY 12-13,2026</t>
  </si>
  <si>
    <t>2ND FLOOR MAYOR CONFERENCE HALL LGU MARIA</t>
  </si>
  <si>
    <t xml:space="preserve">TO BE A RESOURCE PERSON DURINGTHE CONDUCT OF EMPOWERING FARMERS THROUGH TILAPIA AND CATFISH </t>
  </si>
  <si>
    <t>MUNICIPALITY OF MARIA</t>
  </si>
  <si>
    <t>MAO MARIA WILL BE CONDUCTING2DAYS TRAING ENTITLED OF EMPOWERING FARMERS THROUGH TILAPIA AND CATFISH</t>
  </si>
  <si>
    <t>2ND FLOOR MAYORS CONFERENCE HALL MARIA AURORA</t>
  </si>
  <si>
    <t>REPAIR AND MAINTENACE OF TRAVIS</t>
  </si>
  <si>
    <t>REQUEST FOR PRE- REPAIR INSPECTION (ALFRED)</t>
  </si>
  <si>
    <t>MAY 13,2026</t>
  </si>
  <si>
    <t xml:space="preserve">ASSIST IN THE INSTALLATION OF NEW PHEROMONE TRAPS </t>
  </si>
  <si>
    <t>SUPPLY AND DELIVERY OF JETMATIC, PAINT AND OTHER SUPPLIES</t>
  </si>
  <si>
    <t>SUPPY AND DELIVERY OF REINFORCE FIBER GLASS BOAT MAKING</t>
  </si>
  <si>
    <t>RESCHEDULING OF AURORA PROVINCIAL DRRM COUNCIL 2ND QUARTER FULL COUNCIL MEETING CY 2006</t>
  </si>
  <si>
    <t>SUPERVISE MILLING OPERATION OF PINAWA RECE AND OTHERS AGRICULTURAL ACTIVITIES IN THE CENTER</t>
  </si>
  <si>
    <t>ARNOLD B.NOVICIO</t>
  </si>
  <si>
    <t>PAYMENT FOR CASH ADVANCE FOR THE VIRTUAL REGISTRATION FEE IN ATTENDING THE INTERNATIONAL MUSHROOM CONGRESS</t>
  </si>
  <si>
    <t>MAY 28-29,2026</t>
  </si>
  <si>
    <t>PAYMENT FOR CASH ADVANCE FOR ONSITE REGISTRATION FEE IN ATTENDING MUSHROOM CONGRESS AT AMCO BALER</t>
  </si>
  <si>
    <t>MAY 11,2026</t>
  </si>
  <si>
    <t>MOA- THE ESTEVES FARMERS ASSOCIATION @ ESTEVES CASIGURAN REPRESENTED BY. JAIME F. BAUTISTA</t>
  </si>
  <si>
    <t>2026-04-293</t>
  </si>
  <si>
    <t>GFFMC</t>
  </si>
  <si>
    <t>CONDUCTING OWNERSHIP SEMINAR FOR ITS MEMBER</t>
  </si>
  <si>
    <t>MAY 15,2026 9AM</t>
  </si>
  <si>
    <t>GFFMCPC HALL</t>
  </si>
  <si>
    <t>JUNE 8-10-11,2026</t>
  </si>
  <si>
    <t>BRGY. DIOME MARIA AURORA</t>
  </si>
  <si>
    <t>TO ATTEND PALAYAN SIKATAN 2.0;CONVERGENCE TECHNOLOGY DEMONTRATION OF CLUSTER INBRED RICE PRODUCTION</t>
  </si>
  <si>
    <t>SALARIES</t>
  </si>
  <si>
    <t>MAY1-30,2026</t>
  </si>
  <si>
    <t>MAY 21,2026</t>
  </si>
  <si>
    <t>2026-04-294</t>
  </si>
  <si>
    <t>PARTICIPATION IN THE MEDICAL MISSION AND FREE CHECK-UP OF UNILAB,INC.</t>
  </si>
  <si>
    <t>MAY 14,2026 8AM-3PM</t>
  </si>
  <si>
    <t>MAY 11, 2026</t>
  </si>
  <si>
    <t>MARIE FLOR S. CABANSAL</t>
  </si>
  <si>
    <t>MAY 12, 2026</t>
  </si>
  <si>
    <t>20 DIESEL</t>
  </si>
  <si>
    <t>MAY 12,2026</t>
  </si>
  <si>
    <t>BAYANIHAN MARIAA AURORA</t>
  </si>
  <si>
    <t>FARM VISITATION AND VERMI-BED PRODUCTION SITE</t>
  </si>
  <si>
    <t>MAY 15,2026</t>
  </si>
  <si>
    <t>MAY 15,2027</t>
  </si>
  <si>
    <t>TO CONDUCT ORIENTATION TO THE FARMERS AND FCAS</t>
  </si>
  <si>
    <t xml:space="preserve"> TO ATTEND ORIENTATION AND DEVELOPMENT OF SCALING PEST AND NUTRIENT MANAGEMENT INFORMATION AND MONITORING SYSTEM</t>
  </si>
  <si>
    <t>MAY 20,2026</t>
  </si>
  <si>
    <t>MAY 20,2027</t>
  </si>
  <si>
    <t>MAY 20,2028</t>
  </si>
  <si>
    <t>MAY 20,2029</t>
  </si>
  <si>
    <t>MAY 20,2030</t>
  </si>
  <si>
    <t>MAY 20,2031</t>
  </si>
  <si>
    <t>TO COORDINATE SOLAR POWER PROJECT AND LAMBACKLAD</t>
  </si>
  <si>
    <t>TO COORDINATE BEST GULAYAN SA BAYAN COMPETITION AND REGIONAL AWARDING TO RIC CARAGSACAN</t>
  </si>
  <si>
    <t>GAWAD SAKA NATIONAL TECHNICAL COMMITTEE VALIDATION TEAM WILL CONDUCT VALIDATION ON MAY 27-29,2026</t>
  </si>
  <si>
    <t>DA-RFO3 CODUCT ORIENTATION AND TRAINING ON THE BUSINESS MODEL CANVAS ON JUNE 4-5,2026</t>
  </si>
  <si>
    <t>2026-04-295</t>
  </si>
  <si>
    <t>2026-04-296</t>
  </si>
  <si>
    <t>2026-04-297</t>
  </si>
  <si>
    <t>2026-04-298</t>
  </si>
  <si>
    <t>2026-04-299</t>
  </si>
  <si>
    <t>05/13/2026</t>
  </si>
  <si>
    <t>SCHEDULE OF DISPOSAL ACTIVITIES</t>
  </si>
  <si>
    <t>CHANGE OF VENUE FOR THE REVIEW OF MUNICIPAL DRRM PLAN, AIP, AND 5% LDRMMFIP FOR 2027</t>
  </si>
  <si>
    <t>MAY 19,2026</t>
  </si>
  <si>
    <t>MAY 18,2026</t>
  </si>
  <si>
    <t>TO CONDUCT MEETING W/ MAO REGARDING IN GAWAD SAKA NATIONAL EVALUATION</t>
  </si>
  <si>
    <t>05/14/2026</t>
  </si>
  <si>
    <t>FERTILIZER AMPALAYA</t>
  </si>
  <si>
    <t>ORIENTATION AND BUSINESS MODEL CANVAS(BMC) TRAINING WORKSHOP IS ON JUNE 4-5,2026</t>
  </si>
  <si>
    <t>MAY 20,2032</t>
  </si>
  <si>
    <t>MAY 20,2033</t>
  </si>
  <si>
    <t>MAY 20,2034</t>
  </si>
  <si>
    <t>ANGELES</t>
  </si>
  <si>
    <t>TO ATTEND HVCDP STAKEHOLDERS MEETING</t>
  </si>
  <si>
    <t>MAY 27-30,2026</t>
  </si>
  <si>
    <t>WALTERMART SAN FERNANDO PAMPANGA</t>
  </si>
  <si>
    <t>KADIWA TRADE FAIR IN CELEBRATION OF FARMERS AND FISHER FOLKS MONTHS</t>
  </si>
  <si>
    <t>AMAGD THROUGH PROVINCIAL AGRIBUSINESS PROMOTION SECTION CONDUCT FACE TO FACE ORIENTATION</t>
  </si>
  <si>
    <t>2026-04-300</t>
  </si>
  <si>
    <t>2026-04-301</t>
  </si>
  <si>
    <t>2026-04-302</t>
  </si>
  <si>
    <t>2026-04-303</t>
  </si>
  <si>
    <t>2026-04-304</t>
  </si>
  <si>
    <t>05/18/2026</t>
  </si>
  <si>
    <t>PSC</t>
  </si>
  <si>
    <t>2ND QUARTER 2026 MEETING OF THE PSC</t>
  </si>
  <si>
    <t>MAY 25,2026</t>
  </si>
  <si>
    <t>REQUEST ASSISTANCE IN ENDORSING AND ENCOURIGING THE PARTICIPATION  IN THE INTERNATONAL MUSHROOM CONGRESS</t>
  </si>
  <si>
    <t>MANNHS</t>
  </si>
  <si>
    <t>TO ASSIST DA-BSWM CONDUCT VIDEO INTERVIEW</t>
  </si>
  <si>
    <t>DINALUNGAN,CASIGURAN DILASAG</t>
  </si>
  <si>
    <t>TO ASSIST AND FACILITATE THE PARTICIPATORY MONITORING AND TRACKING ACTIVITIES FOR DA PROJECTS</t>
  </si>
  <si>
    <t>MAY 20-21,2026</t>
  </si>
  <si>
    <t>SAN FERNQNDO PAMPANGA</t>
  </si>
  <si>
    <t xml:space="preserve">TO ATTEND EXIT CONFERENCE ON THE CONDUCTED PARTICIPATORY </t>
  </si>
  <si>
    <t>MAY 26,2026</t>
  </si>
  <si>
    <t>MAY 27-28,2026</t>
  </si>
  <si>
    <t>MAY 18,2027</t>
  </si>
  <si>
    <t>MAO SANLUIS BALER</t>
  </si>
  <si>
    <t>TO FACILITATE AND ASSIST THE CONDUCT OF PARTICIPATORY TRACKING AND MONITORING ACTIVITIES</t>
  </si>
  <si>
    <t>MAY 18-21,2026</t>
  </si>
  <si>
    <t>MAY 19-21,2026</t>
  </si>
  <si>
    <t>DIARABASIN</t>
  </si>
  <si>
    <t>FACILITATE THE CONSTRUCTION OF WORKING AREA/PRODUCTION ACTIVITY ON MUSHROOM PRODUCTION</t>
  </si>
  <si>
    <t>SUPERVISE/CODUCT ACTIVITIES ON MUSHROOM PRODUCTION PROJECT</t>
  </si>
  <si>
    <t>SIGNIFY INTEREST TO BE A BENIFICIARY OF IN ORGANIC FERTILIZER  THET WILL HELP RICE FARMERS INCREASE THEIR PRODUCT</t>
  </si>
  <si>
    <t>may 25,2026</t>
  </si>
  <si>
    <t>AVAILABLE OF GAD FUND AMOUNTING TO 953,844.00</t>
  </si>
  <si>
    <t>MS.ABIGAIEL PAULINO</t>
  </si>
  <si>
    <t>REFERS TO THE IMPLEMENTATION OF GSB PROJECT OF DA-RFO3 UNDER HVCDP ,IS UNDER TAKEN INFY 2027  BASED ON DISCUSSION OF HVCDO AND NPMO</t>
  </si>
  <si>
    <t>MAO DINGALAN</t>
  </si>
  <si>
    <t>2026-04-305</t>
  </si>
  <si>
    <t>2026-04-306</t>
  </si>
  <si>
    <t>2026-04-307</t>
  </si>
  <si>
    <t>2026-04-308</t>
  </si>
  <si>
    <t>2026-04-309</t>
  </si>
  <si>
    <t>2026-04-310</t>
  </si>
  <si>
    <t>2026-04-311</t>
  </si>
  <si>
    <t>AMAD THROUGH AGRIBUSSINESS PROMOTION SECTION WILL CONDUCT FACE TO FACE ORIENTATION FOR ALL 2026 YFC</t>
  </si>
  <si>
    <t xml:space="preserve"> JUNE 4-5,2026</t>
  </si>
  <si>
    <t>OPA AURORA</t>
  </si>
  <si>
    <t>DISCUSSED IN PROJECT TECHNICAL BRIEFING HELD IN BRGY ESTEVES CASIGURAN</t>
  </si>
  <si>
    <t>JUNE 8-12,2026</t>
  </si>
  <si>
    <t>ATI-RTC3  AS THE CAPACITY BUILDER KNOWLEDGE BANK AND CATALYS OF A HARMONIZED PHILL. AGRICULTURE AND FISHERIES WXTENSION SYSTEM  CUNDUCT TRAINING ON FARM BUSINESS SCHOOL(BASIC 1)</t>
  </si>
  <si>
    <t>JUNE 1-5,2026</t>
  </si>
  <si>
    <t>DA-PCAF</t>
  </si>
  <si>
    <r>
      <rPr>
        <sz val="12"/>
        <color theme="1"/>
        <rFont val="Times New Roman"/>
        <family val="1"/>
      </rPr>
      <t>PCAF</t>
    </r>
    <r>
      <rPr>
        <sz val="10"/>
        <color theme="1"/>
        <rFont val="Times New Roman"/>
        <family val="1"/>
      </rPr>
      <t xml:space="preserve">  </t>
    </r>
    <r>
      <rPr>
        <sz val="12"/>
        <color theme="1"/>
        <rFont val="Times New Roman"/>
        <family val="1"/>
      </rPr>
      <t>COLLABORATION WITH AFCS AURORA WILL CONDUCT JOINT PARTICIPATORY MONITORING AND TRACKING (PMT) ACTIVITY</t>
    </r>
  </si>
  <si>
    <t>JUNE 1-3,2026</t>
  </si>
  <si>
    <t>JUNE 4,2026</t>
  </si>
  <si>
    <t>05/19/2026</t>
  </si>
  <si>
    <t>MAY 21,2027</t>
  </si>
  <si>
    <t>MAY 21,2028</t>
  </si>
  <si>
    <t>MAY 21,2029</t>
  </si>
  <si>
    <t>2026-04-312</t>
  </si>
  <si>
    <t>2026-04-313</t>
  </si>
  <si>
    <t>TO HAND CARRY CERTIFICATE OF RECOGNITION FOR OUTSTANDING RURAL WOMEN</t>
  </si>
  <si>
    <t>MAO DILASAG</t>
  </si>
  <si>
    <t>LGU DILASAG CELEBRATING ITS 67TH FOUNDING ANNIVERSARY  CONDUCT ARAW NG MAGSASAKA AT MANGINGISDA</t>
  </si>
  <si>
    <t>GUIDELINES ON THE GRANT, RECORDING AND UTILIZATION OF COMPENSATORY TIME OFF(CTO) FOR AUTHORIZED OVERTIME SERVICES</t>
  </si>
  <si>
    <t>MAY 25 AND 27,2026</t>
  </si>
  <si>
    <t>TO ASSIST THE FACILITATION OF THE MAO STAKEHOLDERS MEETING</t>
  </si>
  <si>
    <t>05/20/2026</t>
  </si>
  <si>
    <t>LARAINE GINES JOSELLE SAGAMPOD</t>
  </si>
  <si>
    <t>SAN JUAN MARIA AURORA</t>
  </si>
  <si>
    <t>TO ASSISTDA-BSWM CONDUCT SITE VALIDATION TO SMALL SCALE COMPOSITING FACILITIES</t>
  </si>
  <si>
    <t>TO ATTEND MAOS MEETING/STAKEHOLDER MEETING</t>
  </si>
  <si>
    <t>QUEEN LESLY TIGOLO</t>
  </si>
  <si>
    <t>DOARABASIN DIPACULAO</t>
  </si>
  <si>
    <t>TO ASSIST GAWAD SAKA NOMINEE MR. SHERWIN BARAMEDA</t>
  </si>
  <si>
    <t>AARON XAVIER POSERIO</t>
  </si>
  <si>
    <t>MARCH-APRIL 2026</t>
  </si>
  <si>
    <t>05/21/2026</t>
  </si>
  <si>
    <t>MAY 26-30,2026</t>
  </si>
  <si>
    <t>TO DRIVE RP VEHICLE(KADIWA WELFARE)</t>
  </si>
  <si>
    <t>SUBMITTING THE SIGNED LIST WITH CSM BENEFICIARIES OF DINGALAN</t>
  </si>
  <si>
    <t>RESPECTFULLY REQUEST THE ISSUANCE OF A CERTIFICATE OF AVAILABILITY OF FUNDS( CAF) FOR THE FY 2026 FOR THE OPERATION AND MAINTENANCE OF AQUA FEED MILL</t>
  </si>
  <si>
    <t>2026-04-314</t>
  </si>
  <si>
    <t>2026-04-315</t>
  </si>
  <si>
    <t>2026-04-316</t>
  </si>
  <si>
    <t>2026-04-317</t>
  </si>
  <si>
    <t>2026-04-318</t>
  </si>
  <si>
    <t>2026-04-319</t>
  </si>
  <si>
    <t>2026-04-320</t>
  </si>
  <si>
    <t>2026-04-321</t>
  </si>
  <si>
    <t>2026-04-322</t>
  </si>
  <si>
    <t>2026-04-323</t>
  </si>
  <si>
    <t>2026-04-324</t>
  </si>
  <si>
    <t>2026-04-325</t>
  </si>
  <si>
    <t>2026-04-326</t>
  </si>
  <si>
    <t>2026-04-327</t>
  </si>
  <si>
    <t>2026-04-328</t>
  </si>
  <si>
    <t>2026-04-329</t>
  </si>
  <si>
    <t>2026-04-330</t>
  </si>
  <si>
    <t>MUNICIPAL ORDINANCE NO.162 SERIES OF 2026 OF CASIGURAN AURORA</t>
  </si>
  <si>
    <t>MAY 27,2026 2PM</t>
  </si>
  <si>
    <t>VICE GOVERNORS CONFERENCE ROOM</t>
  </si>
  <si>
    <t>MUNICIPAL ORDINANCE NO.162 SERIES OF 2026 OFDIPACULAO AURORA</t>
  </si>
  <si>
    <t>MAY 27,2026 3PM</t>
  </si>
  <si>
    <t>MUNICIPAL ORDINACE NO.289 SERIES 2026;AN ORDINANCE INSTITUTING A LOG ON/OF-OFF  WATER OF DINGALAN</t>
  </si>
  <si>
    <t>PROPOSED ORDINANCE NO. 02-015 AN ORDINANCE ESTABLISHING THE AURORA PALAY MARKETING SUPPORT PROGRAM</t>
  </si>
  <si>
    <t>MAY 27,2026 10:30AM</t>
  </si>
  <si>
    <t>MAY 27,2026 1PM</t>
  </si>
  <si>
    <t>SUBMITTING THE ATTACHED FISHERIES ACCOMPLISHMENT REPORT OF AURORA PROVINCE AND TILAPIA FINGERLINGS PRODUCTION OF THE PTH FOR THE MONTH OF MAY 2026</t>
  </si>
  <si>
    <t>GIGI</t>
  </si>
  <si>
    <t>SAMAHAN NG MAGTATANIM NG MANI AT MAIS NG SITIO DIGYAN BRGY UMIRAY PRESIDENT/ JOSE A. BUATES JR.</t>
  </si>
  <si>
    <t>COORDINATE LECTURE DEMO AND SCHEDULE</t>
  </si>
  <si>
    <t>TARLAC CITY</t>
  </si>
  <si>
    <t>PGA-OPAG CONDUCTING A LECTURE DEMO ON FOOD PROCESSING FOR BALER RIC ON MAY 28,2026</t>
  </si>
  <si>
    <t>TO ATTEND FARMERS AND FISHERFOLKS MONTH OF DA-RFO3, TO ASSIST THE FCA AND AWARDEES OF AGRICULTURAL MACHINERY EQUIPMENTS</t>
  </si>
  <si>
    <t>MOA- BRGY URA PRODUCER COOPERATIVE PRESIDENT/ RODELIO P</t>
  </si>
  <si>
    <t>MAY 29,2026</t>
  </si>
  <si>
    <t>TO ATTEND 51ST REGIONAL GAWAD SAKA AWARDING CEREMONY</t>
  </si>
  <si>
    <t>DOD- MANGITAHAN FARMERS IRRIGATORD RICE,CORN,CASSAVA ASSOCIATION INC.BRGY. MANGITAHAN DILASAG</t>
  </si>
  <si>
    <t>05/25/2026</t>
  </si>
  <si>
    <t>JUNE 10-11,2026</t>
  </si>
  <si>
    <t>MELINDA BISSARA</t>
  </si>
  <si>
    <t>BRGY. MALASIN MARIA AURORA</t>
  </si>
  <si>
    <t xml:space="preserve">ARAW NG MAGSASAKA </t>
  </si>
  <si>
    <t>MAY 25-28,2026</t>
  </si>
  <si>
    <t>MAY26-28,2026</t>
  </si>
  <si>
    <t>AFTEC AND APADTC</t>
  </si>
  <si>
    <t>MAY 28,2027</t>
  </si>
  <si>
    <t>MAY 28,2028</t>
  </si>
  <si>
    <t>MAY 28,2029</t>
  </si>
  <si>
    <t>BARRAMEDA CACAO FARM DIARABASIN</t>
  </si>
  <si>
    <t>TO ASSIST GAWAD SAKA NATIONAL VALIDATORS FOR SHORTLISTED NOMINEE</t>
  </si>
  <si>
    <t>MAY 26-28,2026</t>
  </si>
  <si>
    <t>MARIA AURORA AND DIPACULAO</t>
  </si>
  <si>
    <t>TO CONDUCT ORIENTATION AND IMPLEMENTATION OF LAWA AT BINHI THROUGH CASH FOR WORK/TRAINING PROJECT</t>
  </si>
  <si>
    <t>MARIA, DIPAC SABANG BALER</t>
  </si>
  <si>
    <t>TO HAND CARRY THE LETTER REGARDING LECTURE DEMO ON FOOD PROCESSING, TO PREPARE AND CONDUCT LECTURE DEMO</t>
  </si>
  <si>
    <t>TRAINING DORMITORY ROOMS</t>
  </si>
  <si>
    <t xml:space="preserve">AN EXECUTIVE ORDER DIRECTING THE OBSERVANCE OF WEDNESDAY MAY 27,2026 AS AAREGULAR HOLIDAY </t>
  </si>
  <si>
    <r>
      <t>STAKE</t>
    </r>
    <r>
      <rPr>
        <u/>
        <sz val="12"/>
        <color theme="1"/>
        <rFont val="Times New Roman"/>
        <family val="1"/>
      </rPr>
      <t>HOLDERSCONSULTATION ON THE PROPOSED AMENDMENTS TO THE REVISED WELFARE CODE FOR CHILDREN OF THE PROVINCE OF AURORA</t>
    </r>
  </si>
  <si>
    <t>MAY 28,2026 8:30AM</t>
  </si>
  <si>
    <t>BRGY HALL SUKLAYIN BALER</t>
  </si>
  <si>
    <t>TO FACILITATE TRAINING OF RICE CROP MANAGEMENT FOR SELECTED FARMERS OF BALER</t>
  </si>
  <si>
    <t>SUBMITTING THE ATTACHED DOCUMENTS OF LGU CASIGURAN FOR THEIR CONDUCTED FFS ON CORN PRODUCTION MANAGEMENT FOR THE PERIOD OF LAST JANUAARYTP MARCH 2026</t>
  </si>
  <si>
    <t>P</t>
  </si>
  <si>
    <t>PROVINCIAL ADMIN OFFICE</t>
  </si>
  <si>
    <t>ULAP ANG OCEANA WEBINAR</t>
  </si>
  <si>
    <t>JUNE 10,2026 VIA ZOOM</t>
  </si>
  <si>
    <t>JUNE 2,2026</t>
  </si>
  <si>
    <t>GSIS CABANATUAN</t>
  </si>
  <si>
    <t>TO PROCESS DOCUMENTS</t>
  </si>
  <si>
    <t>JUNE 10 AND 16,2026</t>
  </si>
  <si>
    <t>CERTIFICATION-OPAG REQUEST THESE DOCUMENTS BE CONSIDERED AND UTILIZED FOR THE CURRENT YEAR TO SUPPORT OPERATIOANL REQUIRMENTS</t>
  </si>
  <si>
    <t>/05/26/2026</t>
  </si>
  <si>
    <t>JUNE 10 AND 16, 2026</t>
  </si>
  <si>
    <t>05/26/2026</t>
  </si>
  <si>
    <t>JUNE 2-3,2026</t>
  </si>
  <si>
    <t>BRGY. SAN ILDEFONSO, CASIGURAN, AURORA</t>
  </si>
  <si>
    <t>TO ATTEND TRAINING WORKSHOP RE: EMPOWERING OF LOCAL LEADERS BY STRENGTHENING MUNICIPAL AGRICULTURAL AND FISHERIES COUNCIL TRAINING</t>
  </si>
  <si>
    <t>SUBMISSION OF LIST OF RECOMMENDED JOB ORDER PERSONNEL FOR THE 3RD QUARTER OF 2026 (JULY TO SEPTEMBER 2026)</t>
  </si>
  <si>
    <t>JUNE 4, 2026</t>
  </si>
  <si>
    <t>2026-04-331</t>
  </si>
  <si>
    <t>2026-04-332</t>
  </si>
  <si>
    <t>2026-04-333</t>
  </si>
  <si>
    <t>ASSESMENT OF THE RESOURCES AND CAPABILITIES OF THE LOCAL GOVERNMENT UNITS (LGUs) IN PROVIDING AGRICULTURE AND FISHERIES EXTENSION SERVICES</t>
  </si>
  <si>
    <t>APRIL 23, 2026</t>
  </si>
  <si>
    <t>SUBMIT IT TO PROVINCIAL HUMAN RESOURCE MANAGEMENT OFFICE</t>
  </si>
  <si>
    <t>GAD-GFRS</t>
  </si>
  <si>
    <t>GAD FOCAL POINT SYSTEM EXECUTIVE COMMITTEE MEETING</t>
  </si>
  <si>
    <t>JUNE 3, 2026</t>
  </si>
  <si>
    <t>SP GALLERY, PROVINCIAL CAPITOL, BRGY. SUKLAYIN, BALER, AURORA</t>
  </si>
  <si>
    <t>2026-04-334</t>
  </si>
  <si>
    <t>BALER NATIONAL HIGH SCHOOL</t>
  </si>
  <si>
    <t>BRIGADA ESKWELA</t>
  </si>
  <si>
    <t>2026-04-335</t>
  </si>
  <si>
    <t>PRJECT LAWA AT BINHI RISK RESILENCY PROGRAM (RRP) UNDER CLIMATE CHANGE ADAPTATION AND MITIGATION-DISASTER RISK REDUCTION (CCAM-DRR)THROUGH CASH-FOR-WORK/TRAINING (CFW/T) - ORIENTATION PROGRAM</t>
  </si>
  <si>
    <t>MAY 25-28,2026, JUNE 1-5, 2026, JUNE 8-10, 2026</t>
  </si>
  <si>
    <t>INCOMING LETTER 2026</t>
  </si>
  <si>
    <t>FIELD PRACTICUM + WAREHOUSE VISITATION FOR SEED TAGGING</t>
  </si>
  <si>
    <t>DIPACULAO AURORA, AND POINTS</t>
  </si>
  <si>
    <t>MAY 26, 2026</t>
  </si>
  <si>
    <t>JUNE 11-12, 2026</t>
  </si>
  <si>
    <t>SUPPLIER</t>
  </si>
  <si>
    <t>PO NO.</t>
  </si>
  <si>
    <t>SUPPLY AND DELIVERY OF OTHER FISHERY MATERIALS AND PARAPHERNALIA</t>
  </si>
  <si>
    <t>CLOCKWISE MARKETING ENTERPRISES COMPANY</t>
  </si>
  <si>
    <t>2026-03-0273</t>
  </si>
  <si>
    <t>SUPPLY AND DELIVERY OF OTHER SUPPLIES AND MATERIALS (ZIPLOCK)</t>
  </si>
  <si>
    <t>ACCOUNT CODE</t>
  </si>
  <si>
    <t>5-02-03-210</t>
  </si>
  <si>
    <t>OBR NO.</t>
  </si>
  <si>
    <t>(Y-200-4-26-03114128)</t>
  </si>
  <si>
    <t>05/28/2026</t>
  </si>
  <si>
    <t>2026-04-336</t>
  </si>
  <si>
    <t>2026-04-337</t>
  </si>
  <si>
    <t>INVITATION FOR THE CONDUCT OF STANDARD FIRST AID (SFA) FOR PDRRMC AND PGA EMPLOYEES</t>
  </si>
  <si>
    <t>JUNE 1-4, 2026</t>
  </si>
  <si>
    <t xml:space="preserve">AURORA PROVINCIAL DRRM COUNCIL SECOND QUARTER FULL COUNCIL MEETING CY 2026 </t>
  </si>
  <si>
    <t>JUNE 10, 2026 : 1:30PM</t>
  </si>
  <si>
    <t>ACTIVITIES</t>
  </si>
  <si>
    <t>NO. OF LITERS</t>
  </si>
  <si>
    <t>ROTOVATION OF RICE PRODUCTION AREA (DOUBLE PASSING), PREPARATION OF SEED BED</t>
  </si>
  <si>
    <t>30,10</t>
  </si>
  <si>
    <t>TOTAL NO. OF LITERS</t>
  </si>
  <si>
    <t>FOR USE IN LAND PREPARATION OF RICE PRODUCTION AREA AT APADTC, BRGYT. CALABUANAN, BALER, AURORA</t>
  </si>
  <si>
    <t>MAY 26, 2026, MAY 28, 2026</t>
  </si>
  <si>
    <t xml:space="preserve">1 DAY    </t>
  </si>
  <si>
    <t>JUNE 15-16,2026</t>
  </si>
  <si>
    <t>JUNE 10-16,2026</t>
  </si>
  <si>
    <t>JUNE 1,2026</t>
  </si>
  <si>
    <t xml:space="preserve">TO FACILITATE TRANSFER OF SOLAR POWER IRREGATION </t>
  </si>
  <si>
    <t>JUNE 1-4,2026</t>
  </si>
  <si>
    <t>2ND FLOOR PDRRMC</t>
  </si>
  <si>
    <t>TO ATTEND ON STANDARD FIRST AID AND BASIC LIFE SUPPORT TRAINING FOR PDRRMC AND PGA EMPLOYEES</t>
  </si>
  <si>
    <t>BRGY. DIBALO SAN LUIS AURORA</t>
  </si>
  <si>
    <t>TO ASSIST FARM LAYOUT AND DEVELOPMENT POTENTIAL FARM TOURISM SITE</t>
  </si>
  <si>
    <t>BRGY. BUHANGIN BALER AURORA</t>
  </si>
  <si>
    <t>TO ASSIST IN THE PREPARATION AND CONDUCT OF LECTURE DEMO</t>
  </si>
  <si>
    <t>ARNOLD B NOVICIO</t>
  </si>
  <si>
    <t>MEDICAL ALLOWANCE</t>
  </si>
  <si>
    <t>SEEDLINGS</t>
  </si>
  <si>
    <t>1TRAY</t>
  </si>
  <si>
    <t>ARNOLD NOVICIO ET.AL, MEDICAL ALLOWANCE</t>
  </si>
  <si>
    <t>NELITA ABORDO ET. AL, MEDICAL ALLOWANCE</t>
  </si>
  <si>
    <t>NESTOR ALCANTARA ET. AL., MEDICAL ALLOWANCE</t>
  </si>
  <si>
    <t>LEA ISUREÑA</t>
  </si>
  <si>
    <t>JUNE 2, 2026</t>
  </si>
  <si>
    <t>TO CONDUCT ORIENTATION ON SAGIP SAKA MODE OR PROCUREMENT AND FFEDIS ORIENTATION</t>
  </si>
  <si>
    <r>
      <t xml:space="preserve">REQUEST YOUR GOOD OFFICE THE PROVISION OF </t>
    </r>
    <r>
      <rPr>
        <b/>
        <sz val="12"/>
        <color theme="1"/>
        <rFont val="Times New Roman"/>
        <family val="1"/>
      </rPr>
      <t>LOWLAND VEGETABLE SEEDS AND OTHER AGRICULTURAL INPUTS</t>
    </r>
    <r>
      <rPr>
        <sz val="12"/>
        <color theme="1"/>
        <rFont val="Times New Roman"/>
        <family val="1"/>
      </rPr>
      <t xml:space="preserve"> TO BE DISTRIBUTED DURING THE FARMERS DAY CELEBRATIONS TO BE CONDUCTED THIS MONTH OF JUNE IN THE MUNICIPALITIES OF DILASAG, CASIGURAN, DINALUNGAN, AND DINGALAN, AURORA </t>
    </r>
  </si>
  <si>
    <t>MONTH OF JUNE</t>
  </si>
  <si>
    <t>MS. JOSELLE SAGAMPOD</t>
  </si>
  <si>
    <t>2026 GAWAD SAKA - HVCDP VALIDATION ITINERARY</t>
  </si>
  <si>
    <t>INTERNATIONMAL MUSHROOM CONGRESS AND ANATIONAL FORUM ON THE FUTURE OF MUSHROOMS</t>
  </si>
  <si>
    <t>MAY 28,29 2026</t>
  </si>
  <si>
    <t>JUNE 15,2026</t>
  </si>
  <si>
    <t>2026-04-338</t>
  </si>
  <si>
    <t>SUBMISSION OF LIST OF RECOMMENDED CASUAL PERSONNEL FOR THE2ND QUARTER OF 2026 (JULY TO SEPTEMBER 2026)</t>
  </si>
  <si>
    <t>JUNE 9,2026</t>
  </si>
  <si>
    <t>SHEKINAH GLORY NORTEZ</t>
  </si>
  <si>
    <t>JUNE 8,2026</t>
  </si>
  <si>
    <t>FTDP, APADTC</t>
  </si>
  <si>
    <t>ATTY. PAZ TORREGOSA</t>
  </si>
  <si>
    <t>DA-PHILRICE THROUGH THE RCEF-PMO FOMD INCOLLABORATION W/PGA-OPAG CONDUCTING FORMAL TRAINING ON BASIC SEED PRODUCTION</t>
  </si>
  <si>
    <t>NUTRITION CONVERGENCE PROJECT(SUPPORT POOREST FAMILIES-GULAYAN SA BARANGAY)</t>
  </si>
  <si>
    <t>TO ASSIST THE INSTALLATION AND ACTUAL DEMONSTRATIONOF SOLAR BUBBLE DRIER</t>
  </si>
  <si>
    <t>JUNE 4-5,2026</t>
  </si>
  <si>
    <t>CASIGURAN DINALUNGAN, DIPACULAO</t>
  </si>
  <si>
    <t>BRGY. DITALLEN MARIA AURORA</t>
  </si>
  <si>
    <t>TO CONDUCT LECTURE DEMO ON FOOD PROCESSING</t>
  </si>
  <si>
    <t>REYMAR MENDEZ ET.AL</t>
  </si>
  <si>
    <t>2026-04-339</t>
  </si>
  <si>
    <t>JUNE 8,2026 1OAM</t>
  </si>
  <si>
    <t>BIDS AND AWARD COMMITTEE OFFICE</t>
  </si>
  <si>
    <t>MAY 16-31,2026</t>
  </si>
  <si>
    <t>JUNE 8-10,2026</t>
  </si>
  <si>
    <t>CASH FOR WORK/ TRAINING AND ORIENTATION UNDER PROJECT LAWA AT BINHI</t>
  </si>
  <si>
    <t>MUNICIPALITY OF DINALUNGAN</t>
  </si>
  <si>
    <t>EXECUTIVE ORDER EMPHASIZING THE USE OF TRIP TICKETS AS AN INTERNAL CONTROL FOR AUTHORIZED TRAVEL</t>
  </si>
  <si>
    <t>REQUEST OF TILAPIA FINGERLINGS FOR 32 AQUA FARMERS IN DINALUNGAN</t>
  </si>
  <si>
    <t>PRESIDENTIAL ASSISTANCE FOR FARMERS AND FISHER FOLKS PROGRAM FROM DIPACULAO</t>
  </si>
  <si>
    <t>2026-04-340</t>
  </si>
  <si>
    <t>2026-04-341</t>
  </si>
  <si>
    <t>2026-04-342</t>
  </si>
  <si>
    <t>2026-04-343</t>
  </si>
  <si>
    <t>LETTER DATED MAY 5,2026 OF HONORABLE GOV. TRANSMITTING THE PDC RESOLUTION NOS. 12 TO 21 ALL SERIES OF 2026</t>
  </si>
  <si>
    <t>ENDORSING PROJECT PROPOSAL ENTITLED NUTRITION CONVERGENCE PROGRAM UNDER GAD 2027( 2MILLION)</t>
  </si>
  <si>
    <t>2026-04-344</t>
  </si>
  <si>
    <t>2026-04-345</t>
  </si>
  <si>
    <t>2026-04-346</t>
  </si>
  <si>
    <t>2026-04-347</t>
  </si>
  <si>
    <t>2026-04-348</t>
  </si>
  <si>
    <t>LETTER DATED JANUARY 13,2026 HON. ISIDRO GALBAN REQUESTING FOR THE PASSAGE OF RESOLUTION OF THE DOD CARAGSAKAN PALAYAMANAN FARMERS</t>
  </si>
  <si>
    <t>JUNE 4,2026 3PM</t>
  </si>
  <si>
    <t>LETTER DATED JANUARY 13,2026 HON. ISIDRO GALBAN REQUESTING FOR THE PASSAGE OF RESOLUTION OF THE DOD BETWEEN PGA AND BAGONG SIBOL FARMERS ASSOCIATION</t>
  </si>
  <si>
    <t>JUNE 4,2026  2:30PM</t>
  </si>
  <si>
    <t>LETTER DATED JANUARY 13,2026 HON. ISIDRO GALBAN REQUESTING FOR THE PASSAGE OF RESOLUTION OF THE DOD BETWEEN PGA AND INDIGENOUS PEOPLE ASSOCIATION</t>
  </si>
  <si>
    <t>JUNE 4,2026  2PM</t>
  </si>
  <si>
    <t>LETTER DATED JANUARY 13,2026 HON. ISIDRO GALBAN REQUESTING FOR THE PASSAGE OF RESOLUTION OF THE MOA  BETWEEN PGA AND DIAGYAN  INDIGENOUS PEOPLE ASSOCIATION</t>
  </si>
  <si>
    <t>JUNE 4,2026  1PM</t>
  </si>
  <si>
    <t>2026-04-349</t>
  </si>
  <si>
    <t>2026-04-350</t>
  </si>
  <si>
    <t>2026-04-351</t>
  </si>
  <si>
    <t>ESTABLISHMENT OF COMPREHENSIVE DISPOSAL MANAGEMENT SYSTEM</t>
  </si>
  <si>
    <t>LETTER DATED JANUARY 13,2026 HON. ISIDRO GALBAN REQUESTING FOR THE PASSAGE OF RESOLUTION OF THE MOA  BETWEEN PGA AND DIAGYAN  MULTI FARMERS  ASSOCIATION</t>
  </si>
  <si>
    <t>JUNE 4,2026  1:30PM</t>
  </si>
  <si>
    <t>JUNE 3,2026</t>
  </si>
  <si>
    <t>REPAIR OF FEEDMILL BUILDING</t>
  </si>
  <si>
    <t>MUNICIPALITY OF CASIGURAN</t>
  </si>
  <si>
    <t>MAO CELEBRATING 417TH FOUNDING ANNIV.  INVITE YOU AND AGRIBUSSINESS  TO ATTEND OF THIS ACTIVITY</t>
  </si>
  <si>
    <t>JUNE 12-13,2026</t>
  </si>
  <si>
    <t>AGRICULA COVERED COURT BRGY. MARIKIT CASIGURAN</t>
  </si>
  <si>
    <t>2026-04-352</t>
  </si>
  <si>
    <t>2026-04-353</t>
  </si>
  <si>
    <t xml:space="preserve">CONCERN ISSUED RAISED BY HON. SHERWIN AMATORIO OF MEMOOF AGREEMENT MOA AND DOD </t>
  </si>
  <si>
    <t>JUNE 3, 2026  1PM</t>
  </si>
  <si>
    <t>LETTER DATED MAY 5,2026GOV. TRANSMITTING THE PDC RESOLUTION NOS. 12 TO 21</t>
  </si>
  <si>
    <t>BRGY. SABANG BALER</t>
  </si>
  <si>
    <t>FACILITATE ONTRAINING ON FISH AND FISHERY PRODUCT UTILIZATION</t>
  </si>
  <si>
    <t>SUBMITTING THE DOCUMENTARY REQUIRMENTS UNDER CORN PROGRAM TO MOA DOD</t>
  </si>
  <si>
    <t>2026-04-354</t>
  </si>
  <si>
    <t>GSP PROMOTES FOOD SECURITY ,PROPER NUTRITION, HUMBLE REQUEST ASSITANCE IN THE PARTICIPATION INBRIGADA ESKWELA</t>
  </si>
  <si>
    <t>MADELINE SANTOS SCHOOL HEAD</t>
  </si>
  <si>
    <t>BRGY. DINADIAWAN DIPACULAO</t>
  </si>
  <si>
    <t>SUBMITTING THE PROJECT PROPOSAL ENTITLED NUTRITION CONVERGENCE PROGRAM UNDER GAD 2027( 2MILLION)AND 4K PROGRAM AMOUNTING 770,000.00</t>
  </si>
  <si>
    <t>TRANMITTAL;SUBMITTING THE ISSUANCE SLIP 85 BOTTLES LIQUID FERTILIZER</t>
  </si>
  <si>
    <t>TO ASSIST THE CONDUCT TRAINING ON BASIC SEED PROD. AND TO ASIST LAND PREPARATION</t>
  </si>
  <si>
    <t>MAY 1-15,2026</t>
  </si>
  <si>
    <t>2026-04-355</t>
  </si>
  <si>
    <t>2026-04-356</t>
  </si>
  <si>
    <t>2026-04-357</t>
  </si>
  <si>
    <t>2026-04-358</t>
  </si>
  <si>
    <t xml:space="preserve">FFEDIS OF THE DA AND THE STRENGHENED GUIDELINES ON NEGOTIATED PROCUREMENT UNDER SAGIP SAKA ACT, RERQUEST FOR THE CONDUCT OF ORIENTATION </t>
  </si>
  <si>
    <t>JUNE 11,2026</t>
  </si>
  <si>
    <t>MUNICIPAL HALL CASIGURAN</t>
  </si>
  <si>
    <t>JUNE 8-11,2026</t>
  </si>
  <si>
    <t>REGULAR MAIMTENANCE OF MUSHROOM PRODUCTION PROJECT ,TO INTERVIEW SABUTAN FARMERS</t>
  </si>
  <si>
    <t>JUNE 11-13,2026</t>
  </si>
  <si>
    <t>ORIENTATION OF FFEDIS AND SAGIP SAKA ACT</t>
  </si>
  <si>
    <t>FAFP FOR SY 2023-2024 WICH AIM TO PROVIDE FUEL ASSISTANCE AMOUNTING 3,000.00 TO ELIGIBLE FARMERTS IN THE PROVINCE</t>
  </si>
  <si>
    <t>JUNE 30,2026</t>
  </si>
  <si>
    <t>BRGY. MIJARES DIPACULAO</t>
  </si>
  <si>
    <t>MONITOR BANGUS GATHERING</t>
  </si>
  <si>
    <t>APIB</t>
  </si>
  <si>
    <t>APIB 1ST MEETING AND PRESENTATION OF THE SENTRO AURORA AND SYEMPRE AURORA PROJECT PROPOSAL</t>
  </si>
  <si>
    <t>JUNE 18,2026  9AM</t>
  </si>
  <si>
    <t>JUNE 10,2026</t>
  </si>
  <si>
    <t>BRGY HALL BACONG MARIA AURORA</t>
  </si>
  <si>
    <t xml:space="preserve">TO CONDUCT OF LECTURE DEMO AND FOOD PROCESSING </t>
  </si>
  <si>
    <t>TO ASSIST IN THE PREPARATION AND CONDUCT DEMO</t>
  </si>
  <si>
    <t xml:space="preserve">FFEDIS- REQUEST YOUR OFFICE TO PROVIDE CONVIENT DATE AND TIME FOR THE CONDUCT OF THE SAID ORIENTATION </t>
  </si>
  <si>
    <t>MAO MARIA- WILSON N. CANDELARIO</t>
  </si>
  <si>
    <t>ARNOLD B. NOVICIO ET. AL.</t>
  </si>
  <si>
    <t>JUNE 1-30,2026</t>
  </si>
  <si>
    <t>INVITATION CONDUCT OF INCIDENT COMMAND SYSTEM(ICS) POSITION COURSE TRAINING</t>
  </si>
  <si>
    <t>JUNE 15-19,2026</t>
  </si>
  <si>
    <t>EOC 2ND FLOOR PDRRMC</t>
  </si>
  <si>
    <t>2026-04-359</t>
  </si>
  <si>
    <t>2026-04-360</t>
  </si>
  <si>
    <t>2026-04-361</t>
  </si>
  <si>
    <t>2026-04-362</t>
  </si>
  <si>
    <t>COORDINATION MEETING ON JUNE 11,2026 IN PREPARATION FOR OBSERVANCE OF 38TH NATIONAL DISASTER RESILENCE MONTH(NDRM) 2026</t>
  </si>
  <si>
    <t>JUNE 11,2026  1:30PM</t>
  </si>
  <si>
    <t>AMAD WILL CONDUCT A CAPABILITY TRAINING IN LEADERSHIP ,ORGANIZATION AND ENTERPRISE DEVELOPMENT ON JUNE 16-17,2026</t>
  </si>
  <si>
    <t>JUNE 9-10,2026</t>
  </si>
  <si>
    <t>JUNE16-19,2026</t>
  </si>
  <si>
    <t>CENTRAL AURORA</t>
  </si>
  <si>
    <t>TO ATTEND/ASSIST IN THE PRESIDENTIAL ASSISTANCE FOR FARMERS AND FISHERIES PROGRAM PAFFP</t>
  </si>
  <si>
    <t>JUNE 17,2026</t>
  </si>
  <si>
    <t>MAOFFICE BRFGY. PUANGI</t>
  </si>
  <si>
    <t>JUNE 19,2026</t>
  </si>
  <si>
    <t>JUNE 16,2026</t>
  </si>
  <si>
    <t>JUNE 18,2026</t>
  </si>
  <si>
    <t>BRGY. 3 MARIA AURORA</t>
  </si>
  <si>
    <t>BRGY POBLACION SAN LUIS</t>
  </si>
  <si>
    <t>PRDP</t>
  </si>
  <si>
    <t>INVITE THE PPMIU AND OPAG TO ATTEND AND PARTICIPATE IN THE CONDUCT OF THE ACTIVITIES</t>
  </si>
  <si>
    <t>DA THROUGH HVCDP AND NUPAP CONDUCT ITS 2ND QUARTERLY MEETING ON JULY 1,2026 AT APADTC</t>
  </si>
  <si>
    <t>SEMINAR WORKSHOP ON THE PREPARATION OF 2027 PPMP</t>
  </si>
  <si>
    <t>JUNE 10-11,2026   7AM-6PM</t>
  </si>
  <si>
    <t>CONFERENCE HALL CAPITOL BLDG</t>
  </si>
  <si>
    <t>OPAG FORMULATING PROJECT PROPOSAL FOR SOLAR CATCHES TO BE INSTALLED IN APADTC WILL BE SUBMITTING THEIR APPROVAL AND FUNDING TO THE DOST</t>
  </si>
  <si>
    <t>MR. RICARDO G. BAUTISTA ,CPA- PGDH</t>
  </si>
  <si>
    <t>JUNE17,2026</t>
  </si>
  <si>
    <t>BRGY. MATAWE DINGALAN</t>
  </si>
  <si>
    <t>TO PROVIDE TECHNICAL ASSISTANCE AND FACILITATE THE LEARNING VISIT OF A FARM OWNER</t>
  </si>
  <si>
    <t>2026-04-363</t>
  </si>
  <si>
    <t>2026-04-364</t>
  </si>
  <si>
    <t>2026-04-365</t>
  </si>
  <si>
    <t xml:space="preserve">DA-PRDP-RPCO3 THROUGH IPLAN COMPONENT IS CONDUCTING CLIMATE RESILLIENT AGRO-INDUSTRY </t>
  </si>
  <si>
    <t>JUNE 25,2026</t>
  </si>
  <si>
    <t>SUBIC BAY VENEZIA HOTEL</t>
  </si>
  <si>
    <t>PROPOSAL FOR THE ESTABLISHMENT OF MODERNIZED RICE PROCESSING CENTER IN THE MUNICIPALITY OF SAN LUIS AURORA</t>
  </si>
  <si>
    <t>SUBMITTING THE ATTACHED LIST OF J.O PERSONNEL FOR THE 3RD QUARTER OF 2026(JULY 01-SEP.30,2026)</t>
  </si>
  <si>
    <t>DISTRIBUTION OF PRESIDENTIAL ASSITANCE FOR FARMERS AND FISHERFOLKS OF THE DARFO3 IN COORDINATION W/OPAG TO QUALIFIED RICE AND CORN FARMERS</t>
  </si>
  <si>
    <t>PCOL PERCIVAL PINEDA-ACTING PROVINCIAL DIRECTOR PF AURORA PROVINCIAL POLICE OFFICE</t>
  </si>
  <si>
    <t>ATTEND SEMINAR/WORKSHOP ON THE PREPARATION OF PPMP</t>
  </si>
  <si>
    <t>FC CONSUMERS ASSOCIATION</t>
  </si>
  <si>
    <t>2026-04-366</t>
  </si>
  <si>
    <t>2026-04-367</t>
  </si>
  <si>
    <t>2026-04-368</t>
  </si>
  <si>
    <t>2026-04-369</t>
  </si>
  <si>
    <t>2026-04-370</t>
  </si>
  <si>
    <t>2026-04-371</t>
  </si>
  <si>
    <t xml:space="preserve"> DA-PRDP-RPCO3 THROUGH IPLAN COMPONENT IS CURRENTLY CONDUCTING THE CLIMATE CHANGE </t>
  </si>
  <si>
    <t>CERTIFICATION OF NO CLAIMS OF TEV- LARAINE GINES,DARWIN BAUTISTA,ROMMEL PICART</t>
  </si>
  <si>
    <t>CORNPROGRAM OF THE OPAG IS PLEASED TO INVITE TO ITS 1ST SEMESTER PERFORMANCE REVIEW ON JULY 2,2026 AT APADTC</t>
  </si>
  <si>
    <t>SUBMITING THE DOCUMENTERY REQUIRMENTS UNDER CORN PROGRAM</t>
  </si>
  <si>
    <t>SUPPLY AND DELIVERY OF OIL AND LUBRICANTS</t>
  </si>
  <si>
    <t>DOST-PCAARRD</t>
  </si>
  <si>
    <t xml:space="preserve">INQUIRY ON AVAILABILITY FOR A COURTESY MEETING ON 18 JUNE 2026 </t>
  </si>
  <si>
    <t xml:space="preserve">JUNE 18,2026  </t>
  </si>
  <si>
    <t>FORWARDING THE DRAFT EXECUTIVE ORDER CREATING THE PROVINCIAL SCHOLARSHIP WORKING COMMITTEE FOR THE AURORA AGRI-FISHERIES</t>
  </si>
  <si>
    <t>ATTY. EUGENE L. DE JESUS- PROVINCIAL LEGAL OFFICER</t>
  </si>
  <si>
    <t>INVITATION TO THE ARAW NG AGRIKULTURA CELEBRATION AND REQUEST TO SERVE AS REGATA JUDGE</t>
  </si>
  <si>
    <t>JUNE 14,2026  5AM</t>
  </si>
  <si>
    <t>BRGY PALTIC ,DINGALAN AURORA</t>
  </si>
  <si>
    <t xml:space="preserve">JUNE 14,2026 </t>
  </si>
  <si>
    <t>BRGY. PALTIC, DINGALAN</t>
  </si>
  <si>
    <t>TO ATTEND AND SERVE AS ONE OF THE JUDGES OF REGATTA COMPETITION FOR 10TH ARAW NG AGRICULTURA</t>
  </si>
  <si>
    <t xml:space="preserve">TO ASSIST IN THE DISTRIBUTION OF FISHEFOLKS INTERVENTION </t>
  </si>
  <si>
    <t>2026-04-372</t>
  </si>
  <si>
    <t>2026-04-373</t>
  </si>
  <si>
    <t>2026-04-374</t>
  </si>
  <si>
    <t>2026-04-375</t>
  </si>
  <si>
    <t>2026-04-376</t>
  </si>
  <si>
    <t>ANGELINE LEORA</t>
  </si>
  <si>
    <t>LETTER OF RESIGNATION</t>
  </si>
  <si>
    <t>ATTEND  THE SDEC MEETING ON THE DISCUSSION OF THE WORK FINANCIAL PLAN 2026-2028</t>
  </si>
  <si>
    <t>JUNE 17,2026   1PM</t>
  </si>
  <si>
    <t>VIA ZOOM</t>
  </si>
  <si>
    <t>APTC</t>
  </si>
  <si>
    <t>SECOND QUARTER TOURISM COUNCIL MEETING</t>
  </si>
  <si>
    <t xml:space="preserve">JUNE 24,2026  2PM </t>
  </si>
  <si>
    <t>TO ASSIST SHRED SUBSTRATE VERMICOMPOST AND CLEANING THE AREA OF VERMI FACILITY AND COMPOSTING FACILITY AREA AND ORGANIC AREA</t>
  </si>
  <si>
    <t>PROVINCIAL WOMENS COUNCIL</t>
  </si>
  <si>
    <t>2ND QUARTER MEETING</t>
  </si>
  <si>
    <t>JUNE 11,2026  2PM</t>
  </si>
  <si>
    <t>6TRAY</t>
  </si>
  <si>
    <t>HOT PEPPER SEEDLINGS</t>
  </si>
  <si>
    <t>3TRAYS</t>
  </si>
  <si>
    <t>2TRAYS</t>
  </si>
  <si>
    <t>TOMATO SEEDLINGS</t>
  </si>
  <si>
    <t>PUNLA SA MADLA PROGRAM</t>
  </si>
  <si>
    <t>DEP-ED</t>
  </si>
  <si>
    <t>TO ASSIST ESTABLISHMENT OF URBAN GARDEN</t>
  </si>
  <si>
    <t>CDPMARKETING AND GENERAL MDSE</t>
  </si>
  <si>
    <t>PAYMENT FOR RICE</t>
  </si>
  <si>
    <t>IN COMPLIENCE TO EXECUTIVE ORDER NO. 079 SERIES OF 2026 RE; EMPHASIZING THE USED OF TRIP TICKET AS AN INTERNAL CONTROL FOR AUTHORIZED TRAVEL</t>
  </si>
  <si>
    <t>MR. RICARDO Q. BAUTISTA- PGS OFFICER</t>
  </si>
  <si>
    <t>PROVINCIAL CAPITOL</t>
  </si>
  <si>
    <t>TO ATTEND MEETING WOMEN COUNCIL</t>
  </si>
  <si>
    <t>SUBMITTED THE COST BENEFITS ANALYSIS (CBA) PROPOSED ACCEPTANCE</t>
  </si>
  <si>
    <t>REQUEST THE EXTENSION OF THE UTILIZATION PERIOD OF THE 5M PESOS TRUST FUND AWARDED TO PGA</t>
  </si>
  <si>
    <t>WILFREDO M.CRUZ- REGIONAL DIRECTOR</t>
  </si>
  <si>
    <t>REFERS TO THE LETTER OF INTENT OF THE MARIA AURORA FARMERS SCIENTIST ASSOCIATION (MAFSA)</t>
  </si>
  <si>
    <t>CORN SEED AND FERTILIZER SUBSIDIES FOR EXPANSION AREA</t>
  </si>
  <si>
    <t xml:space="preserve">ACCEPTANCE AND INSPECTION REPORT,40KLS HYBRID WAXY SWEET WHITE CORN </t>
  </si>
  <si>
    <t>ACCEPTANCE AND INSPECTION REPORT- SUPPLY AND DELIVERY OF AGRICULTURAL MARINE SUPPLKIES AND FISHERIES DEV. PROJECT</t>
  </si>
  <si>
    <t>06/15/2026</t>
  </si>
  <si>
    <t>2026-04-377</t>
  </si>
  <si>
    <t>2026-04-378</t>
  </si>
  <si>
    <t>2026-04-379</t>
  </si>
  <si>
    <t>2026-04-380</t>
  </si>
  <si>
    <t>LETTER DATED ON APRIL 21,2026 MOA MADECO</t>
  </si>
  <si>
    <t>JUNE 17,2026   4PM</t>
  </si>
  <si>
    <t>CONDUCT AGRIBUSINESS SUPPORT FOR PROMOTION AND INVESTMENT IN REGIONAL EXPOSITIONS(ASPIRE)</t>
  </si>
  <si>
    <t>JUNE 23-25,2026</t>
  </si>
  <si>
    <t>JUNE 15-18,2026</t>
  </si>
  <si>
    <t>PRDRRMO</t>
  </si>
  <si>
    <t>TO ATTEND COURESE LEVEL 3 ICS POSITION</t>
  </si>
  <si>
    <t>TO CONDUCT SUSTAINABILITY TRAINING PROGRAM AND ASSESMENT OF ACCOMPLISHMENT UNDER LAWA</t>
  </si>
  <si>
    <t>TO ASSIST IN THE PAFFP DISTRIBUTION</t>
  </si>
  <si>
    <t>JUNE 16-19,2026</t>
  </si>
  <si>
    <t>JUNE16-18,2026</t>
  </si>
  <si>
    <t>MARIA, DIPACULAO SANLUIS</t>
  </si>
  <si>
    <t>TO ATTEND THE DISTRIBUTION OF PAFFP</t>
  </si>
  <si>
    <t>DA-RFO3 MRIDP WILL BE CONDUCTING 7TH RICE DATA MANAGEMENT FORUM IN CENTRAL LUZON</t>
  </si>
  <si>
    <t>PGA-OPAG WILL CONDUCTING THE PROVINCIAL PITCHING OF THE TFC 2026 ON JULY 2,2026 @ WIDE</t>
  </si>
  <si>
    <t>MS. CARMENCITA S. NOGOY-DIVISION CHIEF OF AGRIBUSINESS</t>
  </si>
  <si>
    <t>AFC ELECTIONS, REQUEST TO CONDUCT OF THE MAFC OFFICERS ELECTION IN ALL MUNICIPALITY</t>
  </si>
  <si>
    <t>BALER</t>
  </si>
  <si>
    <t>TO ATTEND COCONUT CLIMATE RESILIENT AGRO-INDUSTRY ORIENTATION VCA</t>
  </si>
  <si>
    <t>BRGY. 3,MARIA AURORA</t>
  </si>
  <si>
    <t>JUNE 24-25,2026</t>
  </si>
  <si>
    <t>TO ATTEND THE 7TH RICE DATA MANAGEMENT FORUM</t>
  </si>
  <si>
    <t>JUNE 23-26,2026</t>
  </si>
  <si>
    <t>DICADI, DINGALAN</t>
  </si>
  <si>
    <t>TO ATTEND/ASSIST THEIN PAFFP DISTRIBUTION</t>
  </si>
  <si>
    <t>2ND- SIPAG AT TIYAGA FARMERS ASSOCIATION OF BRGY. BAGTU MARIA AURORA</t>
  </si>
  <si>
    <t>ARNOLD B. NOVICIO ET AL</t>
  </si>
  <si>
    <t>ARVIC LOU ADALID ET AL.</t>
  </si>
  <si>
    <t>MOA- IBONA CORN GROWERS FARMERS ASSOCIATION @BRGY. IBONA DINGALAN CHAIRPERSON JONIJIE SEDILLA</t>
  </si>
  <si>
    <t>JULY 1,2026</t>
  </si>
  <si>
    <t xml:space="preserve">1DAY </t>
  </si>
  <si>
    <t>JUNE 17-18,2026</t>
  </si>
  <si>
    <t>TO FACILITATE SEED BEDDING PREPARATION FOR TECHNO DEMO ,SUPERVISE OTHER AGRICULTURAL PROJECTS IN THE CENTER</t>
  </si>
  <si>
    <t>JUNE 16-18,2026</t>
  </si>
  <si>
    <t>06/16/2026</t>
  </si>
  <si>
    <t>JUNE 16-17,2026</t>
  </si>
  <si>
    <t>MONITORING ACTIVITIES IN RICE PRODUCTION AREA</t>
  </si>
  <si>
    <t>SUBMITTING COPIES OF PAYROLL AND SUPPORTING DOC FOR THE COMPENSATION OF J.O FROM JUNE 1-15,2026</t>
  </si>
  <si>
    <t>AARON</t>
  </si>
  <si>
    <t>PLEDIPO</t>
  </si>
  <si>
    <t>CHANGE VENUE FOR THE APIB 1ST QUARTERLY MEETING AND PRESENTATION OF THE SENTRO AURORA AND SYEMPRE AURORA</t>
  </si>
  <si>
    <t>TO ASSIST THE CONDUCT OF KADIWA STORE</t>
  </si>
  <si>
    <t>REQUEST OF IBUNA AGRICULTURAL PLANTERS ASSOCIATION FOR ESTABLISHMENT OF KADIWA STORE</t>
  </si>
  <si>
    <t>JUNE 1-15,2026</t>
  </si>
  <si>
    <t>ZD109:D117ARINA CORALES ET.AL.</t>
  </si>
  <si>
    <t>BRGY. DIAATAN AND CADAYACAN MARIA AURORA</t>
  </si>
  <si>
    <t>APADTC, CAPITOL ATC</t>
  </si>
  <si>
    <t>PROCESSING DOCUMENTS</t>
  </si>
  <si>
    <t>2026-04-381</t>
  </si>
  <si>
    <t>2026-04-382</t>
  </si>
  <si>
    <t>2026-04-383</t>
  </si>
  <si>
    <t>2026-04-384</t>
  </si>
  <si>
    <t>2026-04-385</t>
  </si>
  <si>
    <t>2026-04-386</t>
  </si>
  <si>
    <t>POLICY GUIDELINES AND PROCEDURES IN THE PREPARATION AND SUBMISSION OF ANNUAL GENERAL FUND BUDGET OF OFFICES/DEPARMENT FOR FISCAL YEAR 2027</t>
  </si>
  <si>
    <t>CONTINOUS EFFORT OF THE BIDS AND AWARDS COMMITTEE TO FAST TRACVK NOT TO HAMPER PROCUREMENT</t>
  </si>
  <si>
    <t>JUNE 17,2026  11AM</t>
  </si>
  <si>
    <t xml:space="preserve">CHARLES GUTIERREZ </t>
  </si>
  <si>
    <t>DIBUT SAN LUIS AURORA</t>
  </si>
  <si>
    <t>ASSIST IN MONITORING OF BANGUS IN CAGE PROJECT</t>
  </si>
  <si>
    <t>TECHNICALLY ASSIST FISH POND OWNER</t>
  </si>
  <si>
    <t>SUBMIT THE ATTACHED LETTER OF REGIONAL DIRECTOR ,WILFREDO M. CRUZ BFAR-RO3 ,APPROVING THE EXTENSION OF THE UTILIZATION OF FUNDS FOR THE AURORA FEEDMILL</t>
  </si>
  <si>
    <t>2026-04-387</t>
  </si>
  <si>
    <t>2026-04-388</t>
  </si>
  <si>
    <t>2026-04-389</t>
  </si>
  <si>
    <t>AURORA PROVINCIAL INVESTMENT BOARD</t>
  </si>
  <si>
    <t>JOINT CONSULTATIVE MEETING OF THE APIB</t>
  </si>
  <si>
    <t>JUNE 18,2026  8AM</t>
  </si>
  <si>
    <t>PREPAREDNESS MEASURES FOR RAINY SEASON</t>
  </si>
  <si>
    <t>CONDUCT OF CY 2026 SECOND QUARTER NATIONWIDE SIMULTANEOUS EARTHQUAKE DRILL(NSED)</t>
  </si>
  <si>
    <t>06/17/2026</t>
  </si>
  <si>
    <t>CASIGURAN AND DINALUNGAN</t>
  </si>
  <si>
    <t>TO CONDUCT SUSTAINABILITY TRAINING AND SIGNING OF PLEDGE OF COMMITMENTS UNDER PROJECT LAWA AND BINHI</t>
  </si>
  <si>
    <t>BRGY. DEBUCAO MARIA AURORA</t>
  </si>
  <si>
    <t>TO ATTEND/PARTICIPATE IN THE SWEET POTATO VARIETAL FIELD DAY CUM SWEET POTATO PRODUCTION TRAINING</t>
  </si>
  <si>
    <t>ENDORSE MS. JARICA PADILLA ADMIN AIDE IV AND DESIGNATED AS PROVINCIAL HVCDP REPORT OFFICER AND ROOT CROPS COORDINATOR TO THE FY 2026 HVCAA</t>
  </si>
  <si>
    <t>ENGR. AB. P. DAVID- REGIONAL  HVCDP COORDINATOR</t>
  </si>
  <si>
    <t xml:space="preserve">KABINSA FARMERS ASSOCIATION OF BRGY. DIBUT SAN LUIS </t>
  </si>
  <si>
    <t>LOWLAND VEGETABLES SEEDS(HVCDP)</t>
  </si>
  <si>
    <t>NESTOR ALCANTAR ET AL.</t>
  </si>
  <si>
    <t>SUBMITTING INSUANCE SLIP, AND CSM UNDER HVCDP(SAN LUIS)</t>
  </si>
  <si>
    <t>REVISE PAYROLL CUT-OFF</t>
  </si>
  <si>
    <t>2026-04-390</t>
  </si>
  <si>
    <t>2026-04-391</t>
  </si>
  <si>
    <t>2026-04-392</t>
  </si>
  <si>
    <t xml:space="preserve">2ND QUARTER MEETING AWQMC AND ITS TWG MEETING </t>
  </si>
  <si>
    <t>JUNE 23,2026   9AM</t>
  </si>
  <si>
    <t>2ND QUARTER PSWMS MEETING</t>
  </si>
  <si>
    <t>JUNE 23,2026  1:30PM</t>
  </si>
  <si>
    <t>06/18/2026</t>
  </si>
  <si>
    <t>PAFCMEETING ON JUNE 22,2026  9AM @AP[ADTC</t>
  </si>
  <si>
    <t>OFFICIAL VISIT OF SEC DA HO. FRANCISCO TIU LAUREL FOR YHE CELEBRATION OF PHIL-SPANISH DAY ON JUNE 30,2026</t>
  </si>
  <si>
    <t>PCOL CORNELIO D. ORDANZA</t>
  </si>
  <si>
    <t>2026-04-393</t>
  </si>
  <si>
    <t>2026-04-394</t>
  </si>
  <si>
    <t>2026-04-395</t>
  </si>
  <si>
    <t>STRICK PROHIBITION AGAINST ACTING AS FIXER ,INTERMIDIARIES, OR UN AUTHORIZED FACILITATORS IN THE TRANSACTION WITH THE PGA</t>
  </si>
  <si>
    <t>STANDARDIZED RULES ON START DATE , MANDATORY BREAK END DATESA,ELECTION PERIOD COMPLIENCE</t>
  </si>
  <si>
    <t>06/22/2026</t>
  </si>
  <si>
    <t>JUNE 22-24,2026</t>
  </si>
  <si>
    <t>TO FACILITATE THE PAFC MEETING, TO ATTEND MAFC BALER ELECTION</t>
  </si>
  <si>
    <t>REGULAR MAIMTENANCE OF MUSHROOM PRODUCTION PROJECT</t>
  </si>
  <si>
    <t>TO CONDUCT THE AGRIBUSINESS SUPPORT INVESTMENT IN REGIONAL EXPOSITION</t>
  </si>
  <si>
    <t xml:space="preserve">CONDUCT OF WEMBOREE;DISASTER  RESILIENCY YOUTH CAMP </t>
  </si>
  <si>
    <t>AUGUST 25-27,2026</t>
  </si>
  <si>
    <t>NDRM</t>
  </si>
  <si>
    <t>MAY 1-30,2026</t>
  </si>
  <si>
    <t>ROMULO GUERRERO</t>
  </si>
  <si>
    <t>06/23/2026</t>
  </si>
  <si>
    <t>JUNE 23,2026</t>
  </si>
  <si>
    <t>MONITORING AND ASSISTED ACTIVITIES AT PALAYAMANAN AREA</t>
  </si>
  <si>
    <t>JUNE 23-24,2026</t>
  </si>
  <si>
    <t>JUNE 25-26,2026</t>
  </si>
  <si>
    <t>AMCO BEACH RESORT SABANG</t>
  </si>
  <si>
    <t>ATTEND REGIONAL AND PROVINCIAL SWISA</t>
  </si>
  <si>
    <t>ATTEND WORKSHOP TRAINING FOR THE MAINSTEAMING OF AMIA SUPPORT TOOLS(DSTS)</t>
  </si>
  <si>
    <t>JUNE 29,2026</t>
  </si>
  <si>
    <t>JUNE 22,2026</t>
  </si>
  <si>
    <t>RSC CONSTRACTION SERVICE</t>
  </si>
  <si>
    <t>OBR(SUPPLT AND DELIVERY OF OTHER SUPPLIES)</t>
  </si>
  <si>
    <t>J. MENDOZA TRADE COMPANY OPC</t>
  </si>
  <si>
    <t>SUPPLY AND DELIVERY(MOOE)</t>
  </si>
  <si>
    <t>TRAVELLING EXPENSE</t>
  </si>
  <si>
    <t>JUNE 23,2026 3-6PM</t>
  </si>
  <si>
    <t>MIJARES BFAR</t>
  </si>
  <si>
    <t>TO SUBMMIT FISHERIES MONHTLY REPORT</t>
  </si>
  <si>
    <t>06/24/2026</t>
  </si>
  <si>
    <t>2026-04-396</t>
  </si>
  <si>
    <t>2026-04-397</t>
  </si>
  <si>
    <t>2026-04-398</t>
  </si>
  <si>
    <t>2026-04-399</t>
  </si>
  <si>
    <t>2026-04-400</t>
  </si>
  <si>
    <t>2026-04-401</t>
  </si>
  <si>
    <t>2026-04-402</t>
  </si>
  <si>
    <t>2026-04-403</t>
  </si>
  <si>
    <t>2026-04-404</t>
  </si>
  <si>
    <t>2026-04-405</t>
  </si>
  <si>
    <t>ORDINANCE INSTITUTIONALIZING THE CONDUCT OF AN ANNUAL MEDICAL-DENTAL MISSION OF PGA TO DEPED SCHOOL</t>
  </si>
  <si>
    <t>JUNE 24,2026   4PM</t>
  </si>
  <si>
    <t>JUNE 24,2026</t>
  </si>
  <si>
    <t>THE CORN PROGRAM OF THE PGA INVITE TO ITS 1ST SEMESTER PERFORMANCE REVIEW ON JULY 2-3,2026 8;30 AM @ APADTC</t>
  </si>
  <si>
    <t xml:space="preserve"> ALL MUNUCIPAL CORN COORDINATOR, MS. MELODY G. NOMBRE</t>
  </si>
  <si>
    <t xml:space="preserve">MAO- MARIA </t>
  </si>
  <si>
    <t>MAO MARIA CONDUCT A TRAINING PEST AND NUTRIENT MANAFEMENT FOR DRAGON FRUIT PRODUCTION</t>
  </si>
  <si>
    <t>BRGY. DIANAWAN MARIA AURORA</t>
  </si>
  <si>
    <t>FORMALLY INFORM REGARDING MEMO ORDER NO. 2026-05-318 SIGNED BY THE NATIONALPROJECT AND ASSISTANT SECRETARY FOR OPERATION</t>
  </si>
  <si>
    <t>06/24,2026</t>
  </si>
  <si>
    <t>JUNE 22-23,2026</t>
  </si>
  <si>
    <t>GFPS-TWG MEETING ON THE REVIEW AND DISTRIBUTION OF THE GAD FUND</t>
  </si>
  <si>
    <t>JUNE 29,2026  1:30PM</t>
  </si>
  <si>
    <t>DA-RFO3 THROUGH HVCDPAND NUPAP IN COLLABORATION W/TARLAC ROBERTS 'G' MOTORS WILL CONDUCTED 2025 WALKING TYPE AGRICULTURAL AND PUMP AND ENGINE SET OPERATION MAINTENANCE(O$M) TRAINING</t>
  </si>
  <si>
    <t>(JULY 1,2026)</t>
  </si>
  <si>
    <t>BRGY. DIARABASIN MARIA AURORA</t>
  </si>
  <si>
    <t>TO CONDUCT TRAINING ON PEST AND NUTRIENT MANAGEMENT FOR DRAGON FRUIT</t>
  </si>
  <si>
    <t>PROVINCIAL NUTRITION ACTION OFFICE</t>
  </si>
  <si>
    <t>TREE PLANTING KICK OFF ACTIVITY</t>
  </si>
  <si>
    <t>DIANAWAN MARIA AURORA</t>
  </si>
  <si>
    <t>52ND NUTRITION MONTH CELEBRATION</t>
  </si>
  <si>
    <t>JULY 16,2026</t>
  </si>
  <si>
    <t>06/29/2026</t>
  </si>
  <si>
    <t>TO ATTEND THE PROVINCIAL HVCDP/NUOAO 2ND QUARTERLY MEETING</t>
  </si>
  <si>
    <t>JULY 1,2027</t>
  </si>
  <si>
    <t>JULY 1,2028</t>
  </si>
  <si>
    <t>JULY 1,2029</t>
  </si>
  <si>
    <t>JULY 1,2030</t>
  </si>
  <si>
    <t>JULY 1,2031</t>
  </si>
  <si>
    <t>JULY 1,2032</t>
  </si>
  <si>
    <t>JULY 1,2033</t>
  </si>
  <si>
    <t>JULY 1,2034</t>
  </si>
  <si>
    <t>JULY 1,2035</t>
  </si>
  <si>
    <t>JULY 1,2036</t>
  </si>
  <si>
    <t>JUNE 29-JULY 2,2026</t>
  </si>
  <si>
    <t>TO ATTEND THE PROVINCIAL HVCDP/NUOAO 2ND QUARTERLY MEETING/REGULAR MAINTENANCE OF MUSHROOM GROWING HOUSE</t>
  </si>
  <si>
    <t>6/29/2026</t>
  </si>
  <si>
    <t>ANNAQUEEN CALIWAG</t>
  </si>
  <si>
    <t>JUNE 24-24,2026</t>
  </si>
  <si>
    <t xml:space="preserve">ATTEND MIDYEAR ASSESSMENT AND ACCOMPLISHMENT REVIEW </t>
  </si>
  <si>
    <t>JULY 8-10,2026</t>
  </si>
  <si>
    <t>SUBIC BAY ZAMBALES</t>
  </si>
  <si>
    <t>JULY 7,2026</t>
  </si>
  <si>
    <t xml:space="preserve"> TO CONDUCT OF LECTURE DEMO</t>
  </si>
  <si>
    <t>UPDATING OUR DATABASE IN FARMERS-RELATED INFORMATION, REQUEST THE LIST OF FARMERS ENROLLED BENEFICIARIES TO CROPS LIVESTOCK AND FISHERIES INSURANCE IN THE AURORA CY 2025</t>
  </si>
  <si>
    <t>MS. GERLIE R. GREGORIO- REGIONAL MANAGER -PCIC</t>
  </si>
  <si>
    <t>06/29,2026</t>
  </si>
  <si>
    <t>JULY 8,2026</t>
  </si>
  <si>
    <t>TO DRIVE RP VEHICLE;FARMERSATTENDED FY2025</t>
  </si>
  <si>
    <t>AURORA CACAO AGRICULTURE COOPERATIVE OF BRGY RESERVA</t>
  </si>
  <si>
    <t>FUND TRANSFER FOR NURSERY ESTABLISHMENT UNDER HVCDP</t>
  </si>
  <si>
    <t>EXPLORATORY MEETING WITH THE DIRECTOT WILFREDO M. CRUZ OF BFAR REGION 3 AND AN INTERESTED PRIVATE ENTITY TO DISCUSS A POTENTIAL PUBLIC-PRIVATE PARTNERSHIP FOR THE AURORA FEEDMILL</t>
  </si>
  <si>
    <t>MR. JOSEPH C. SONIEL-PLEIDPO</t>
  </si>
  <si>
    <t>DA-RFO3- OFFICE OF THE GOVERNOR</t>
  </si>
  <si>
    <t xml:space="preserve"> SAN ISIDRO ,STA. PAMPANGA</t>
  </si>
  <si>
    <t xml:space="preserve">DA-NOAP WILL CONDUCT WORKSHOP ON THE REGIONAL ORGANIC AGRICULTURE CENTER </t>
  </si>
  <si>
    <t xml:space="preserve">AMIA PROGRAM UNDER DA-FRO3 CONDUCT"MID YEAR ASSESSMENT AMD ACCOMPLISHMENT REVIEW OF AMIA VILLAGES WITH STOCKHOLDERS </t>
  </si>
  <si>
    <t>SUBIC ZAMBALES</t>
  </si>
  <si>
    <t>MAO BALER- OFFICE OF THE GOVERNOR</t>
  </si>
  <si>
    <t>OFW FAMILY CIRCLE CONSUMER REQUEST ASSISTANCE WITH FISH-UTILIZATION EQUIPMENT TO SUPPORT THEIR FISH PROCESSING AND LIVELIHOOD ACTIVITIES</t>
  </si>
  <si>
    <t>2026-04-406</t>
  </si>
  <si>
    <t>2026-04-407</t>
  </si>
  <si>
    <t>2026-04-408</t>
  </si>
  <si>
    <t>2026-04-409</t>
  </si>
  <si>
    <t>2026-04-410</t>
  </si>
  <si>
    <t>2026-04-411</t>
  </si>
  <si>
    <t>2026-04-412</t>
  </si>
  <si>
    <t>2026-04-413</t>
  </si>
  <si>
    <t>2026-04-414</t>
  </si>
  <si>
    <t>2026-04-415</t>
  </si>
  <si>
    <t>2026-04-416</t>
  </si>
  <si>
    <t>2026-04-417</t>
  </si>
  <si>
    <t>2026-04-418</t>
  </si>
  <si>
    <t>REGIONAL LAUNCHING OF THE MMK PROGRAM</t>
  </si>
  <si>
    <t>SUBMISSION OF SUPPLEMENTAL PROVINCIAL DEVELOPMENT PROJECT INVESTMENT PROGRAM AND ANNUAL INVESTMENT PROGRAM FOR CY 2027</t>
  </si>
  <si>
    <t xml:space="preserve">ALLYSA FAYE SORIANO </t>
  </si>
  <si>
    <t>JULY 1-3,2026</t>
  </si>
  <si>
    <t>MONITORING OF ACTIVITIES IN THE RICE PRODUCTION AREA</t>
  </si>
  <si>
    <t>MS. ARMIDA C. PALISPIS, PHD.,ENP-PPDO</t>
  </si>
  <si>
    <t>REQUESTING THE INCLUSION OF THE FF PROJECT IN THE SUPPLEMENTAL ANNUAL INVESTMENT PROGRAM(AIP) 2027/PROVINCIAL DEVELOPMENT PROGRAM(PDIP) FOR CY 2026-2027</t>
  </si>
  <si>
    <t>TO ATTEMD DA-NOAP WORKSHOP ON THE REGIONAL ORGANIC AGRICULTURE PROGRAM</t>
  </si>
  <si>
    <t>JULY 8-10,2027</t>
  </si>
  <si>
    <t>STA. ANNA PAMPANGA</t>
  </si>
  <si>
    <t>JOCELYN  CERON</t>
  </si>
  <si>
    <t>JULY 14-15,2026</t>
  </si>
  <si>
    <t>JULY 14-15,2027</t>
  </si>
  <si>
    <t>JULY 14-15,2028</t>
  </si>
  <si>
    <t>JULY 14-15,2029</t>
  </si>
  <si>
    <t>JULY 14-15,2030</t>
  </si>
  <si>
    <t>JULY 14-15,2031</t>
  </si>
  <si>
    <t>JULY 14-15,2032</t>
  </si>
  <si>
    <t>JULY 14-15,2033</t>
  </si>
  <si>
    <t>JULY 14-15,2034</t>
  </si>
  <si>
    <t>JULY 14-15,2035</t>
  </si>
  <si>
    <t>JULY 14-15,2036</t>
  </si>
  <si>
    <t>DINALUNGAN AURORA</t>
  </si>
  <si>
    <t>TO PROVIDE TECHNICAL ASSISTANCE AND FACILITATE THE CONSULTATION MEETING FOR DICADI -FFIPS INC</t>
  </si>
  <si>
    <t>CONDUCT OF MASS BLOOD DONATION AND RESCHEDULING OF WEMBOREE AS PART OF THE OBSERVANCE OF 38TH NDRM 2026</t>
  </si>
  <si>
    <t xml:space="preserve">JULY 6,2026 </t>
  </si>
  <si>
    <t>JULY 2,2026</t>
  </si>
  <si>
    <t>TO CONDUCT MUNICIPAL CORN AND CASSAVA COORDINATION 1ST SEMESTER PERFORMANCE REVIEW</t>
  </si>
  <si>
    <t>REQUEST FOR A CASH ADVANCE</t>
  </si>
  <si>
    <t>TO ATTEND DA-NOAP WORKSHOP ON THE REGIONAL ORGANIC AGRICULTURE CENTER</t>
  </si>
  <si>
    <t>REQUEST FOR A GROUP INTERVIEW WITH AURORA PLGU OFFICES</t>
  </si>
  <si>
    <t>JULY 1,2026   10AM</t>
  </si>
  <si>
    <t>PLGU OFFICE</t>
  </si>
  <si>
    <t>TO ATTEND THE PLANTING ACTIVITY OF RICE VARIETAL DEMO</t>
  </si>
  <si>
    <t xml:space="preserve">REQUEST TO ATTEND THE REGIONAL LAUNCHING OF THE MMK PROGRAM </t>
  </si>
  <si>
    <t xml:space="preserve">REFERS TO MEMO DATED JUNE 23,2025 SIGNED BY DIR ANNA LIZA F. BONAGUA, CESO 3 </t>
  </si>
  <si>
    <t>JULY 1-2,2026</t>
  </si>
  <si>
    <t>TO FACILITATE PLANTING ACTIVITY FOR RICE VARIETY</t>
  </si>
  <si>
    <t>2ND-MUNICIPAL AGRICULTURE OFFICE OF CASIGURAN</t>
  </si>
  <si>
    <t>TO ATTEND THE PLANTING ACTIVITY OF RICE VARIETAL DEMO AND 2ND SEMESTRAL MEETING OF CORN PROGRAM</t>
  </si>
  <si>
    <t>JUNE 16-30,2026</t>
  </si>
  <si>
    <t>JULY 3,2026</t>
  </si>
  <si>
    <t>JULY .3,2026</t>
  </si>
  <si>
    <t>BALER SAN LUIS</t>
  </si>
  <si>
    <t>TO ASSIST DA-RFO3 STAFF IN MONITORING FARM MACHINERIES BENIFICIARIES OF CORN PROGRAM</t>
  </si>
  <si>
    <t xml:space="preserve">ARVIC LOU ADALID ET. AL, </t>
  </si>
  <si>
    <t>TO ATTEND THE PLANTING ACTIVITY OF RICE VARIETY DEMO</t>
  </si>
  <si>
    <t>DA-BSWM THROUGH OPAG IS IMPLEMENTING THE SSCF AND CFBW IN COORDINATION OF DA-RFO3</t>
  </si>
  <si>
    <t>MAO MARIA, MAO BALER,MAO SAN LUIS</t>
  </si>
  <si>
    <t>DA-RFO3 OFFICE OF THE GOVERNOR</t>
  </si>
  <si>
    <t>AMAD IN PARTNERSHIP WITH THE ACPC WILL BE HOLDING KITA MO NA(KAPITAL AT IPON TUNGO SA ASENSO)</t>
  </si>
  <si>
    <t>AKAW RESORT BALER AURORA</t>
  </si>
  <si>
    <t>ORIENTATION ON SAGIP SAKA AND FARM AND FISHERIES ENTERPRISE DEVELOPMENT INFORMATION SYSTEM(FFEDIS)</t>
  </si>
  <si>
    <t>JULY 23,2026</t>
  </si>
  <si>
    <t>TECHNICAL BRIEFING ON INTEGRATED PEST MANAGEMENT AND BALANCE FERTILIZATION FOR CORN AND CASSAVA</t>
  </si>
  <si>
    <t>JULY 21,2026</t>
  </si>
  <si>
    <t>DILASAG AURORA</t>
  </si>
  <si>
    <t>ATI-RTC3 OFFICE OF THE GOVERNOR</t>
  </si>
  <si>
    <t>RIC PRESIDENT IS SCHEDULED TO CONDUCT AN OCULAR VISIT AND ASSESMENT OF THE RURAL IMPROVEMENT CLUB FEDERATION IN BALER AURORA</t>
  </si>
  <si>
    <t>JULY 23,2026  10AM</t>
  </si>
  <si>
    <t>TO DRUVE RP VEHICLE</t>
  </si>
  <si>
    <t>BSWM</t>
  </si>
  <si>
    <t>DA-BSWM THROUGH THE CPIT IS IMPLEMENTING THE SSCP IN COORDINATION WITH THE DA- RFO THIS INITATIEVE UNDER THE DA NAOP AND HVCDP FOR CY2026</t>
  </si>
  <si>
    <t>JULY 6-10,2026</t>
  </si>
  <si>
    <t>IMPLEMENTATION OF SOLAR POWER SYSTEM COMPOSTING FACILITY FOR BIODEGRADABLE WASTES OPERATIONALIZATION PROJECT UNDER THE COMPOST PRODUCTION INITIATIVE UNDER DA NRP AND NCP CY 2025</t>
  </si>
  <si>
    <t>SUPPLEMENTAL AND CLARIFICATORY GUIDELINES ON THE EFFICTITY DATE OF CASUAL APPOINMENTS, APPLICATIONS OF THE JULY 8,2026 COMMENCEMENT  DATE TO JO/COS</t>
  </si>
  <si>
    <t>COPY OF ORDINANCE NOS. 637,638,AND 639</t>
  </si>
  <si>
    <t xml:space="preserve">ARNOLD B NOVICIO ET. AL. </t>
  </si>
  <si>
    <t>TO COORDINATE REGIONAL STAFF THE INTERVENTION UNDER HVCDP AND PICK UP VEGETABLES SEEDS AND PLASTIC CRATES</t>
  </si>
  <si>
    <t>JULY 01, 2026</t>
  </si>
  <si>
    <t>JULY 8, 2026</t>
  </si>
  <si>
    <t>DIPACULAO, CENTRAL, SCHOOL</t>
  </si>
  <si>
    <t>TO ATTEND SERVE AS RESOURCE SPEAKER FOR GULAYAN SA PAARALAN PROGRAM (GPP) BRIEFING, ORIENTATION AND TRAINING</t>
  </si>
  <si>
    <t>GAD O CAB</t>
  </si>
  <si>
    <t>REQUEST FOR ADDITIONAL INFORMATION ON GAD- RELATED AANR PROGRAMS AND SEX-DISAGGREGATED DATA ON COFFEE AND CACAC</t>
  </si>
  <si>
    <t>2026-07-420</t>
  </si>
  <si>
    <t>PROPOSED ORDINANCE NO. 10-057: AN ORDINANCE REGULATING THE OPERATION OF FISHING VESSELS, ENSURING THE SAFETY AND WELFARE OF FISHERFOLK, AND PROVIDING AYUDA AND INSURANCE ASSISTANCE DURING LOW- PRESSURE AREAS (LPA) AND SIMILAR WEATHER DISTURBANCES IN THE PROVINCE OF AURORA, ANDFOR OTHER PURPOSES</t>
  </si>
  <si>
    <t>JULY 15, 2026</t>
  </si>
  <si>
    <t>PROVINCIAL CAPITOL, BALER, AURORA</t>
  </si>
  <si>
    <t>JULY 6-9,2026</t>
  </si>
  <si>
    <t xml:space="preserve"> APADTC CALABUANAN, BALER, AURORA</t>
  </si>
  <si>
    <t>JULY 20,2026</t>
  </si>
  <si>
    <t>JULY 6, 2026</t>
  </si>
  <si>
    <t>DA-PHILRICE IN COORDINATION WITH THE OPAG WILL CONDUCT PARTICIPATORY POLICY WRITING WORSHOP ON JULY 16,2026 IN BALER</t>
  </si>
  <si>
    <t>MR. GUY ALIPIO A. TUZON</t>
  </si>
  <si>
    <t>2026-07-421</t>
  </si>
  <si>
    <t>2026-07-422</t>
  </si>
  <si>
    <t>2026-07-423</t>
  </si>
  <si>
    <t>2026-07-424</t>
  </si>
  <si>
    <t>2026-07-425</t>
  </si>
  <si>
    <t>2026-07-426</t>
  </si>
  <si>
    <t>2026-07-427</t>
  </si>
  <si>
    <t>2026-07-428</t>
  </si>
  <si>
    <t>APECO</t>
  </si>
  <si>
    <t>REQUEST FOR AGRICULTURAL PROFILES, PROCESSING FACILITY LISTS, AND FORESTRY PRODUCTION DATA FOR INVESTOR DUE DILIGENCE</t>
  </si>
  <si>
    <t>SUBMITTING THE 2ND QUARTER ACCOMPLISHMENT REPORT VOUCHES OF LFTS</t>
  </si>
  <si>
    <t>ANNIE</t>
  </si>
  <si>
    <t>JULY 6,2026</t>
  </si>
  <si>
    <t>LGU-MAO MARIA</t>
  </si>
  <si>
    <t>JULY 9,2026</t>
  </si>
  <si>
    <t>PUNGLO MARIA AURORA</t>
  </si>
  <si>
    <t>TO MONITOR THE INTERVENTION GIVEN TO RIC PUNGLO UNDER PGA-OPAG FUND AND MONITOR THE AREA OF SWEET POTATO</t>
  </si>
  <si>
    <t xml:space="preserve"> TO ATTEND THE ELECTION OF MAFC MARIA</t>
  </si>
  <si>
    <t>PURSUANT TO EXECUTIVE ORDER NO. 06-014 SIGNED BY GOV GALBAN ON JUNE 23,2026 CREATING THE PROVINCIAL SCHOLARSHIP TWC</t>
  </si>
  <si>
    <t>DR, ANGELO R. SILVESTRE ,DVM</t>
  </si>
  <si>
    <t>SUBMITTING THE LBP FORM 2A OF GENDER AND DEVELOPMENT FOR 2027 OF THE OPAG FOR INFORMATION READY PERUSUAL</t>
  </si>
  <si>
    <t>MS. MARILOU Z. SINDAC-GFPS TWG- CHAIRPERSON</t>
  </si>
  <si>
    <t>IN COMPLIANCE WITH THE REQUIREMENTS OF YOUR OFFICE RELATIVE TO THE DEMOLITION OF DILAPIDATED BUILDINGS AND FACILITIES,RESPECTFULLY SUBMIT THE DOCUMENTS PERTAININMG TO THE AFTEC</t>
  </si>
  <si>
    <t xml:space="preserve">MS. RHIA A. SIGUA- AUDIT TEAM LEADER </t>
  </si>
  <si>
    <t>JULY 21-22,2026</t>
  </si>
  <si>
    <t xml:space="preserve">CONDUCT TECHNICAL BRIFING ON INTEGRATED PEST MANAGEMENT AND BALANCE FERTILIZATION FOR CORN AND CASSAVA </t>
  </si>
  <si>
    <t>PDRRMC MEETING FOR PRE-DISASTER RISK ASSESMENT (PDRA) -ENARIOBUILDING AND PREPARATION RE SUPER  TYHPOON WITH INTERNATIONAL NAME "BAVI'</t>
  </si>
  <si>
    <t>JULY 7,2026 9AM</t>
  </si>
  <si>
    <t>GOVERNOR CONFERENCE ROOM</t>
  </si>
  <si>
    <t>JULY 08,2026</t>
  </si>
  <si>
    <t>BACONG, SAN LUIS, AURORA</t>
  </si>
  <si>
    <t>TO ASSIST THE DA-RFO III TEAM WITH THE CONSOLIDATION AF PAFFP- RELATED DOCUMENTS</t>
  </si>
  <si>
    <t>PGA THROUGH OPAG WILL CONDUCT BREIFING/ORIENTATION AND DISTRIBUTION OF INTERVENTION ON NUTRITION CONVERGENCE UNDER GAD FUND</t>
  </si>
  <si>
    <t>MR. DANTE G. PARUNGAO,CESO V- SDS</t>
  </si>
  <si>
    <t>FORMATION STRENGTHENING OF WOMEN FISHERFOLKS/FARMERS, COOPERATIVE AND ASSOCIATION</t>
  </si>
  <si>
    <t>JULY 14-16,2026</t>
  </si>
  <si>
    <t xml:space="preserve">BALER AND DIPACULAO </t>
  </si>
  <si>
    <t>TO CONDUCT AWARDING OF VEGETABLES SEEDS AND AGRICULTURAL INPUTS FOR GULAYAN SA PAARALAN</t>
  </si>
  <si>
    <t>TO CONDUCT MONITORING OF AGRI-BASED PROJECTS UNDER 4H PROGRAM</t>
  </si>
  <si>
    <t>APPRECIATION AND NEXT STEPS FOLLOWING THE MEETING ON JUNE 18,2026</t>
  </si>
  <si>
    <t>JULY 8-9,2026</t>
  </si>
  <si>
    <t>BRGY. GUPA ANG LOBOT</t>
  </si>
  <si>
    <t>FIELD VISIT AND PROVISION OF TECHNICAL ASSISTANCE IN THE FARM</t>
  </si>
  <si>
    <t>REQUEST ISSUANCE OF A CERTIFICATION OF AVAILABILITY OF FUNDS FOR THE SUPPLY AND DELIVERY OF OFFICE SUPPLIES OF THE OPAG UNDER FRAME WORK AGREEMENT</t>
  </si>
  <si>
    <t>MS. WILLEEN B. BADE-OIC PROVINCIAL ACCOUNTANT</t>
  </si>
  <si>
    <t>REQUEST FOR THE CASH ADVANCE AMOUNTING TO 100,000.OO TO PURCHASE OF DIESEL AND GASOLINE</t>
  </si>
  <si>
    <t>HON. ISIDRO P. GALBAN- GOVERNOR</t>
  </si>
  <si>
    <t>MAY 1-31,2026</t>
  </si>
  <si>
    <t>TO SUBMIT REQUIREMENTS FOR GFAL-EL</t>
  </si>
  <si>
    <t>DA-RFO3 F2C2 PROGRAM WILL CONDUCT AN ORIENTATION ON THE SAGIP SAKA ACT AND FFEDIS REGISTRATION ON JULY 23,2026</t>
  </si>
  <si>
    <t>DA-BFAR MAIMPIS SAN FERNANDO PAMPANGA</t>
  </si>
  <si>
    <t>NUTRITION CONVERGENCE PROJECT</t>
  </si>
  <si>
    <t>GAD-GFPS</t>
  </si>
  <si>
    <t>SUBMISSIONOF PROJECT PROPOSAL FOR THE CY 2027 GAD PLAN AND BUDGET</t>
  </si>
  <si>
    <t>JULY 13,2026</t>
  </si>
  <si>
    <t>SAN LUIS AND MARIA AURORA</t>
  </si>
  <si>
    <t>TO ASSIST DA-BSWM CONDUCT SITE VALIDATION AND MONITORING OF CFBW AND SSCF PROJECTS</t>
  </si>
  <si>
    <t>DINALUNGAN AND DILASAG</t>
  </si>
  <si>
    <t>4K(KABUHAYAN KALUSUGAN KAALAMAN KAPALIGIRAN) PROGRAM</t>
  </si>
  <si>
    <t>WIDE</t>
  </si>
  <si>
    <t>PROVINCIAL ORDINANCE NO. 2026-05-036 "AN ORDINANCE ADOPTING AND LOCALIZING THE IMPLEMENTATION  KNOWN AS THE " PHIL. FOOD FORTIFICATION ACT 2000"</t>
  </si>
  <si>
    <t xml:space="preserve">JULY 13,2026 9AM </t>
  </si>
  <si>
    <t>SP CINFERENCE ROOM</t>
  </si>
  <si>
    <t>SUBMISSION OF 1ST SEMESTER CY 2026 GAD ACCOMPLISHMENT REPORT</t>
  </si>
  <si>
    <t>REQUEST FOR THE ISSUANCE OF A CERTIFICATE OF APPROPIATION OF FUNDS FOR THE PROCUREMENT OF GOODS INDICATED</t>
  </si>
  <si>
    <t>0708/2026</t>
  </si>
  <si>
    <t>ZORAIDA G. VELANO</t>
  </si>
  <si>
    <t>JULY 15-16,2026</t>
  </si>
  <si>
    <t>PANTABANGAN N.E.</t>
  </si>
  <si>
    <t>TO ATTEND 1ST SEMESTER REVIEW ON CORN PROGRAM IMPLEMEMTATION</t>
  </si>
  <si>
    <t>JULY 15,2026</t>
  </si>
  <si>
    <t>PROCUREMENT ACTIVITIES</t>
  </si>
  <si>
    <t>2026-07-429</t>
  </si>
  <si>
    <t>2026-07-430</t>
  </si>
  <si>
    <t>2026-07-431</t>
  </si>
  <si>
    <t>2026-07-432</t>
  </si>
  <si>
    <t>2026-07-433</t>
  </si>
  <si>
    <t>ORDINANCE NO. 28 S. OF 2026 OF MARIA AURORA TITLED" ANORDINANCE INSTITUTIONALIZING THE MARIA AURORA CHILDREN AND YOUTH IN AGRI EMPOWERMENT</t>
  </si>
  <si>
    <t>JULY 14,2026</t>
  </si>
  <si>
    <t>RENDER OF SERVICE AS DUTY PERSONNEL AT PROVINCIAL EMERGENCY OPERATIONS CENTER ICOW SUPER TYHPOON INTER NATIONAL NAME BAVI(INDAY)</t>
  </si>
  <si>
    <t>PBO</t>
  </si>
  <si>
    <t>AMENDED POLICY GUIDE LINES AND PROCEDURES IN THE PREPARATION AND SUBMISSION OF ANNUAL GENERAL FUND BUDGET/DEPARMENT FOR FISCAL YEAR 2027</t>
  </si>
  <si>
    <t>ENDORSING PROJECT PROPOSAL UNDER GENDER DEVELOPMENT (GAD) FOR 2027 OF THE OPAG</t>
  </si>
  <si>
    <t>APCO OFFICE, AURORA</t>
  </si>
  <si>
    <t>TO ASSIST DA-RFO3 TEAMWITH THE CONSOLIDATION OF PAFFP RELATED DOCUMENTS</t>
  </si>
  <si>
    <t>2ND COMMITTEE MEETING FOR SOYA</t>
  </si>
  <si>
    <t>JULY 15,2026   9AM</t>
  </si>
  <si>
    <t>JULY 1-15,2026</t>
  </si>
  <si>
    <t>IN CONNECTION WITH THE RECENTLY CONCLUDED ON TRAINING ON BASIC SEED PRODUCTION LAST JUNE 8-12,2026 AT APADTC, REQUEST TO FACILITATE THE INVITATION TO THE FARMER WHO ATTEND A MEETING ON JULY 17,2026 10AM</t>
  </si>
  <si>
    <t xml:space="preserve">JOEMAR MIANA </t>
  </si>
  <si>
    <t xml:space="preserve">ASCOT WILL HOST THE NATIONAL SCHOLARS CARAVAN AND CHED OFFICIALS VISIT(REGIONAL AND NATIONAL) </t>
  </si>
  <si>
    <t>JULY 16,2026  10AM</t>
  </si>
  <si>
    <t>ASCOT GYMNASIUM</t>
  </si>
  <si>
    <t>2026-07-434</t>
  </si>
  <si>
    <t>2026-07-435</t>
  </si>
  <si>
    <t>2026-07-436</t>
  </si>
  <si>
    <t>2026-07-437</t>
  </si>
  <si>
    <t>2026-07-438</t>
  </si>
  <si>
    <t>2026-07-439</t>
  </si>
  <si>
    <t>2026-07-440</t>
  </si>
  <si>
    <t>2026-07-441</t>
  </si>
  <si>
    <t>SUBMISSION OF 1ST SEMESTER ACCOMPLISHMENT REPORT</t>
  </si>
  <si>
    <t>SUBMISSION OF ACCOMPLISHED STRATEGIC PERFORMANCE (SPM) FORMS FOR THE PERIOD OF JULY 1 TO DEC. 31,2026</t>
  </si>
  <si>
    <t>07/13/2026</t>
  </si>
  <si>
    <t>MUNICIPALITY OF DIPACULAO, BRGY. SAPANG</t>
  </si>
  <si>
    <t>BRGY. SAPAMGKAWAYAN REQUEST FOR THE SEEDS(VEGETABLES SEEDS AND CORN SEEDS)</t>
  </si>
  <si>
    <t>REQUEST FOR THE USE OF VENUE FOR AURORA YOUTH LEADERSHIP SUMMIT(YLS) 2026</t>
  </si>
  <si>
    <t>AUGUST 7-10,2026</t>
  </si>
  <si>
    <t>OPAG IN COORDINATION WITH THE RCPC 3 CONDUCTING 1 DAY SPECIALIZED PEST MANAGEMENT SYSTEM(SPMS)</t>
  </si>
  <si>
    <t xml:space="preserve">ALL MAO </t>
  </si>
  <si>
    <t>PAFC WILL BE CONDUCTING THE ELECTION ELECTION OF OFFICERS ON JULY 16,2026 AT APADTC</t>
  </si>
  <si>
    <t>E.LEANOR MIANA</t>
  </si>
  <si>
    <t>FLORIDA ELEMENTARY SCHOOL/DIAAT ELEMENTERY SCHOOL</t>
  </si>
  <si>
    <t>TO DISTRIBUTE INTERVENTION UNDER NUTRION CONVERGENCE PROJECT-SUPPORT</t>
  </si>
  <si>
    <t>AKKAW RESORT BALER</t>
  </si>
  <si>
    <t>TO ATTEND AND ASSIST KITA MO NA(KAOITAL AT IPON TUNGO SA ASENSO)FINANCIAL TRAINING</t>
  </si>
  <si>
    <t>2ND ENDORDEMENT -PROVINCIAL VETENARY OFFICE FOR THE PROVISION OF CORN SEEDS</t>
  </si>
  <si>
    <t xml:space="preserve">CORN SEEDS </t>
  </si>
  <si>
    <t>OPAG REQUEST THE PROVISION OF HYBRIDWHITE CORN SEEDS TO SUPPORT IMPLEMENTATION OF OUR BACKYARD GARDENING</t>
  </si>
  <si>
    <t>SUBMITTING GAD 1ST SEMESTER ACCOMPLISHMENT REPORTFOR CY 2027</t>
  </si>
  <si>
    <t>MAO MARIA - BRGY, QUIRINO</t>
  </si>
  <si>
    <t>TO ASSIST ON THE INSTALLATION OF FAW TRAPS ON THE CORN AREA</t>
  </si>
  <si>
    <t>TO SUPERVISE FIELD PREPARATION FOR RICE SEEDING , TECHNO DEMO</t>
  </si>
  <si>
    <t>TP MONITOR ACTIVITITES AT PALAYAN PRODUCTION AREA</t>
  </si>
  <si>
    <t xml:space="preserve">INIFORM PROCEDURE IN THE PREPARATION, REVIEW AND ROUTING OF PROPOSED EXECUTIVE ORDERS(EO) </t>
  </si>
  <si>
    <t>ENDORSING PROJECT PROPOSAL ENTITLED SUPPORT PROJECT TO RURAL IMPROVEMENT CLUB(RIC)</t>
  </si>
  <si>
    <t>JULY 20-22,2026</t>
  </si>
  <si>
    <t>CONCERN/ISSUE AS RAISED BYA HON. SHERWIN G. AMATORIO ON MEMO</t>
  </si>
  <si>
    <t>ORDINANCE NO. 2026-19 OF DIPACULAO AURORA</t>
  </si>
  <si>
    <t>JULY 15,2026   1PM</t>
  </si>
  <si>
    <t>2026-07-442</t>
  </si>
  <si>
    <t>2026-07-443</t>
  </si>
  <si>
    <t>2026-07-444</t>
  </si>
  <si>
    <t>2026-07-445</t>
  </si>
  <si>
    <t>CLAFRREDN WILL BE CONDUCTING A NETWORK MEETING</t>
  </si>
  <si>
    <t>JULY 15,2026   8:30AM</t>
  </si>
  <si>
    <t>TARLAC CITY, TARLAC</t>
  </si>
  <si>
    <t>SHEKINHA GLORY B. NORTEZ</t>
  </si>
  <si>
    <t>JULY 16,2027</t>
  </si>
  <si>
    <t>TO ATTEND THE PARTICIPATORY POLICY WRITING WORKSHOP</t>
  </si>
  <si>
    <t>SUBMITTING THE ATTACHED DOCUMENTS FOR THE CONDUCT 1ST SEMETER  PROVINCIAL CORN AND CASSAVA</t>
  </si>
  <si>
    <t>TO ATTEND THE CHED NATIONAL SCHOLARS CARAVAN</t>
  </si>
  <si>
    <t>07/14/2026</t>
  </si>
  <si>
    <t>IN COLABORATION OF BPSU,IRRI IS IMPLEMENTING THE PROJECT TITLED "ADAPTATION OF INNOVATION PACKAGING AND SCALINS REDINESS(IPSR)</t>
  </si>
  <si>
    <t xml:space="preserve">JULY 28,2026 </t>
  </si>
  <si>
    <t>IRRI HEADQUARTERS IN LOS BANOS LAGUNA</t>
  </si>
  <si>
    <t xml:space="preserve">PYDO </t>
  </si>
  <si>
    <t>INVITATION FOR BUKAS NA KINABUKASAN(BNK) 2026; FINANCIAL ;ITERACY PROGRAM</t>
  </si>
  <si>
    <t>2026-07-446</t>
  </si>
  <si>
    <t>2026-07-447</t>
  </si>
  <si>
    <t>2026-07-448</t>
  </si>
  <si>
    <t>PPAN ACCOMPLISHMENT REP[ORT TEMPLATE FOR THE 1ST SEMESTER 2026, REQUEST TO ACCOMPLISH AND SUBMMIT THE FORM NOT LATE THAN JULY 20,2026</t>
  </si>
  <si>
    <t>TRAAINING WORKSHOP ON THE UPDATING OF THE COST STUCTURE OF SELECTED AGRICULTURAL COMMODOTIES</t>
  </si>
  <si>
    <t>JULY 21-23,2026</t>
  </si>
  <si>
    <t>DA-RFO 4</t>
  </si>
  <si>
    <t>ORIENTATION THE SAGIP SAKA PROGRAM FFEDIS F2C2</t>
  </si>
  <si>
    <t>07/16/2026</t>
  </si>
  <si>
    <t>2026-07-449</t>
  </si>
  <si>
    <t>2026-07-450</t>
  </si>
  <si>
    <t>2026-07-451</t>
  </si>
  <si>
    <t>2026-07-452</t>
  </si>
  <si>
    <t>2026-07-453</t>
  </si>
  <si>
    <t>2026-07-454</t>
  </si>
  <si>
    <t>ATI-RTC 3</t>
  </si>
  <si>
    <t>CONDUCT TRAINING WORKSHOP IN BUSINESS/ENTERPRISE PROPOSAL PREPARATION</t>
  </si>
  <si>
    <t>JULY 20-23,2026</t>
  </si>
  <si>
    <t>PALAYAN CITY N.E</t>
  </si>
  <si>
    <t>0716/2026</t>
  </si>
  <si>
    <t>BRGY. SAN JUAQUIN ,MARIA AURORA</t>
  </si>
  <si>
    <t>TO PARTICIPATE AND FACILITATE IN THE CFDIP MEETING AND ORIENTATION ON DOCS REQUIREMENTS AND LIQUIDATION</t>
  </si>
  <si>
    <t>BUNTIS CONGRESS AND BREASFEEDING SUMMIT PLANNING MEETING</t>
  </si>
  <si>
    <t>SUBMISSION OF THE DUKY SIGNED 2027 INDICATIVE PPMP</t>
  </si>
  <si>
    <t>CANCELLED</t>
  </si>
  <si>
    <t xml:space="preserve"> A1:L17  </t>
  </si>
  <si>
    <t>CONDUCTING A MEETING ON RIC ON JULY 23,2026 @ APADTC</t>
  </si>
  <si>
    <t>SUBMITTING THE 2ND QUARTER ACCOMPLISHMENT REPORTS OF LFTS</t>
  </si>
  <si>
    <t>2026-07-455</t>
  </si>
  <si>
    <t>2026-07-456</t>
  </si>
  <si>
    <t>2026-07-457</t>
  </si>
  <si>
    <t>ORDINANCE NO.04-027- OTOP</t>
  </si>
  <si>
    <t>JULY 22,2026</t>
  </si>
  <si>
    <t>SP SESSION</t>
  </si>
  <si>
    <t>SUBMISSION OF PROJECT PROPOSAL FOR THE CY 2027 PCPC</t>
  </si>
  <si>
    <t>PARTICIPATE IN LOCAL GOVERNMENT PARTNER DURING THE NORTH LUZON CLUSTER IMMERSION AND BENCHMARKING</t>
  </si>
  <si>
    <t>JULY 20-21,2026</t>
  </si>
  <si>
    <t>BULACAN STATE UNIVERSITY</t>
  </si>
  <si>
    <t>ORDINANCE NO.04-027, INSTITUTIONALAZING OTAP</t>
  </si>
  <si>
    <t>JULY 22,2026   1AM</t>
  </si>
  <si>
    <t>BMB CMD IN COORDINATION WITH THE PRICELESS PMU,INVITE TO PRICELESS PROJECTREGIONAL COURTESY CALL AND PRELIMINARY MEETING FOR REGION 3</t>
  </si>
  <si>
    <t>JULY 27 TO 29,2026</t>
  </si>
  <si>
    <t>2026-07-458</t>
  </si>
  <si>
    <t>2026-07-459</t>
  </si>
  <si>
    <t>2026-07-460</t>
  </si>
  <si>
    <t>2026-07-461</t>
  </si>
  <si>
    <t>2026-07-462</t>
  </si>
  <si>
    <t>2026-07-463</t>
  </si>
  <si>
    <t>2026-07-464</t>
  </si>
  <si>
    <t>2026-07-465</t>
  </si>
  <si>
    <t>2026-07-466</t>
  </si>
  <si>
    <t>2026-07-467</t>
  </si>
  <si>
    <t>2026-07-468</t>
  </si>
  <si>
    <t>2026-07-469</t>
  </si>
  <si>
    <t>07/20/2026</t>
  </si>
  <si>
    <t>APGEA</t>
  </si>
  <si>
    <t>ALL OFFICE ADMIN, REPRESENTATIVE</t>
  </si>
  <si>
    <t>JULY 21,2026  2PM</t>
  </si>
  <si>
    <t>TRAINING HALL, CAPITOL COMPOUND</t>
  </si>
  <si>
    <t>07/202/2026</t>
  </si>
  <si>
    <t>BUHANGIN RICE FARMERS ASSOCIATION @ BRGY. BUHANGIN BALER, AURORA</t>
  </si>
  <si>
    <t>AS BENIFICIARIES OF THE RICE COMPETITIVENESS ENHANCEMENT FUND(RCEF)</t>
  </si>
  <si>
    <t>PALTIC ,DINGALAN, AURORA</t>
  </si>
  <si>
    <t>TO CONDUCT ORIENTATION/BRIEFING AND DISTRIBUTION OF INTERVENTION(RICE AND GARDEN TOOLS)TO THE RECIPIENTS NUTRITION CONVERGENCE PROJECT</t>
  </si>
  <si>
    <t>TPO FACILITATE APADTC STAFF MEETING- SUPERVISE FUTURE RICE PROJECT</t>
  </si>
  <si>
    <t>REAL ELEMENTARY SCHOOL/ CALABUNAN ELEM</t>
  </si>
  <si>
    <t>DIPACULAO ELEMENTARY SCHOOL</t>
  </si>
  <si>
    <t>REFERS TO THE SUBMISSION OF THE SIGNED CDPS AND CLUSTER PROFILES F2C2 UNDER DA-RFO3</t>
  </si>
  <si>
    <t>JULY 13, 2026</t>
  </si>
  <si>
    <t>JULY 16, 2026</t>
  </si>
  <si>
    <t>JULY 13-16, 2026</t>
  </si>
  <si>
    <t xml:space="preserve">           JULY 20, 2026</t>
  </si>
  <si>
    <t>APADTC, CALABUANAN,BALER,AURORA</t>
  </si>
  <si>
    <t>TO ATTEND MEETING OF PROGRAM COORDINATORS MONITORING OF ACTIVITIES IN RICE PRODUCTION AREA</t>
  </si>
  <si>
    <t>JULY 22-23, 2026</t>
  </si>
  <si>
    <t>BRGY. COZO, CASIGURAN,AURORA</t>
  </si>
  <si>
    <t>TO FACILITATE AND SERVE AS RESOURCE SPEAKER IN THE SPECIALIZED PEST MANAGEMENT SYSTEM TRAINING FOR RICE FARMERS</t>
  </si>
  <si>
    <t>DESIGNATION AS MEMBER OF THE PROVINCIAL ORGANIZING COMMITTEE FOR EVENTS MANAGEMENT</t>
  </si>
  <si>
    <t>JULY 20, 2026</t>
  </si>
  <si>
    <t>APADTC, BRGY. CALABUANAN, BALER, AURORA</t>
  </si>
  <si>
    <t>TO ATTEND PROGRAM COORDINATOR AND APADTC STAFF MEETING: TECHNICAL ASSISTANCE THE IMPROVEMENT OF FLOORING FOR THE MUSHROOM PRODUCTION FACILITY</t>
  </si>
  <si>
    <t>JULY 20-21, 2026</t>
  </si>
  <si>
    <t>JULY 21-23, 2026</t>
  </si>
  <si>
    <t>CASIGURAN,DINALUNGAN, DIPACULAO</t>
  </si>
  <si>
    <t xml:space="preserve">TO PICK UP 20PESOS RIVE FROM NFA </t>
  </si>
  <si>
    <t>OFFICE OF THE GOVERNOR/da-rfo3</t>
  </si>
  <si>
    <t>AMIA PROGRAM CONDUCT TRAINING ON CLIMATE RISK VULNERABILITY ASSASSMENT</t>
  </si>
  <si>
    <t>BAYS IN BALER</t>
  </si>
  <si>
    <t>TO ATTEND MULTI-STAKEHOLDERS CONSULTATION AND PLANNING WORK SHOP OF A MARINE PROTECTED AREA NETWORK IN AURORA</t>
  </si>
  <si>
    <t>SUPERVISE OF PROJECT</t>
  </si>
  <si>
    <t>REQUEST FROM THE OFFICE THE FARM GATE PRICE OF REGULAR MILLED AND WELL MILLED RICE OF AURORA</t>
  </si>
  <si>
    <t>MR. ALDRIN VENERACION - DTI, MR. CHRISTIAN RAMOS-DEPUTY REGIONAL RICE PROGRAM</t>
  </si>
  <si>
    <t>07/21/2026</t>
  </si>
  <si>
    <t>APADTC AND AFTEC</t>
  </si>
  <si>
    <t>TO ASSIST IN THE VALIDATION OF AGRICULTURAL MACHINIRIES UNDER 2026 HVCDP</t>
  </si>
  <si>
    <t>ENDORSING NALAGDA MPC,REPRESENTED BY THEIR CHAIRPERSON MR. APOLINARIO S. BALANAN</t>
  </si>
  <si>
    <t>DIR. EDUARDO L. LAPUZ , JR. DVM</t>
  </si>
  <si>
    <t>PGA COMMITMENT TO MODERNIZATION AND DIGITAL TRANSFORMATION ,OPAG PABED ARE TRANSITIONING TOWARD A DATA -DRIVEN</t>
  </si>
  <si>
    <t>DA-RFO3 THROUGH HVCDP CONDUCT MEETING CONCERNING THE OUTCOMES FROM THE CENTRAL LUZON FARMERS AND AGRI-BASED MSME</t>
  </si>
  <si>
    <t>JULY 28,2026</t>
  </si>
  <si>
    <t>TO ATTEND/PARTCIPATEIN MEETING CONCERNING THE OUTCOMES AND IDENTIFIED OPPORTUNITIES FROM CENTRAL LUZON</t>
  </si>
  <si>
    <t>SUPPLY AND DELIVERY OF TOKEN(SABUTAN BAG, SOMBRERO ETC.)</t>
  </si>
  <si>
    <t>TO BE USED CAPABILITY BUILDING AND INSTITUTIONAL STRENGTHENING ACT. AUGUST 27-28,2026</t>
  </si>
  <si>
    <t>TRAINING EXPENSES( SUPPLY DELIVERY OF CATERING SERVICES)</t>
  </si>
  <si>
    <t>TO BE USED CAPABILITY BUILDING AND INSTITUTIONAL STRENGTHENING ACT. AUGUST 27-28,2027</t>
  </si>
  <si>
    <t>JULY 6-7,2026</t>
  </si>
  <si>
    <t>REQUEST THE SCHEDULING OF THE PAYOUT OF FINANCIAL ASSISTANCE TO THE IPS WHO AFFECTED BY THE TYHPOON PEPITO ON AUGUSR 2024</t>
  </si>
  <si>
    <t>GOV. ISIDRO P. GALBAN</t>
  </si>
  <si>
    <t>TECHNO KLINIK BATCH 9</t>
  </si>
  <si>
    <t>JULY 30,2026</t>
  </si>
  <si>
    <t>PENARANDA FARM BALER, AURORA</t>
  </si>
  <si>
    <t>TRAINING COURSE ON FRESH WATER AQUACULTURE ON AUGUST 3-7,2026</t>
  </si>
  <si>
    <t>MR. REGELIO G. BUCASA-MAO DINALUNGAN</t>
  </si>
  <si>
    <t>MEETING WITH RIC PRESIDENT ON JULY 23,2026  1PM @ APADTC</t>
  </si>
  <si>
    <t>TO CONDUCT MEETING WITH REGIONAL RIC PRESIDENT</t>
  </si>
  <si>
    <t>07/22/2026</t>
  </si>
  <si>
    <t>apadtc, aurora is currently conducting a training on the operation and maintenace of rice machineries., request the assistance in providing a water supply through your fire truck</t>
  </si>
  <si>
    <t>finsp edgar dc. Garin- acting MUNICIPAL  FIRE MARSHAL</t>
  </si>
  <si>
    <t>2026-07-470</t>
  </si>
  <si>
    <t>2026-07-471</t>
  </si>
  <si>
    <t>2026-07-472</t>
  </si>
  <si>
    <t>2026-07-473</t>
  </si>
  <si>
    <t>2026-07-474</t>
  </si>
  <si>
    <t>2026-07-475</t>
  </si>
  <si>
    <t>2026-07-476</t>
  </si>
  <si>
    <t>2026-07-477</t>
  </si>
  <si>
    <t>OFFICE OF THE PROVINCIAL ACCOUNTANT</t>
  </si>
  <si>
    <t>REPORT OF DISBURSMENT FOR THE PROJECT " FUND TRANSFER FOR THE OPERATIONAL COST FOR THE ESTABLISHMENT OF THE FEED MILL PLANT IN BALER"</t>
  </si>
  <si>
    <t>JULY 28-29,2026</t>
  </si>
  <si>
    <t>DIPACULAO, DINALUNGAN, CASIGURAN AND DILASAG</t>
  </si>
  <si>
    <t>TO CONDUCT ORIENTATION /BRIEFING AND DISTRIBUTION OF INTERVENTIONS(RICE GARDEN TOOLS) TO THE RECIPIENT OF NUTRITION CONVERGENCE PROJECT</t>
  </si>
  <si>
    <t>TO SUPERVISE/ MONITOR ORGANIC AGRICULTURE PROGRAM</t>
  </si>
  <si>
    <t>JULY 27-31,2026</t>
  </si>
  <si>
    <t>TO ASSIST DA-BAFS CONDUCT A SURVELIANCE AUDIT AND ASSESSMENT OF SMMA</t>
  </si>
  <si>
    <t>YOUNG FARMERS CHALLENGE PROVINCIAL JUDGING FOR THE START-UP COMPONENT FOR FY 2026</t>
  </si>
  <si>
    <t>AUGUST 10-14,2026</t>
  </si>
  <si>
    <t>INVITING PREVIOUS TFC BENEFICIARIES FROM 2021-2024 WHO ARE INTERESTED IN PARTICIPATING IN THE UPCOMING YFC UPSCALE COMPONENTS BUSINESS PLANNING COACHING AND MENTORING FOR FY 2026</t>
  </si>
  <si>
    <t>JULY 29-31,2026</t>
  </si>
  <si>
    <t>SMBA</t>
  </si>
  <si>
    <t>NATIONAL F2C2 FORUM</t>
  </si>
  <si>
    <t>SEPTEMBER 21-25,2026</t>
  </si>
  <si>
    <t>ILO-ILO CITY</t>
  </si>
  <si>
    <t>VCA OF PURPLE YAM IN CENTRAL LUZON</t>
  </si>
  <si>
    <t>AUGUST 18-19,2026</t>
  </si>
  <si>
    <t>REYNANTE BABIERA</t>
  </si>
  <si>
    <t>RENEL GALVELO</t>
  </si>
  <si>
    <t>JULY 23-24,2026</t>
  </si>
  <si>
    <t>TO TRANSPORT IN ORGANIC FERTILIZER FROM PARAISO TARLAC</t>
  </si>
  <si>
    <t>DTI-AURORA</t>
  </si>
  <si>
    <t>1ST SEMESTER MEETING OF PROVINCIAL SMALL AND MEDIUM ENTERPRISE DEVELOPMENT COUNCIL AND KAPIHAN WITH MEDIA PARTNERS</t>
  </si>
  <si>
    <t xml:space="preserve"> JULY 29,2026 1-4PM</t>
  </si>
  <si>
    <t>TO DISTRIBUTE RICE AND GARDEN TOOLS</t>
  </si>
  <si>
    <t>DICADI</t>
  </si>
  <si>
    <t>TO ASSIST PSWDO OFFICE FOR THE PAY-OUT OF FINANCIAL ASSITANCE</t>
  </si>
  <si>
    <t>AUG. 4,2026</t>
  </si>
  <si>
    <t>JULY 28- 29,2026</t>
  </si>
  <si>
    <t>APADTC, DIPACULAO</t>
  </si>
  <si>
    <t>TO CONDUCT OF MEETING WITH RIC PRESIDENT/COORDINATE TO HOPE RIC RE; VISITATION OF RIC PRESIDENT</t>
  </si>
  <si>
    <t xml:space="preserve">OPERATION OF THE AQUA FEEDMILL </t>
  </si>
  <si>
    <t>TRUST FUND</t>
  </si>
  <si>
    <t>TO PICK-UP 20.00 RICE FROM NFA CASIGURAN</t>
  </si>
  <si>
    <t>AYG. 3-4,2026</t>
  </si>
  <si>
    <t>CASIGURAN, DINALUNGAN</t>
  </si>
  <si>
    <t xml:space="preserve">GINGERPLANTING MATERIALS </t>
  </si>
  <si>
    <t>CONDUCT ACTIVITY  FOR TGE PROCURMENT OF GOODS</t>
  </si>
  <si>
    <t>BIDS AWARDEECOMMITTEE OFFICE</t>
  </si>
  <si>
    <t>JULY 27,2026  10AM</t>
  </si>
  <si>
    <t>TO ATTEND AND ASSIST IN THE CONDUCTION OF ORIENTATION ON THE SAGIP SAKA ACT</t>
  </si>
  <si>
    <t>JULY 22,2026 3-6PM</t>
  </si>
  <si>
    <t>BFAR OFFICE MIJARES</t>
  </si>
  <si>
    <t>TO SUBMIT FISFERIES MONTHLY REPORT</t>
  </si>
  <si>
    <t>AUGUST 3-4,2026</t>
  </si>
  <si>
    <t>TO PICK UP 20 PESOS RICE FROM NFA CASIGURAN AND TO DELIVER KADIWA STORE IN DINALUNGAN AND DIPACULAO</t>
  </si>
  <si>
    <t>PSWDO-OPAG WILL CODUCT FINANCIAL ASSISTANCE PAY OUT TO DISASTER- AFFECTED COMMUNITIES ESPECIALY IPS WHO WERE AFFECTED BY TYPHOON PEPITO @ DINALUNGAN</t>
  </si>
  <si>
    <t>CONSUMER AWARENESS IN ORGANIC AGRICULTURE IN THE MUNICIPALITY OF CASIGURAN ON AUGUST 6,2026</t>
  </si>
  <si>
    <t>JULY 23,2026 7-11:30AM</t>
  </si>
  <si>
    <t>ATTEND FUNERAL SERVICE</t>
  </si>
  <si>
    <t>4-H ORIENTATION,TECHNO</t>
  </si>
  <si>
    <t>07/23/2026</t>
  </si>
  <si>
    <t>JULY 23, 2026</t>
  </si>
  <si>
    <t>APCO, BALER, AURORA</t>
  </si>
  <si>
    <t>TO CONDUCT AND ASSISTED IN THE ORIENTATION MEETING ON FFEDIS AND GAWAD SAKA TO THE F2C2 BENEFICIARIES</t>
  </si>
  <si>
    <t>EDWARDO M. MAZA</t>
  </si>
  <si>
    <t>CENTRAL MUNICIPALITIES</t>
  </si>
  <si>
    <t>REVISION OF FY 2026 ANNUAL TARGET</t>
  </si>
  <si>
    <t>JULY 27, 2026 9AM</t>
  </si>
  <si>
    <t>CASIGURAN, DINALUNGAN AND DIPACULAO, AURORA</t>
  </si>
  <si>
    <t>2026-07-478</t>
  </si>
  <si>
    <t>2026-07-479</t>
  </si>
  <si>
    <t>2026-07-480</t>
  </si>
  <si>
    <t>2026-07-481</t>
  </si>
  <si>
    <t>2026-07-482</t>
  </si>
  <si>
    <t>2026-07-483</t>
  </si>
  <si>
    <t>2026-07-484</t>
  </si>
  <si>
    <t>2026-07-485</t>
  </si>
  <si>
    <t>2026-07-486</t>
  </si>
  <si>
    <t>2026-07-487</t>
  </si>
  <si>
    <t>2026-07-488</t>
  </si>
  <si>
    <t>2026-07-489</t>
  </si>
  <si>
    <t>0727/2026</t>
  </si>
  <si>
    <t>ALL COMMITTEES OF STATE OF THE YOUTH ADDRESS (SOYA)</t>
  </si>
  <si>
    <t>JULY 29,2026</t>
  </si>
  <si>
    <t>JULY 29,2026   9AM-12NN</t>
  </si>
  <si>
    <t>07/27/2026</t>
  </si>
  <si>
    <t>IMPLEMENTATION OF ADDITIONAL FFEDIS CLASSIFICATION AND CORRESPONDINGINDICATIONS IN THE FFEDIS CERTIFICATE OF REGISTRATION</t>
  </si>
  <si>
    <t>JULY 27,2026</t>
  </si>
  <si>
    <t>TO OPERATE COMPOSTING FACILITY FOR BIODEGRADEBLE WASTE</t>
  </si>
  <si>
    <t>AUGUST 20 AND 24,2026</t>
  </si>
  <si>
    <t>JULY 24,2026</t>
  </si>
  <si>
    <t xml:space="preserve">SICK LEAVE </t>
  </si>
  <si>
    <t>AUGUST 3,2026</t>
  </si>
  <si>
    <t>KIMBERLYN L. GALURA</t>
  </si>
  <si>
    <t>BRIAN GOMEZ</t>
  </si>
  <si>
    <t>JULY 30-31,2026</t>
  </si>
  <si>
    <t>TO ATTEND RPCO-P/C/MPMIU MID -YEAR ASSESSMEN AND PLANNINMG FOR PRDP SCALE UP</t>
  </si>
  <si>
    <t>REQUEST MR. XYRON DUX L. VELAYO AND MS. MARY JANE O. PARROCHA, WILL BE EXCUSED FROM THEIR ACADEMIC CLASS ON AUG. 11,2026</t>
  </si>
  <si>
    <t>DR. MARILYN R. ORA ,PHD</t>
  </si>
  <si>
    <t xml:space="preserve">ARVIC LUO ADALID </t>
  </si>
  <si>
    <t>AUGUST 4,2026</t>
  </si>
  <si>
    <t>DINALUNGAN AND DILASAG AURORA</t>
  </si>
  <si>
    <t>AUGUST 20,2026</t>
  </si>
  <si>
    <t>JULY 27-30,2026</t>
  </si>
  <si>
    <t>TO MONITOR MUSHROOM PRODUCTION</t>
  </si>
  <si>
    <t>RAFC-CENTRAL LUZON ELECTION 2026-GROCB- PAFC TO PARTICIPATE IN THE ACTIVITY</t>
  </si>
  <si>
    <t>JULY 31,2026</t>
  </si>
  <si>
    <t>CAPITOL COMPOUND SAN FERNANDO PAMPANGA</t>
  </si>
  <si>
    <t>PROVINCIAL 4-H CONGRESS AND ACHIEMENTDAY BALER</t>
  </si>
  <si>
    <t>4-H CLUB DEVELOPMENT PROJECT</t>
  </si>
  <si>
    <t>LEA</t>
  </si>
  <si>
    <t>SUPPORT TO VARIETAL TRIAL OF SWEET POTATO</t>
  </si>
  <si>
    <t>50,000,00</t>
  </si>
  <si>
    <t>AWEL</t>
  </si>
  <si>
    <t>SAN FERNANDO PAMOANGA</t>
  </si>
  <si>
    <t>TO ATTEND AND REPRESENT TOGETHER WITH THE PAFC AURORA OFFICERIN THE RAFC ELECTION</t>
  </si>
  <si>
    <t>TO ASSIST AND FACILITATE CONSUMER AWERNESS IN ORGANIC AGRICULTURE</t>
  </si>
  <si>
    <t>AUGUST 6-7,2026</t>
  </si>
  <si>
    <t>TRAINING ON MUSHROOM PRODUCTION ON AUG. 3-4,2026 @BRGY 4 DIAGYAN ,DILASAG</t>
  </si>
  <si>
    <t>MAO CASIGURAN AND DILASAG</t>
  </si>
  <si>
    <t>MUNICIPALITTY OF BALER/MFARMC</t>
  </si>
  <si>
    <t>REQUEST IN THE CONDUCT OF MONITORING AND VALIDATION OF GOVERNMENT AWARDED  INTERVENTIONS UNDER VARIOUS FISHERIES PROGRAM</t>
  </si>
  <si>
    <t>RODERICK TUMANENG, FCA OF CALANTAS FARMERS ASSOCIATION  REQUEST FOR THE RENEWAL OF RCEF ACCREDITATION</t>
  </si>
  <si>
    <t>MAO -MARCIAL C. PENA JR.</t>
  </si>
  <si>
    <t>CONTINOUS SUPERVISION OF FERTILIZER APPLICATION FOR FUTURE RICE TECHNO DEMO</t>
  </si>
  <si>
    <t xml:space="preserve">TO ATTEND YOUNG FARMERS CHALLENGE YFC YC 2026 </t>
  </si>
  <si>
    <t>AUG. 11,2026</t>
  </si>
  <si>
    <t>JOSELLE D SAGAMPOD</t>
  </si>
  <si>
    <t>REFERENCE TO THE UPCOMING IMPLEMENTATION OF THE PROVINCIAL PLAN TO PERMANENTLY DISMANTEL AND TERMINATE THE OPERATION OF RPC</t>
  </si>
  <si>
    <t>SUBMISSION OF 2026 PURCHASE REQUEST AND EPA</t>
  </si>
  <si>
    <t>BEFORE AUGUST 31,2026</t>
  </si>
  <si>
    <t>WORK ASSIGNMENT AND DESIGNATING APADTC AS THEIR OFFICIAL STATION</t>
  </si>
  <si>
    <t>WORK ASSIGNMENT AND DESIGNATING AFTECAS THEIR OFFICIAL STATION</t>
  </si>
  <si>
    <t>PCAD</t>
  </si>
  <si>
    <t>REQUEST FOR THE DESIGNATIONOF A FOCAL PERSON FOR THE PROVINCIAL ORGANIZING COMMITTEE FOR THE INDEGENOUS PEOPLES MONTH CELEBRATION</t>
  </si>
  <si>
    <t>CLUSTER 1 CORN FARMERS ASSOCIATION OF CASIGURAN OF BRGY. CALANGCUASAN, CASIGURAN.</t>
  </si>
  <si>
    <t>AN ORDINANCE ADOPTING AND INSTITUTIONALIZING THE 2012 NUTRITIONAL GUIDELINES FOR FILIPINOS PURSUANT TO NNC</t>
  </si>
  <si>
    <t xml:space="preserve">JULY 28,2026   8:30AM </t>
  </si>
  <si>
    <t xml:space="preserve">SP EXTENSION </t>
  </si>
  <si>
    <t>SUBMITTING THE FF. LACKING DOCUMENTS OF BRGY. DIBET, SAMAHAN BANTAY LAIKASAN</t>
  </si>
  <si>
    <t>AUGUST 5-6,2026</t>
  </si>
  <si>
    <t>TOVISIT/MONITOR HIGH BRID SEEDLING DERBY AREA</t>
  </si>
  <si>
    <t>07/28/2026</t>
  </si>
  <si>
    <t>NATIONAL GOVERNMENT AGENCIES/ PPDC</t>
  </si>
  <si>
    <t>JULY 28,2026   2PM</t>
  </si>
  <si>
    <t xml:space="preserve">GOVERNORS CONFERENCE, CAPITOL COMPOUND  </t>
  </si>
  <si>
    <t xml:space="preserve">DA-RFO3 </t>
  </si>
  <si>
    <t>INORGANIC FERTILIZER DISTRIBUTION UNDER THE DEPARMENT OF AGRICULTURE- REGIONAL FIELD OFFICE 3 RICE BANNER</t>
  </si>
  <si>
    <t>AUGUST 3-6,2026</t>
  </si>
  <si>
    <t>VACATION LEAVE</t>
  </si>
  <si>
    <t xml:space="preserve"> TO ASSIST DISTRIBUTION OF PRINTER IN THE MAO OFFICES</t>
  </si>
  <si>
    <t>TO ATTEND 1ST SEMESTER MEETING OF PROVINCIAL SMALL AND MEDIUM ENTERPRISE DEVELOPMENT COUNCIL AND KAPUHAN WITH MEDIA PARTNER</t>
  </si>
  <si>
    <t>JUNE-JULY 2026</t>
  </si>
  <si>
    <t>TRANSMITTED THE LBP FORM2, LBP FORM2-A AND LBP FORM NO. 4OF THE OPAG FOR THE REVIEW CONSIDERATION</t>
  </si>
  <si>
    <t>ATTY. PAZ L. TORREGOSA</t>
  </si>
  <si>
    <t>2026-07-490</t>
  </si>
  <si>
    <t>2026-07-491</t>
  </si>
  <si>
    <t>2026-07-492</t>
  </si>
  <si>
    <t>2026-07-493</t>
  </si>
  <si>
    <t>2026-07-494</t>
  </si>
  <si>
    <t>2026-07-495</t>
  </si>
  <si>
    <t>2026-07-496</t>
  </si>
  <si>
    <t>2026-07-497</t>
  </si>
  <si>
    <t>2026-07-498</t>
  </si>
  <si>
    <t>2026-07-499</t>
  </si>
  <si>
    <t>2026-07-500</t>
  </si>
  <si>
    <t>2026-07-501</t>
  </si>
  <si>
    <t>2026-07-502</t>
  </si>
  <si>
    <t>2026-07-503</t>
  </si>
  <si>
    <t>2026-07-504</t>
  </si>
  <si>
    <t>LLOYD MARVIN G. SAN PEDRO</t>
  </si>
  <si>
    <t>JULY 27, 2026</t>
  </si>
  <si>
    <t>07/29/2026</t>
  </si>
  <si>
    <t xml:space="preserve">MUNICIPALAGRICULTURE OFFICE OF DILASAG </t>
  </si>
  <si>
    <t>PAFFP</t>
  </si>
  <si>
    <t>LUNA, APAYAO PROVINCE</t>
  </si>
  <si>
    <t>TO ATTEND FISHERIES MANAGEMENT AREA 1- SCIENTIFIC ADVISORY GROUP(FMA-1) THIRD QUARTER MEETING</t>
  </si>
  <si>
    <t>AURORA QUICK STAT</t>
  </si>
  <si>
    <t>ASSITANCE IN THE CONDUCT OF THE COA COMPLIANCE AUDIT</t>
  </si>
  <si>
    <t>BRGY. RESERVA BALER</t>
  </si>
  <si>
    <t>AURORA FRESH WATER TECHNOLOGY CENTER(AFTEC)</t>
  </si>
  <si>
    <t>GINA</t>
  </si>
  <si>
    <t>MUNICIPAL ORDINANCE; AN ORDINANCE PROVIDING FOR THE SUSTAINABLE DEVELOPMENT MANAGEMENT CONSERVATION OF THE FISHERIES AND AQUATIC RESOURCES</t>
  </si>
  <si>
    <t>JULY 30,2026  9:30AM</t>
  </si>
  <si>
    <t>SP EXTENSION CONFERENCE ROOM 2ND FLOOR</t>
  </si>
  <si>
    <t xml:space="preserve">LETTER DATED APRIL 21,2026 REQUESTING FOR THE PASSAGE OF A RESOLUTION AUTHORIZING HIM TO SIGN AND ENTER MOA- MADECO </t>
  </si>
  <si>
    <t>JULY 30,2026  10:30AM</t>
  </si>
  <si>
    <t>7/29/2026</t>
  </si>
  <si>
    <t>AUGUST 3-5,2026</t>
  </si>
  <si>
    <t xml:space="preserve">REQUESTING FOR THE PASSAGE OF A RESOLUTION AUTHORIZING HIM TO SIGN AND ENTER A MEMORANDUM OF AGREEMENT(MOA) </t>
  </si>
  <si>
    <t>JULY 30, 2026 10:30 AM</t>
  </si>
  <si>
    <t>AN ORDINANCE PROVIDING FOR THE SUSTAINABLE DEVELOPMENT , MANAGEMENT, UTILIZATION, AND CONSERVATION OF THE FISHERIES SND AQUATIC RESOURCES</t>
  </si>
  <si>
    <t>JULY 30, 2026 9:30 AM</t>
  </si>
  <si>
    <t>CONDUCTING A NATIONWIDE SIMULATANEOUS REGISTRATION OF INDIGENOUS PEOPLE (IPs) FARMER IN THE REGISTRY SYSTEM FOE BASIC SECTOR IN AGRICULTURE (RSBSA.)</t>
  </si>
  <si>
    <t>AUGUST 4-6,2026</t>
  </si>
  <si>
    <t>DA- RFO III</t>
  </si>
  <si>
    <t xml:space="preserve">AGRIBUSINESS AND MARKETING ASSISTANCE DIVISION (AMAD) WILL BE PARTICIPATING TO THE 20TH NATIONAL VEGETABLE CONGRESS </t>
  </si>
  <si>
    <t>AUGUST 17-20,2026</t>
  </si>
  <si>
    <t>PROMOTE SUSTAINABLE VEGETABLE GARDENING , FOOD SECURITY , NUTRITION, AND ACTIVE COMMUNITY PARTICIPATION AMONG THE BARANGAYS OF THE MUNICIPALITY OF BALER</t>
  </si>
  <si>
    <t>AUGUST 5-6, 2026</t>
  </si>
  <si>
    <t>CONDUCT CONTINUATION OF THE TRAINING ON CLIMATE RISK VULNERABILITY ASSESMANT (CRVA) MAP</t>
  </si>
  <si>
    <t>AUGUST 3-7,2026</t>
  </si>
  <si>
    <t>SUBMITTING HEREWITH ARE THE DOCUMENTARY REQUIREMENTS UNDER CORN PROGRAM, TO WIT:</t>
  </si>
  <si>
    <t>DIR. EDUARDOL. LAPUS JR,DVM REGIONAL EXECUTIVE DIRECTOR</t>
  </si>
  <si>
    <t>PARTICIPATINGINTHE YOUNG FARMERS CHALLENGE PROVINCIAL JUDGING FOR THE STAFF-UP COMPONENT FOR FY 2026</t>
  </si>
  <si>
    <t>AUGUST 11, 2026</t>
  </si>
  <si>
    <t>JULY 30, 2026</t>
  </si>
  <si>
    <t>JULY 23, 2026, JULY 28-29,2026</t>
  </si>
  <si>
    <t>PALTIC ELEMENTARY, BORLONGAN ELEMENTARY, PALEG ELEMENTARY,DIBACONG ELEMENTARY, DILASAG CENTRAL SCHOOL</t>
  </si>
  <si>
    <t>CONDUCTING DATA GATHERING FOR THE DEVELOPMENT OF THE VALUE CHAIN ANALYSIS (VCA) OF PURPLE YAM IN CENTRAL LUZON</t>
  </si>
  <si>
    <t>AUGUST 07, 2026 AT 8:00 AM</t>
  </si>
  <si>
    <t>SUPPLY AND DELIVERY OF AGRICULTURAL SUPPLIES</t>
  </si>
  <si>
    <t>TO BE USED FOR INTEGRATED NUTRIENT MANAGEMENT PROJECT</t>
  </si>
  <si>
    <t>COORDINATION WITH THIS OFFICE RESPECTFULLY REQUETS THE USE OF THE ACCOMODOTION FACILITIES AT THE SUB CAPITOL BUILDINGIN CASIGURAN, AURORA</t>
  </si>
  <si>
    <t>AUGUST 17-20, 2026</t>
  </si>
  <si>
    <t>07/30/2026</t>
  </si>
  <si>
    <t xml:space="preserve">SUBMITTING HEREWITH ARE THE DOCUMENMTARY REQUIREMENTS UNDER CORN PROGRAM, </t>
  </si>
  <si>
    <t>DIR.EDUARDO L. LAPUZ</t>
  </si>
  <si>
    <t>JULY 28, 2026</t>
  </si>
  <si>
    <t>BRGY. MAIMPIS, CITY OF SAN FERNANDO ,PAMPANGA</t>
  </si>
  <si>
    <t xml:space="preserve">REQUEST THE USE OF ACCOMODATION AT THE SUB-CAPITOL BUILDING IN CASIGURAN, AURORAFACILITIES </t>
  </si>
  <si>
    <t>AUGUST 5, 2026</t>
  </si>
  <si>
    <t>EDWARDO</t>
  </si>
  <si>
    <t>AUGUST 3, 2026</t>
  </si>
  <si>
    <t>CONVENTION CENTER , BRGY. RESERVA , BALER, AURORA</t>
  </si>
  <si>
    <t>PERFORM WITH THE PGA CHARALE DURING THE PLEDIPO'S PROGRAM</t>
  </si>
  <si>
    <t>AUGUST 11-13,2026</t>
  </si>
  <si>
    <t>AUGUST 11,2026</t>
  </si>
  <si>
    <t>TO DRIVE RP VEHICLE FOR YFC</t>
  </si>
  <si>
    <t>ANGLES PAMPANGA</t>
  </si>
  <si>
    <t>TO ATTEND IN THE LUZON A PARTICIPATORY PERFORMANCE REV AND PLANNINMG WORKSHOP FOR AGRICULTURAL AND FISHERIES</t>
  </si>
  <si>
    <t xml:space="preserve">APADTC AND SABANG </t>
  </si>
  <si>
    <t>TO SERVE AS RESOURCE SPEAKER FOR NIA SPONSORED RICE PRODUCTION TRAINING(PEST AND DIESEASES)</t>
  </si>
  <si>
    <t>AUGUST</t>
  </si>
  <si>
    <t>BRGY SABANG AKAW HOTEL</t>
  </si>
  <si>
    <t>TO ATTEND THE CONTINUATION OF THE TRAINING ON CLIMATE RISK VULNERABILITY  ASSESMENT MAP</t>
  </si>
  <si>
    <t>TO SERVE AS EVALUATOR TO THE GULAYAN SA BARANGGAY PROGRAM OF THE MUNICIPALITY OF BALER</t>
  </si>
  <si>
    <t>AUGUST 6,2026</t>
  </si>
  <si>
    <t>KADAYACAN MARIA AURORA</t>
  </si>
  <si>
    <t>TO ASSIST IN THE CONDUCT OF COMPLETION OF REGISTRATION FOR IPS BENEFICIARIES IN THE MUNICIPALITY</t>
  </si>
  <si>
    <t>JULY 1-31,2026</t>
  </si>
  <si>
    <t>REQUEST THE ASSISTANCE OF THE PROVINCIAL GENERAL SERVICE OFFICE IN FACILITATING THE INSTALLATION AND REPAIR OF THE WATER SUPPLY LINE AT THE OPAG</t>
  </si>
  <si>
    <t xml:space="preserve">MARIEL MANGILA </t>
  </si>
  <si>
    <t>JULY21-24,2026</t>
  </si>
  <si>
    <t>BAGUIO</t>
  </si>
  <si>
    <t>BARANGAY AND MUNICIPALITY</t>
  </si>
  <si>
    <t>PRODUCTION SUPPORT TO VEGETABLES FARMERS/ PRODUCTION SUPPORTING TO GULAYAN SA BARANGAY NG BAYAN</t>
  </si>
  <si>
    <t>SOLAR POWERED FREEZER (REQUEST CERTIFICATION)</t>
  </si>
  <si>
    <t>MARCIAL C. PENA- CASIGURAN, ELIZABETH PASCUAL- DILASAG</t>
  </si>
  <si>
    <t>MEETING OF LOCAL FARMERS TECHNICIAN APADTC ON AUGUST 13,2026</t>
  </si>
  <si>
    <t>LFT</t>
  </si>
  <si>
    <t xml:space="preserve">ROMAT OF DA-RFO3 ASSIGNEDTO OVERSEE THE RURAL INFRASTRUCTURE SUBPROJECTS UNDER PRDP, WILL UNDER TAKE AN OPERATION AND MAINTENANCE AUDIT </t>
  </si>
  <si>
    <t>SEPTEMBER 1-4,2026</t>
  </si>
  <si>
    <t>JULY 16-31,2026</t>
  </si>
  <si>
    <t>TRAINING ON SEEDLINGS PRODUCTION AND MANAGEMENT IN SUPPORT TO GULAYAN SA BAYAN(GSB) PROJECT 1 ON AUGUST 18-20,2026 @ AZBAHAEN</t>
  </si>
  <si>
    <t>MARIE LORAIN G PAULO</t>
  </si>
  <si>
    <t>AUGUST 10,2026</t>
  </si>
  <si>
    <t>GRACELANE CITY SAN FERNADO PAMPANGA</t>
  </si>
  <si>
    <t>TO ASSIST YFC 2026 APPLICANTS FOR FYC PROVINCIAL JUDGING FOR THE START UP COMPONENT</t>
  </si>
  <si>
    <t>COORDINATION MEETING WItH NGAS</t>
  </si>
  <si>
    <t>SUBMITTING CDPS, CLUSTER PROFILE AND OTHER PERTINENT DOCUMENTS OF FARMERS COOPERATIVE (FCAS)</t>
  </si>
  <si>
    <t>EDUARDO L. LAPUZ, JR., DVM</t>
  </si>
  <si>
    <t>ZOOLOGICAL SOCIETY OF LONDON</t>
  </si>
  <si>
    <t>NEW SSEO, ASHER EARL GIANAN(ZSL PROCA PROJECT)</t>
  </si>
  <si>
    <t>INVITATION TO THE BUDGET HEARING/ DELIVERATION OF CY 2027 ANNUAL BUDGET</t>
  </si>
  <si>
    <t>AUGUST 11, 12 AND 18, 2026</t>
  </si>
  <si>
    <t>GOVERNORS CONFERENCE, CAPITOL COMPOUND</t>
  </si>
  <si>
    <t>DA- RFO-III</t>
  </si>
  <si>
    <t xml:space="preserve">CONDUCTING A TRAINING ON E-COMMERCE AND DIGITAL MARKETING </t>
  </si>
  <si>
    <t>AUGUST 25-28, 2026</t>
  </si>
  <si>
    <t>SUBIC BAY VENERAZIA HOTEL, SUIC, ZAMBALES</t>
  </si>
  <si>
    <t>CDP AND CLUSTER PROFILE OF IBONA GOLDEN GRAIN FARMERS ASSOCIATION OF DINGALAN</t>
  </si>
  <si>
    <t>TO BE INCLUDED IN THE RICE PRODUCTION CLUSTER UNDER MRIDP OF THE DA</t>
  </si>
  <si>
    <t>RICE PROGRAM</t>
  </si>
  <si>
    <t>AUGUST 5,2026</t>
  </si>
  <si>
    <t>ROBERTFERNANDEZ</t>
  </si>
  <si>
    <t>AFTEC RESERVA</t>
  </si>
  <si>
    <t>ASSIST IN THE ACTIVITIES OF THE AURORA FRESHWATER  TECHNOLOGY CENTER AND PERFORM OTHER FISHERY RELATED ACTIVITIES</t>
  </si>
  <si>
    <t xml:space="preserve"> SUPERVISION OF THE PROJECT, ASSIST IN THE ACTIVITIES OF THE AURORA FRESHWATER  TECHNOLOGY CENTER AND PERFORM OTHER FISHERY RELATED ACTIVITIES</t>
  </si>
  <si>
    <t>SAMAHAN NG MANGINGISDA AGTA GOZO  CASIGURAN</t>
  </si>
  <si>
    <t>HUMINGI NG LAMBAT PARA SA PANG LAMBAT AT MAGING DAGDAG PANG KABUHAYAN</t>
  </si>
  <si>
    <t>PERCIVAL CABO</t>
  </si>
  <si>
    <t>AUGUST 7, 2026</t>
  </si>
  <si>
    <t>TO ATTEND/ASSIST IN THE PURPLE YAM VCA AND FOCUS GROUP DISCUSSION (FGD)</t>
  </si>
  <si>
    <t>AUGUST 6-7, 2026</t>
  </si>
  <si>
    <t>MAO DIPACULAO/APADTC</t>
  </si>
  <si>
    <t xml:space="preserve"> TO COLLECT SIGNED LIST OF RECIPIENTS OF CACAO SEEDLINGS/TO MONITOR PLANTED CACAO BY DITALE FARMERSA TO ATTEND/ASSIST IN THE PURPLE YAM VCA AND FOCUS GROUP DISCUSSION (FGD)</t>
  </si>
  <si>
    <t>1KG</t>
  </si>
  <si>
    <t>POLE SITAO</t>
  </si>
  <si>
    <t>6PACKS</t>
  </si>
  <si>
    <t>ASSORTED SEED</t>
  </si>
  <si>
    <t>QUARTERLY MEETING FOR THE ORGANIC AGRICULTURE PROGRAM ON SEPT. 3,2026 9AM AT AMCO</t>
  </si>
  <si>
    <t>COST BENEFIT ANALYSIS (CBA) TERMINATION OF THE SAID PROJECT AND HAVE FORMALLY SUBMITTED OYR INTENTION TO TERMINATE ITS PROJECT TO THE KOICA</t>
  </si>
  <si>
    <t>TRANSMITTING THE ATTACHED CONTRACT OF SERVICE AND LIST OF J.O. PERSONNEL FOR THE SECOND SEMESTER JULY8-DEC 31,2026</t>
  </si>
  <si>
    <t>TRAINING ON E-COMMERCE AND DIGITAL MARKETING ON AUGUST 25-28,2026 @ SUBIC BAY</t>
  </si>
  <si>
    <t>MAO DILASAG, MARIA, DIPACULAO</t>
  </si>
  <si>
    <t>MONITORING OF PALAY PRODUCTION AREA AND HYBRID SEED DERBY AREA</t>
  </si>
  <si>
    <t>ORGANIC AGRICULTURE PROGRAM(OAP)</t>
  </si>
  <si>
    <t>SPA-OAP</t>
  </si>
  <si>
    <t>JHO</t>
  </si>
  <si>
    <t>CERTIFY THE INDIVIDUALS LISTED VERIFIED IPS FROM THE MUNICIPALITY OF DINALUNGAN</t>
  </si>
  <si>
    <t>AUGUST 6,2027</t>
  </si>
  <si>
    <t>PDRMC</t>
  </si>
  <si>
    <t>CODUCT REGIONAL ASSESMENT FOR THE26TH  GAWAD KALASAG GK SEAL FOR LOCAL DRRM COUNCILS AND OFFICES CY 2026</t>
  </si>
  <si>
    <t>SUBMITTING THE CDPS CLUSTER PROFILE, AND OTHER PERTINENT DOCUMENTS OF FCAS</t>
  </si>
  <si>
    <t>AUGUST 10-11,2026</t>
  </si>
  <si>
    <t>SAN LUIS AND DIPACULAO AURORA</t>
  </si>
  <si>
    <t>TO ASSIST THE VALIDATION AND ASSESSMENT OF THE RICE CLUSTERING ASSESSMENT TOOL(HACAT)</t>
  </si>
  <si>
    <t>FOOD LANE ORIENTATION TRUCK INSPECTION AND BRIEFING AND REGISTRATION ON FFEDIS</t>
  </si>
  <si>
    <t>AUGUST 13-14,2026</t>
  </si>
  <si>
    <t>DILASAG AND MARIA</t>
  </si>
  <si>
    <t>AUGUST 12-13, 2026</t>
  </si>
  <si>
    <t>ASSIST DA-RFO3 AMAD TO CONDUCT FOODLANE ANF FFEDIS ORIENTATION FOR LGU DILASAG</t>
  </si>
  <si>
    <t>AUGUST 10.2026</t>
  </si>
  <si>
    <t>ASSIST IN THE INSTALLATION OF FEED PELLET DRYER AND ADDITIONAL HEAT SOURCE AT AQUA FEEDMILL</t>
  </si>
  <si>
    <t>AUGUST 16-21,2026</t>
  </si>
  <si>
    <t>DAVAO CITY</t>
  </si>
  <si>
    <t>TO ATTEND 20TH NATIONAL VEGETABLES CONGRESS</t>
  </si>
  <si>
    <t>PAGDIRIWANG NG BUWAN NG WIKA</t>
  </si>
  <si>
    <t>OFFICE OF PROVINCIAL ADMINISTRATOR</t>
  </si>
  <si>
    <t>NEW SENIOR STAKEHOLDER ENGAGEMENT OFFICE (SSEO),ASHER EAL GIANAN</t>
  </si>
  <si>
    <t>CONDUCTING AN ASSESSMENT /PLANNING WORKSHOP ON MARKET RELATED INFRACTURES IN CENTRAL LUZON</t>
  </si>
  <si>
    <t>AUGUST 27-28,2026</t>
  </si>
  <si>
    <t>CONDUCTING A TRINING IM E- COMMERCE AND DIGITAL MARKETING</t>
  </si>
  <si>
    <t>AUGUST 25,2026</t>
  </si>
  <si>
    <t>SUPPORT TO KADIWA NG PANGULO(KNP)</t>
  </si>
  <si>
    <t>SPA-AGRIBUSNESS</t>
  </si>
  <si>
    <t>KYLE</t>
  </si>
  <si>
    <t>2ND AND 3RD QUARTERLY MEETING OF PROVINCIAL NUTRITION COMMITTEE</t>
  </si>
  <si>
    <t>AUGST 12,2026  1PM</t>
  </si>
  <si>
    <t>WIDE- ATC</t>
  </si>
  <si>
    <t>2026-08-505</t>
  </si>
  <si>
    <t>2026-08-506</t>
  </si>
  <si>
    <t>2026-08-507</t>
  </si>
  <si>
    <t>2026-08-508</t>
  </si>
  <si>
    <t>2026-08-509</t>
  </si>
  <si>
    <t>2026-08-510</t>
  </si>
  <si>
    <t>2026-08-511</t>
  </si>
  <si>
    <t>2026-08-512</t>
  </si>
  <si>
    <t>2026-08-513</t>
  </si>
  <si>
    <t>2026-08-514</t>
  </si>
  <si>
    <t>2026-08-515</t>
  </si>
  <si>
    <t>2026-08-516</t>
  </si>
  <si>
    <t>2026-08-517</t>
  </si>
  <si>
    <t>2026-08-518</t>
  </si>
  <si>
    <t>2026-08-519</t>
  </si>
  <si>
    <t>2026-08-520</t>
  </si>
  <si>
    <t>2026-08-521</t>
  </si>
  <si>
    <t>2026-08-522</t>
  </si>
  <si>
    <t>2026-08-523</t>
  </si>
  <si>
    <t>2026-08-524</t>
  </si>
  <si>
    <t>2026-08-525</t>
  </si>
  <si>
    <t>2026-08-526</t>
  </si>
  <si>
    <t>2026-08-527</t>
  </si>
  <si>
    <t>2026-08-528</t>
  </si>
  <si>
    <t>2026-08-529</t>
  </si>
  <si>
    <t>2026-08-530</t>
  </si>
  <si>
    <t>2026-08-531</t>
  </si>
  <si>
    <t>DOST-PSTO AURORA CONDUCT THE SUSTAINABLE AGRICULTURE CONTEST 2026</t>
  </si>
  <si>
    <t>AUGUST 24-26,2026</t>
  </si>
  <si>
    <t>KAPASIYAHAN BLG. 01,SERYE NG 2026 NG MADECO HINGIL SA KANILANG KAHILINGAN PARA SA PAGPAPALAWIG NG KANILANG PAGGAMIT SA AURORA RICE PROCESSING AND MILLING COMPLEX(RPC)</t>
  </si>
  <si>
    <t>SAN LUIS NAKAUGAT SA KASAYSAYAN ANG KAUNLARAN NG KINABUKASAN</t>
  </si>
  <si>
    <t>AUGUST 21-25,2026</t>
  </si>
  <si>
    <t>FRONT OF MUNICIPAL BUILDING</t>
  </si>
  <si>
    <t>AUGUST 17-18,2026</t>
  </si>
  <si>
    <t>DIPACULAO, BALER AND POINTS</t>
  </si>
  <si>
    <t>ASSIST ON FIELD MONITORING OF FARM MACHINERY OF DA-RFO3</t>
  </si>
  <si>
    <t>ASSIST ON FIELD MONITORING OF FARM MACHINERY OF DA-RFO4</t>
  </si>
  <si>
    <t>SUKLAYIN, BALER</t>
  </si>
  <si>
    <t>ASSIST IN THE CONDUCT OF ORIENTATION SA KALUSUGAN AT NUTRISYON NG MAGNANAY ACT CONVERGENCE PROGRAM</t>
  </si>
  <si>
    <t>AUGUST 12,2026</t>
  </si>
  <si>
    <t>TO ASSIST PSWDO STAFF TO CONDUCT THE FINANCIAL ASSISTANCE PAY OUT TO DISASTER- AFFECTED</t>
  </si>
  <si>
    <t>AUGUST 10-12,2026</t>
  </si>
  <si>
    <t>MAO DIPACULAO</t>
  </si>
  <si>
    <t xml:space="preserve">TECHNICAL ASSISTANCE ON MUSHROOM PRODUCTION PROJECT </t>
  </si>
  <si>
    <t>AUGUST 12-13,2026</t>
  </si>
  <si>
    <t>JDM PACIFIC WAVE</t>
  </si>
  <si>
    <t>TO ATTEND CAPABILITY DEV. SEMINAR FOR THE LCAT VAWC AND LCPC</t>
  </si>
  <si>
    <t>MONITORING OF FISHPOND OP. IN BALER</t>
  </si>
  <si>
    <t>APADTC( OPERATION AND MAINTENACE OF VERMI, OPERATION AND MAINTENANCE OF ORGANIC)</t>
  </si>
  <si>
    <t>AUGUST 10-13,2026</t>
  </si>
  <si>
    <t xml:space="preserve">ASSIST IN THE ACTIVITIES OF THE AURORA FRESHWATER TECHNOLOGY CENTER </t>
  </si>
  <si>
    <t>PLANNING AND PREPARATION FOR THE IP MONTH CELEBRATION</t>
  </si>
  <si>
    <t>AUGUST 13,2026  9AM</t>
  </si>
  <si>
    <t>CONFERNCE ROOM GOV OFFICE</t>
  </si>
  <si>
    <t>TRAINING COURSE ON CACAO BY-PRODUCTS PROCESSING AND UTILIZATION</t>
  </si>
  <si>
    <t>BIGYAN PA NG PAPALAWIG ANG MADECO NG GAMIT ANG KOICA -RPC</t>
  </si>
  <si>
    <t>CLSU</t>
  </si>
  <si>
    <t>PROJECT FOR THE DEVELOPMENT OF NOVEL DISEASE MANAGEMENT SYSTEM FOR BANANA AND CACAO (BACADM)</t>
  </si>
  <si>
    <t>AUGUST 12,2006   1-5PM</t>
  </si>
  <si>
    <t>EDWARDO MAZA et. Al.</t>
  </si>
  <si>
    <t>VISITATION OF HYBRID SEED DERBY AREA AND MEETING WITH THE FARMER COOPERATORS AND SEED COMPANY</t>
  </si>
  <si>
    <t>DA-RFO3(F2C2)</t>
  </si>
  <si>
    <t>F2C2 PROGRAM WILL CONDUCT THE NEXTBATCH OF BPR USING DA PRDP ENTERPRISE ASSESSMENT TOOLS</t>
  </si>
  <si>
    <t>TO OPERATE/MONITOR VERMICOMPOSTING PROJECT AND ROTARY COMPOSTING IN APADTC</t>
  </si>
  <si>
    <t>MONITORING SA MGA MAKINARYA PANSAKAHAN NA IPINAMAHAGI SA MGA KOOPERATIBA AT SAMAHAN NG MGA MAGSASAKA MULA 2017 -2025</t>
  </si>
  <si>
    <t>ORDINANCE NO. 18 , S. OF 2026 OF MARIA AURORA TITLED ORDINANCE MAFC</t>
  </si>
  <si>
    <t>AUGUST 12,2026   1:30PM</t>
  </si>
  <si>
    <t>TO  SERVED AS EVALUATOR TEAM AND JUDGES TO THE GSB AND COMMUNAL GARDEN</t>
  </si>
  <si>
    <t>AIRENE A. BELEN</t>
  </si>
  <si>
    <t>AUGUST 25-28,2026</t>
  </si>
  <si>
    <t>TO ATTEND TRAINING ON E- COMMERCE AND DIGITAL MARKETING</t>
  </si>
  <si>
    <t>DESIGNATION OF OFFICER IN CHARGE (OI)FOR THE PGA DORMITORY ,RELATED AUDIO-VISUAL SYSTEM</t>
  </si>
  <si>
    <t>AUGUST 24-27,2026</t>
  </si>
  <si>
    <t>TO ATTEND TRAINING COURSE ON CACAO BY PRODUCTS PROCESSING AND UTILIZATION</t>
  </si>
  <si>
    <t>SUBMITTING THE CERTIFICATE OT TITLE OF DITALE FARMERS, ETC.</t>
  </si>
  <si>
    <t>20TH NATIONAL VEGETABLE CONGRESS 2026</t>
  </si>
  <si>
    <t>DAVAO CONVENTION CENTER</t>
  </si>
  <si>
    <t>35TH AGENCY IN HOUSE REVIEW OF RESEARCH FOR DEVELOPMENT(RAD)</t>
  </si>
  <si>
    <t>SAVANNAH HOTEL</t>
  </si>
  <si>
    <t>REFRESHER COURSE ON AGRICULTURAL EXTENSION -2</t>
  </si>
  <si>
    <t>AUGUST 24-28,2026</t>
  </si>
  <si>
    <t xml:space="preserve">PALAYAN CITY </t>
  </si>
  <si>
    <t>AUGUST 13,2026</t>
  </si>
  <si>
    <t>SAN LUIS, MARIA BALER DIPACULAO</t>
  </si>
  <si>
    <t>TO VALIDATE AND ASSESS THE MUSHROOM GROWING HOUSES OF THE 2026 OPAG -GAD BENEFICIARIES</t>
  </si>
  <si>
    <t>ALLIAH JEN LAUREANO</t>
  </si>
  <si>
    <t>2026-08-532</t>
  </si>
  <si>
    <t>2026-08-533</t>
  </si>
  <si>
    <t>2026-08-534</t>
  </si>
  <si>
    <t>2026-08-535</t>
  </si>
  <si>
    <t>2026-08-536</t>
  </si>
  <si>
    <t>2026-08-537</t>
  </si>
  <si>
    <t>2026-08-538</t>
  </si>
  <si>
    <t>2026-08-539</t>
  </si>
  <si>
    <t>OFFICE OF THE GOVERNOR-DA-BSWM</t>
  </si>
  <si>
    <t>TABAS, CASIGURAN</t>
  </si>
  <si>
    <t>SOLAR POWERED IRRIGATION SYSTEM(INVITATIONTO ATTEND THE PROJECT BRIEFING ON THE INSTALLIATION OF SOLAR SYSTEM</t>
  </si>
  <si>
    <t>DOST-PSTO</t>
  </si>
  <si>
    <t>CULTIVATE TO EDUCATE;CENTRAL LUZON SCHOOLS LEADING THE WAY IN FOOD SECURITY AND COMMUNITY NOURISHMENT THROUGH AGRICULTURAL HUBS PROMOTING SCIENCE AND SUSTAINABLE AGRICULTURE</t>
  </si>
  <si>
    <t>REQUEST FOR OPAG PERSONNEL AS VALIDATORS AND EVALUATION FOR THE DIVISION EVALUATION OF THE 2026 GPP</t>
  </si>
  <si>
    <t>SEPTEMBER 21-24,2026</t>
  </si>
  <si>
    <t>MFARMC-BALER</t>
  </si>
  <si>
    <t>REQUEST THE ASSITANCE OF THE OFFICE IN THE CONDUCT OF MONITORING AND VALIDATION OF GOVERNMENT AWARDED INTERVENTIONS UNDER VARIOUS FISHERIES PROGRAMS</t>
  </si>
  <si>
    <t>2023-2025</t>
  </si>
  <si>
    <t>CDP CLUSTER PROFILE OF DOFA DIPACULAO</t>
  </si>
  <si>
    <t>CDP CLUSTER PROFILE OF PUANGI AGRARIAN REFORM BENEFICIARIES COOPERATIVE(PUARBC)</t>
  </si>
  <si>
    <t>CDP CLUSTER PROFILE OF BAGONG SIBOL ASSOCIATION</t>
  </si>
  <si>
    <t>CDP CLUSTER NALAGDA MPC</t>
  </si>
  <si>
    <t>HUMIHINGI NG MAHALAGANG KOPYA TOTAL LAND AREA NG PALAY, MAIS AT GULAY SA BUONG PROBINSYA NG AURORA</t>
  </si>
  <si>
    <t>AUGUST 12, 2026</t>
  </si>
  <si>
    <t>AUGUST 13,2026  1PM-6PM</t>
  </si>
  <si>
    <t>SUKLAYIN BALER</t>
  </si>
  <si>
    <t>AUGUST 24-25,2026</t>
  </si>
  <si>
    <t>DILASAG CASIGURAN</t>
  </si>
  <si>
    <t>TO CONDUCT MONITORING OF FARM MACHINERY DISTRIBUTED TO FARMERS COOPERATIVES AND ASSOCIATION FROM 2017-2025 FUNDED UNDER CORN PROGRAM</t>
  </si>
  <si>
    <t>UNIVERSAL CHILDREN MONTH</t>
  </si>
  <si>
    <t>NOV. 2026</t>
  </si>
  <si>
    <t>SUBMISSION OF ACCOMPLISHMENT AND SUPPORTING DOCUMENTS FOR THE 2026 SOPA</t>
  </si>
  <si>
    <t>BRGY. TABAS CASIGURAN</t>
  </si>
  <si>
    <t>TO ATTEND PROJECT BRIEFING WITH FARMER; BENIFICIARIES AND OTHER STAKEHOLDERS AND BENIFICIARIES OF TABAS</t>
  </si>
  <si>
    <t>08/13/2026</t>
  </si>
  <si>
    <t>MUNICIPALITY OF MARIA AURORA</t>
  </si>
  <si>
    <t>REQUEST FOR PERSON-TRAININGON PLANT PROPAGATION</t>
  </si>
  <si>
    <t>AUGUST 17,2026  8:30AM</t>
  </si>
  <si>
    <t>BRGY. BAGTU,MARIA AURORA</t>
  </si>
  <si>
    <t>2026-08-540</t>
  </si>
  <si>
    <t>2026-08-541</t>
  </si>
  <si>
    <t>2026-08-542</t>
  </si>
  <si>
    <t>2026-08-543</t>
  </si>
  <si>
    <t>2026-08-544</t>
  </si>
  <si>
    <t>2026-08-545</t>
  </si>
  <si>
    <t>2026-08-546</t>
  </si>
  <si>
    <t>2026-08-547</t>
  </si>
  <si>
    <t>2026-08-548</t>
  </si>
  <si>
    <t>2026-08-549</t>
  </si>
  <si>
    <t>DIRECTING THE TIMELY PROCESSING OF RECOMMENDATIONS FOR THE EXTENSION OR REHIRE OF J.O. PERSONNEL WHOSE  EXISTING CONTACTS FROM SEPT. 14 THROUGH DEC. 30,2026</t>
  </si>
  <si>
    <t>SEPTEMBER 3-10-24,2026</t>
  </si>
  <si>
    <t>DINALUNGAN/DILASAG/CASIGURAN</t>
  </si>
  <si>
    <t>OCTOBER 22-29,206</t>
  </si>
  <si>
    <t>DIPACULAO/DINGALAN</t>
  </si>
  <si>
    <t>NOVEMBER 19,2026</t>
  </si>
  <si>
    <t>BRGY. DIBUT SAN LUIS</t>
  </si>
  <si>
    <t>INVITATION TO JOIN THE DIVE TEAM FOR THE PARTICIPATORY COASTAL ASSESSMENT OF SUBKAL N ANCESTRAL WATERS</t>
  </si>
  <si>
    <t>AUGUST 19-22,2026</t>
  </si>
  <si>
    <t>AUGUST 18-20-24,2026</t>
  </si>
  <si>
    <t>APCO</t>
  </si>
  <si>
    <t>SUBMISSION OF CDPS   AND OTHER [ERTINENT DOCUMENTS AND COORDINATION RE; RICE RELANTED ACTUVITIES</t>
  </si>
  <si>
    <t>PAGKANSELA NG PAGBILI NG MGA SUPPLIES NA GAGAMITIN SA PAGSASAGAWA NG SERYE UKOL SA : SCALING THE ADOPTATION OF PEST AND NUTRIENT MANAGEMENT TECHNOLOGIES FOR RICE FARMERS IN THE PROVINCE</t>
  </si>
  <si>
    <t>HON. ISIDRO GALBAN-GOV</t>
  </si>
  <si>
    <t>SUBMITTING THE CLUSTER DEVELOPMENT PLANS , CLUSTER PROFILE AND OTHER PERTINENT DOCUMENTS OF FARMER COOPERATIVE</t>
  </si>
  <si>
    <t>DIR. EDUARDO L. LAPUZ, JR., DVM</t>
  </si>
  <si>
    <t>FATTY</t>
  </si>
  <si>
    <t>08/17/2026</t>
  </si>
  <si>
    <t>AUGUST 17,2026</t>
  </si>
  <si>
    <t>BAGTU MARIA AURORA</t>
  </si>
  <si>
    <t>TO SERVED AS RESOURCE PERSON TO THE CONDUCTED TRAINING ON ASEXUAL PROPAGATION TECHNIQUES FOR FRUIT TRESS</t>
  </si>
  <si>
    <t>IKATLONG KWARTER NA PAGPUPULONG NG MGA PAMBAYANG AGRIKULTOR SA IKA 27 NG AGOSTO SA AMCO BEACH RESORT</t>
  </si>
  <si>
    <t>PAG IBIG FUND CABANATUAN</t>
  </si>
  <si>
    <t>TO HANDLE FACE TO FACE TRANSACTION</t>
  </si>
  <si>
    <t>TO ATTEND FGD AND PLANNING WORKSHOP RE; CO-CREATION OF FUTURE RICE PROJECT</t>
  </si>
  <si>
    <t>TO CONDUCT  PARTICIPATORY COASTAL RESOURCE ASSESSMENT</t>
  </si>
  <si>
    <t>3RD QUARTER JOINT MEETING OF PCPC AND PCAT-VAWC</t>
  </si>
  <si>
    <t>AUGUST18,2026  2PM</t>
  </si>
  <si>
    <t>WIDE CENTER- ATC</t>
  </si>
  <si>
    <t>PERMISSION TO MS. LEAH LOMBRES AND JOSELLE SAGAMPOD ONCE AGAIN TO JOIN US DURING THE AWARD CEREMONY FOR THE WINNER OF GSB</t>
  </si>
  <si>
    <t>AUGUST 18,2026</t>
  </si>
  <si>
    <t>QUEZON PARK BALER</t>
  </si>
  <si>
    <t>AFTEC RESERVA/MIJARES DIPACULAO</t>
  </si>
  <si>
    <t>TO ATTEND MFARMC REORGANIZATION AND MEETING OF PROVINCIAL COUNCIL OF LEADERS IN AURORA</t>
  </si>
  <si>
    <t>AUGUST 24,2026</t>
  </si>
  <si>
    <t>0..</t>
  </si>
  <si>
    <t>2026 REGIONAL SCIENCE TECHNOLOGY AND INNOVATION WEEK(RSTW) IN CENTRAL LUZON</t>
  </si>
  <si>
    <t>SEPT.2-4,2026</t>
  </si>
  <si>
    <t>CENTRAL LUZON</t>
  </si>
  <si>
    <t>WORKSHOP FOR THE ENHANCEMENT OF THE TRAINING MODULE OF THE FARMERS FIELD SCHOOL(FFS)CORN PRODUCTION</t>
  </si>
  <si>
    <t>AUGUST 19-20,2026</t>
  </si>
  <si>
    <t>PAN RESORT ABUCAY BATAAN</t>
  </si>
  <si>
    <t>ARAW NG MAGSASAKA AT MANGINGISDA ,SUMAN FESTIVAL AND AGRI FISHERY TRADE FAIR</t>
  </si>
  <si>
    <t>SAN LUIS STREET BALER AURORA</t>
  </si>
  <si>
    <t>SEPT.  2026</t>
  </si>
  <si>
    <t>GILBERTGUERRERO</t>
  </si>
  <si>
    <t>ZSL</t>
  </si>
  <si>
    <t>INVITATION TO THE ONE-DAY SECTORAL CONSULTATION ON THE PROPOSED PHILIPPINE RISE OCEAN CONSERVATION AREA(PROCA)</t>
  </si>
  <si>
    <t>SEPTEMBER 2-4,2026</t>
  </si>
  <si>
    <t>TBA</t>
  </si>
  <si>
    <t>AZBAHAEN</t>
  </si>
  <si>
    <t>TO ATTEND TRAINING OF SEEDLING PRODUCTION AND MANAGEMENT IN SUPPORT TO GSB PROJECT 1 AURORA</t>
  </si>
  <si>
    <t>TO ATTEND AWARDING CEREMONY FOR THE WINNERS OF GSB 2026</t>
  </si>
  <si>
    <t>TO ATTEND AWARDING CEREMONY FOR THE WINNERS OF GSB 2027</t>
  </si>
  <si>
    <t>08/18/2026</t>
  </si>
  <si>
    <t>AUGUSTt 13,2026</t>
  </si>
  <si>
    <t>PGA IN COLLABORATION OF PHILRICE IS IMPLEMENTING THE FUTURE RICE PROGRAM AT THE APADTC LAKABAY PALAY CUM FIELD DAY ACTIVITY ON OCT. 2026)</t>
  </si>
  <si>
    <t xml:space="preserve">DR. LOWELL D. REBILLACO,PHD </t>
  </si>
  <si>
    <t>15 PACKS</t>
  </si>
  <si>
    <t>4P's COMMUNAL GARDEN  OF BRGY. DITUMABO</t>
  </si>
  <si>
    <t>08/19/2026</t>
  </si>
  <si>
    <t>AUGUST 18-20,2026</t>
  </si>
  <si>
    <t>FTDP, APADTC,AFTEC</t>
  </si>
  <si>
    <t xml:space="preserve">SUPERVISION OF THE PROJECT ,SET-UP TILAPIA EGG INCUBATION SYTEM </t>
  </si>
  <si>
    <t>ASSIST IN THE ACTIVITIES OF THE AFTEC AND PERFORM FISHERY RELATED ACTIVITIES</t>
  </si>
  <si>
    <t>TO CONDUCT LFT</t>
  </si>
  <si>
    <t>08/18/26</t>
  </si>
  <si>
    <t>NESTOR C, ALCANTARA</t>
  </si>
  <si>
    <t>AUG.1-15</t>
  </si>
  <si>
    <t>119,121.12.00</t>
  </si>
  <si>
    <t>`````</t>
  </si>
  <si>
    <t>AUGUST 17 2026</t>
  </si>
  <si>
    <t xml:space="preserve">IBONA UNITED FARMERS AGRICULTURE COOPERATIVE </t>
  </si>
  <si>
    <t>08/20/2026</t>
  </si>
  <si>
    <t>ALEXANDER P. POSTOR</t>
  </si>
  <si>
    <t>TO PICK UP 50 SACKS OF RICE</t>
  </si>
  <si>
    <t>TO SERVED AS JUDGE FOR SUSTAINABLE AGRICULTURE CONTEST 2026 IN LINE WITH DOST-DEPED</t>
  </si>
  <si>
    <t>AUGUST 28,2026</t>
  </si>
  <si>
    <t>BALER,MARIA,SAN LUIS</t>
  </si>
  <si>
    <t>TO ASSIST IN THE CONDUCT OF CITIZEN PARTICIPATORY AUDIT 2026 UNDER COA OF THE DA-RFO3</t>
  </si>
  <si>
    <t>2026-08-550</t>
  </si>
  <si>
    <t>2026-08-551</t>
  </si>
  <si>
    <t>2026-08-552</t>
  </si>
  <si>
    <t>2026-08-553</t>
  </si>
  <si>
    <t>2026-08-554</t>
  </si>
  <si>
    <t>67TH FOUNDATION ANNIVERSARY ON AUGUST 21-25,2026 "ARAW NG MAGSASAKA"</t>
  </si>
  <si>
    <t>AUGUST 22,2026</t>
  </si>
  <si>
    <t>PROVINCIAL CULTURE AFFAIRS DIVISION</t>
  </si>
  <si>
    <t>1ST PROVINCIAL JOINT MEETING FOR IP MONTH CELEBRATION CY 2026</t>
  </si>
  <si>
    <t>ANNEX CONFERENCE HALL</t>
  </si>
  <si>
    <t>ARVIC L. ADALID</t>
  </si>
  <si>
    <t>AUGUST 25-26, 2026</t>
  </si>
  <si>
    <t>AUGUST 25-26, 2027</t>
  </si>
  <si>
    <t>AUGUST 25-26, 2028</t>
  </si>
  <si>
    <t>AUGUST 25-26, 2029</t>
  </si>
  <si>
    <t>AUGUST 25-26, 2030</t>
  </si>
  <si>
    <t>TO ASSIST IN THE CONDUCT OF CITIZEN PARTICIPATORY AUDIT 20226 UNDER COA OF THE DA-  RFO III</t>
  </si>
  <si>
    <t>AUGUST 25-26</t>
  </si>
  <si>
    <t>60 DIESEL</t>
  </si>
  <si>
    <t>AUGUST 24, 2026</t>
  </si>
  <si>
    <t>15 DIESEL</t>
  </si>
  <si>
    <t>AUGUST 24,2027</t>
  </si>
  <si>
    <t>TO DRIVE RP VEHICLE IN THE CONDUCT OF CITIZEN PARTICIPATORY AUDIT 2026 UNDER COA OF THE DA-RFO4</t>
  </si>
  <si>
    <t>AUGUST 25-26, 2031</t>
  </si>
  <si>
    <t>TO DRIVE RP VEHICLE IN THE CONDUCT OF CPA 20226 UNDER COA OF THE DA-  RFO III</t>
  </si>
  <si>
    <t>NAMED3:E5</t>
  </si>
  <si>
    <t>DAWIN BAUTISTA</t>
  </si>
  <si>
    <t>AUGUST 26-27,2026</t>
  </si>
  <si>
    <t>DA-PHILRICE</t>
  </si>
  <si>
    <t>PHIL RICE WILL CONDUCT SPECIAL COORDINATION MEETING PROVINCIAL/MUNICIPAL LGU PARTNERS ON THE IMPLEMENTATION OF THE RCEF SEED PROGRAM</t>
  </si>
  <si>
    <t>AUGUST 27,2026  8AM-2:30PM</t>
  </si>
  <si>
    <t xml:space="preserve">FARM TOURISM DEVELOPMENT PROJECT </t>
  </si>
  <si>
    <t>AUGUST 27,2026</t>
  </si>
  <si>
    <t>08/24/2026</t>
  </si>
  <si>
    <t xml:space="preserve">CENTRAL AURORA                                                      </t>
  </si>
  <si>
    <t>TO SERVED AS JUDGE FOR SUSTAINABLE AGRICULTURE CONTEST 2026IN THE LINE WITH DOST-DEPED</t>
  </si>
  <si>
    <t>ALLIAH JEN LAURENO</t>
  </si>
  <si>
    <t>SUPPLY AND DELIVERY OF VEGETABLE SEEDS</t>
  </si>
  <si>
    <t>TO BE DISTRIBUTE TO VEGETABLE FARMERS ASSOCIATION AND VEGETABLE GROWERS</t>
  </si>
  <si>
    <t>2,00,000.00</t>
  </si>
  <si>
    <t>BALAER, MARIA, SANLUIS</t>
  </si>
  <si>
    <t>BARANGAY KADAYAKAN MARIA AURORA</t>
  </si>
  <si>
    <t>TO ASSIST IN THE CONDUCT OF ORIENTATION SA KALUSUGAN NUTRISYON NG MANGNANANAY ACT</t>
  </si>
  <si>
    <t>PAGPUPULONG PARA SA PAG-AAYON KASAMA ANG MGA PROCUREMENT LIASON</t>
  </si>
  <si>
    <t>AGOSTO 25,2026  8AM</t>
  </si>
  <si>
    <t>CONDUCT FOLLOWING PROCUREMENT ACTIVITIES TO BE HELD AT BAC OFFICE</t>
  </si>
  <si>
    <t>SEPT. 2-`4-15-16-17-21-22,2026</t>
  </si>
  <si>
    <t>TALAAN NG SAHOD, KAAKIBAT ANG MGA DOKUMENTO PARA SAJ.O NA KAWANI NG TANGGAPAN ITO NA SUMASAKLAW SA PANAHON MULA IKA 18 HANNAGNG IKA 10 NG AGOSTO</t>
  </si>
  <si>
    <t>G, JUDE CARMELO Q. FULGAR</t>
  </si>
  <si>
    <t xml:space="preserve">WACS TRAINING AND RE-ORIENTATION </t>
  </si>
  <si>
    <t>AGOSTO 25-26,2026  1PM</t>
  </si>
  <si>
    <t>APADTC, AFTEC</t>
  </si>
  <si>
    <t>SUPERVISION OF PROJECT/SET- UO TILAPIA EGG INCUBATION SYSTEM IN PREPARATION TO SEX REVERSAL OF TILAPIA</t>
  </si>
  <si>
    <t xml:space="preserve"> AFTEC</t>
  </si>
  <si>
    <t>ASSIST IN THE ACTIVITIES OF THE AFTEC AND PERFORM OTHER FISHERY RELATED ACTIVITIES</t>
  </si>
  <si>
    <t>AUGUST 26,2026</t>
  </si>
  <si>
    <t>SPTEMBER 3,2026</t>
  </si>
  <si>
    <t>SEPTEMBER 2,2026</t>
  </si>
  <si>
    <t>BACOLOR PAMPANGA</t>
  </si>
  <si>
    <t>TO ATTEND THE CELEBRATION OF SCIENTIFIC ADVANCEMENT IN THE REGION-THE RSTW IN CENTRAL LUZON</t>
  </si>
  <si>
    <t>FISHPOND MONITORING AND GATHERRING DATA OF MARINE HARVEST REPORT</t>
  </si>
  <si>
    <t>DA-RFO3 /OFFICE OF THE GOVERNOR</t>
  </si>
  <si>
    <t>NEGOTIATED PROCUREMENT UNDER REPUBLIC ACT NO. 11321, OTHERWISE KNOW AS THE SAGIP SAKA ACT THE FFEDIS IS THE DA'S UNIVERSAL REGISTRY AND DATA BASE</t>
  </si>
  <si>
    <t>KAUGNAY SA PAMAMAHAGI NG INTERVENTION PARA SA MGA MAGSASAKA NG SAGING SA ILALIM NG HVCDP, ANG NASABING PAMAMAHAGI AY GAGANAPIN SA APADTC SA IKA 3 NG SETYEMBRE 2026</t>
  </si>
  <si>
    <t>MAO DIPACULAO, MAO SAN LUIS</t>
  </si>
  <si>
    <t>08/25/2026</t>
  </si>
  <si>
    <t>ROS, TARLAC CITY</t>
  </si>
  <si>
    <t>TO COORDINATE TO THE REGIONAL STAFF THE INTERVENTION UNDER HVCDP</t>
  </si>
  <si>
    <t>AUGUST 25,2026  1PM</t>
  </si>
  <si>
    <t>3RD QUARTER MEETING TWG DRR-CCAM RE. PROJECT LAWA AT BINHI</t>
  </si>
  <si>
    <t>AUGUST 27,2026  1:30PM</t>
  </si>
  <si>
    <t>PSWDO CONFERENCE ROOM</t>
  </si>
  <si>
    <t>2026-08-555</t>
  </si>
  <si>
    <t>2026-08-556</t>
  </si>
  <si>
    <t>2026-08-557</t>
  </si>
  <si>
    <t>2026-08-558</t>
  </si>
  <si>
    <t>2026-08-559</t>
  </si>
  <si>
    <t>2026-08-560</t>
  </si>
  <si>
    <t>2026-08-561</t>
  </si>
  <si>
    <t>2026-08-562</t>
  </si>
  <si>
    <t>2026-08-563</t>
  </si>
  <si>
    <t xml:space="preserve">PROVINCIAL CRM PLAN DEVELOPMENT WORKSHOP </t>
  </si>
  <si>
    <t>SEPTEMBER 8-10,2026</t>
  </si>
  <si>
    <t>MORENO KABIRAN</t>
  </si>
  <si>
    <t>KAHILINGAN SA PAGGAMIT NG MGA SILID NG APADTC BILANG TULUYAN NG MGA KALAHOK SA PAGDIRIWANG NG BUWAN NG MGA KATUTUBO</t>
  </si>
  <si>
    <t>OCTOBRE 21-23,2026</t>
  </si>
  <si>
    <t>08/26/2027</t>
  </si>
  <si>
    <t>ORIENTATION ON THE SAGIP SAKA ACT AND FFEDIS ON SEPTEMBER 17,2026 AT SUBIC BAY</t>
  </si>
  <si>
    <t>PAYMENT FOR MARINE AND AGRICULTURAL  SUPPLY</t>
  </si>
  <si>
    <t>INVATATION TOBREASTFEEDING SUMMIT AND BUNTIS CONGRESS</t>
  </si>
  <si>
    <t xml:space="preserve">AUGUST 27,2026  8AM </t>
  </si>
  <si>
    <t>PROVINCIAL CAPITOL GROUNDS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</si>
</sst>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7" x14ac:knownFonts="1">
    <font>
      <sz val="11"/>
      <color theme="1"/>
      <name val="Calibri"/>
      <family val="2"/>
      <scheme val="minor"/>
    </font>
    <font>
      <sz val="16"/>
      <color theme="1"/>
      <name val="Times New Roman"/>
      <family val="1"/>
    </font>
    <font>
      <sz val="12"/>
      <color theme="1"/>
      <name val="Times New Roman"/>
      <family val="1"/>
    </font>
    <font>
      <b/>
      <sz val="16"/>
      <color theme="1"/>
      <name val="Times New Roman"/>
      <family val="1"/>
    </font>
    <font>
      <sz val="10"/>
      <color theme="1"/>
      <name val="Times New Roman"/>
      <family val="1"/>
    </font>
    <font>
      <sz val="8"/>
      <name val="Calibri"/>
      <family val="2"/>
      <scheme val="minor"/>
    </font>
    <font>
      <b/>
      <sz val="24"/>
      <color theme="1"/>
      <name val="Times New Roman"/>
      <family val="1"/>
    </font>
    <font>
      <b/>
      <sz val="12"/>
      <color theme="1"/>
      <name val="Times New Roman"/>
      <family val="1"/>
    </font>
    <font>
      <u/>
      <sz val="11"/>
      <color theme="10"/>
      <name val="Calibri"/>
      <family val="2"/>
      <scheme val="minor"/>
    </font>
    <font>
      <u/>
      <sz val="16"/>
      <color theme="10"/>
      <name val="Calibri"/>
      <family val="2"/>
      <scheme val="minor"/>
    </font>
    <font>
      <b/>
      <sz val="11"/>
      <color rgb="FF002060"/>
      <name val="Calibri"/>
      <family val="2"/>
      <scheme val="minor"/>
    </font>
    <font>
      <sz val="11"/>
      <color theme="1"/>
      <name val="Times New Roman"/>
      <family val="1"/>
    </font>
    <font>
      <sz val="9"/>
      <color indexed="81"/>
      <name val="Tahoma"/>
      <family val="2"/>
    </font>
    <font>
      <b/>
      <sz val="9"/>
      <color indexed="81"/>
      <name val="Tahoma"/>
      <family val="2"/>
    </font>
    <font>
      <b/>
      <u/>
      <sz val="12"/>
      <color theme="1"/>
      <name val="Times New Roman"/>
      <family val="1"/>
    </font>
    <font>
      <u/>
      <sz val="12"/>
      <color theme="1"/>
      <name val="Times New Roman"/>
      <family val="1"/>
    </font>
    <font>
      <b/>
      <sz val="11"/>
      <color theme="0"/>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9"/>
        <bgColor indexed="64"/>
      </patternFill>
    </fill>
    <fill>
      <patternFill patternType="solid">
        <fgColor theme="9" tint="-0.249977111117893"/>
        <bgColor indexed="64"/>
      </patternFill>
    </fill>
    <fill>
      <patternFill patternType="solid">
        <fgColor rgb="FFA5A5A5"/>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8" fillId="0" borderId="0" applyNumberFormat="0" applyFill="0" applyBorder="0" applyAlignment="0" applyProtection="0"/>
    <xf numFmtId="0" fontId="16" fillId="6" borderId="6" applyNumberFormat="0" applyAlignment="0" applyProtection="0"/>
  </cellStyleXfs>
  <cellXfs count="118">
    <xf numFmtId="0" fontId="0" fillId="0" borderId="0" xfId="0"/>
    <xf numFmtId="0" fontId="1" fillId="0" borderId="0" xfId="0" applyFont="1"/>
    <xf numFmtId="0" fontId="4" fillId="0" borderId="1" xfId="0" applyFont="1" applyBorder="1"/>
    <xf numFmtId="0" fontId="2" fillId="0" borderId="1" xfId="0" applyFont="1" applyBorder="1"/>
    <xf numFmtId="0" fontId="3" fillId="2" borderId="1" xfId="0" applyFont="1" applyFill="1" applyBorder="1" applyAlignment="1">
      <alignment horizontal="center" vertical="center"/>
    </xf>
    <xf numFmtId="0" fontId="2" fillId="0" borderId="1" xfId="0" applyFont="1" applyBorder="1" applyAlignment="1">
      <alignment horizontal="left"/>
    </xf>
    <xf numFmtId="0" fontId="2" fillId="0" borderId="1" xfId="0" applyFont="1" applyBorder="1" applyAlignment="1">
      <alignment horizontal="left"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xf numFmtId="0" fontId="4" fillId="0" borderId="1" xfId="0" applyFont="1" applyBorder="1" applyAlignment="1">
      <alignment horizontal="center" vertical="center"/>
    </xf>
    <xf numFmtId="0" fontId="4" fillId="0" borderId="1" xfId="0" applyFont="1" applyBorder="1" applyAlignment="1">
      <alignment horizontal="left"/>
    </xf>
    <xf numFmtId="0" fontId="4" fillId="0" borderId="1" xfId="0" applyFont="1" applyBorder="1" applyAlignment="1">
      <alignment horizontal="left" vertical="center"/>
    </xf>
    <xf numFmtId="0" fontId="2" fillId="0" borderId="1" xfId="0" applyFont="1" applyBorder="1" applyAlignment="1">
      <alignment vertical="center" wrapText="1"/>
    </xf>
    <xf numFmtId="14"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0" borderId="1" xfId="0" applyFont="1" applyBorder="1" applyAlignment="1">
      <alignment wrapText="1"/>
    </xf>
    <xf numFmtId="0" fontId="3" fillId="2" borderId="2" xfId="0" applyFont="1" applyFill="1" applyBorder="1" applyAlignment="1">
      <alignment horizontal="center" vertical="center"/>
    </xf>
    <xf numFmtId="0" fontId="2" fillId="3" borderId="1" xfId="0" applyFont="1" applyFill="1" applyBorder="1" applyAlignment="1">
      <alignment vertical="center" wrapText="1"/>
    </xf>
    <xf numFmtId="0" fontId="1" fillId="3" borderId="1" xfId="0" applyFont="1" applyFill="1" applyBorder="1"/>
    <xf numFmtId="0" fontId="2" fillId="0" borderId="1" xfId="0" applyFont="1" applyBorder="1" applyAlignment="1">
      <alignment horizontal="center"/>
    </xf>
    <xf numFmtId="0" fontId="4" fillId="0" borderId="1" xfId="0" applyFont="1" applyBorder="1" applyAlignment="1">
      <alignment horizontal="center"/>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center" wrapText="1"/>
    </xf>
    <xf numFmtId="0" fontId="1" fillId="3" borderId="0" xfId="0" applyFont="1" applyFill="1"/>
    <xf numFmtId="1"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xf>
    <xf numFmtId="17" fontId="2" fillId="0" borderId="1" xfId="0" applyNumberFormat="1" applyFont="1" applyBorder="1" applyAlignment="1">
      <alignment horizontal="center" vertical="center" wrapText="1"/>
    </xf>
    <xf numFmtId="0" fontId="2" fillId="3" borderId="1" xfId="0" applyFont="1" applyFill="1" applyBorder="1"/>
    <xf numFmtId="0" fontId="2" fillId="0" borderId="1" xfId="0" applyFont="1" applyBorder="1" applyAlignment="1">
      <alignment horizontal="left" vertical="center" wrapText="1"/>
    </xf>
    <xf numFmtId="14" fontId="2" fillId="0" borderId="1" xfId="0" applyNumberFormat="1" applyFont="1" applyBorder="1" applyAlignment="1">
      <alignment horizontal="center" vertical="center" wrapText="1"/>
    </xf>
    <xf numFmtId="4" fontId="2" fillId="0" borderId="1" xfId="0" applyNumberFormat="1" applyFont="1" applyBorder="1" applyAlignment="1">
      <alignment horizontal="center" vertical="center" wrapText="1"/>
    </xf>
    <xf numFmtId="14" fontId="2" fillId="3"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 fontId="2" fillId="0" borderId="1" xfId="0" applyNumberFormat="1" applyFont="1" applyBorder="1" applyAlignment="1">
      <alignment horizontal="center" vertical="center"/>
    </xf>
    <xf numFmtId="4" fontId="1" fillId="0" borderId="1" xfId="0" applyNumberFormat="1" applyFont="1" applyBorder="1"/>
    <xf numFmtId="4" fontId="2" fillId="0" borderId="1" xfId="0" applyNumberFormat="1" applyFont="1" applyBorder="1" applyAlignment="1">
      <alignment horizontal="left" vertical="center"/>
    </xf>
    <xf numFmtId="4" fontId="2" fillId="3" borderId="1" xfId="0" applyNumberFormat="1" applyFont="1" applyFill="1" applyBorder="1" applyAlignment="1">
      <alignment horizontal="left" vertical="center"/>
    </xf>
    <xf numFmtId="4" fontId="4" fillId="0" borderId="1" xfId="0" applyNumberFormat="1" applyFont="1" applyBorder="1" applyAlignment="1">
      <alignment horizontal="left" vertical="center"/>
    </xf>
    <xf numFmtId="4" fontId="1" fillId="0" borderId="1" xfId="0" applyNumberFormat="1" applyFont="1" applyBorder="1" applyAlignment="1">
      <alignment horizontal="left"/>
    </xf>
    <xf numFmtId="4" fontId="2" fillId="3" borderId="1" xfId="0" applyNumberFormat="1" applyFont="1" applyFill="1" applyBorder="1" applyAlignment="1">
      <alignment horizontal="center" vertical="center" wrapText="1"/>
    </xf>
    <xf numFmtId="4" fontId="2" fillId="0" borderId="1" xfId="0" applyNumberFormat="1" applyFont="1" applyBorder="1" applyAlignment="1">
      <alignment horizontal="center"/>
    </xf>
    <xf numFmtId="4" fontId="2" fillId="0" borderId="1" xfId="0" applyNumberFormat="1" applyFont="1" applyBorder="1" applyAlignment="1">
      <alignment horizontal="center" wrapText="1"/>
    </xf>
    <xf numFmtId="4" fontId="2" fillId="0" borderId="1" xfId="0" applyNumberFormat="1" applyFont="1" applyBorder="1"/>
    <xf numFmtId="4" fontId="4" fillId="0" borderId="1" xfId="0" applyNumberFormat="1" applyFont="1" applyBorder="1"/>
    <xf numFmtId="4" fontId="2" fillId="0" borderId="1" xfId="0" applyNumberFormat="1" applyFont="1" applyBorder="1" applyAlignment="1">
      <alignment horizontal="left" vertical="center" wrapText="1"/>
    </xf>
    <xf numFmtId="49" fontId="2" fillId="0" borderId="1" xfId="0" applyNumberFormat="1" applyFont="1" applyBorder="1" applyAlignment="1">
      <alignment horizontal="center" vertical="center" wrapText="1"/>
    </xf>
    <xf numFmtId="0" fontId="2" fillId="3" borderId="1" xfId="0" applyFont="1" applyFill="1" applyBorder="1" applyAlignment="1">
      <alignment horizontal="left" vertical="center" wrapText="1"/>
    </xf>
    <xf numFmtId="0" fontId="1" fillId="0" borderId="1" xfId="0" applyFont="1" applyBorder="1" applyAlignment="1">
      <alignment wrapText="1"/>
    </xf>
    <xf numFmtId="4" fontId="1" fillId="0" borderId="0" xfId="0" applyNumberFormat="1" applyFont="1" applyAlignment="1">
      <alignment horizontal="center" vertical="top"/>
    </xf>
    <xf numFmtId="0" fontId="2" fillId="0" borderId="1" xfId="0" applyFont="1" applyBorder="1" applyAlignment="1">
      <alignment horizontal="left" vertical="top" wrapText="1"/>
    </xf>
    <xf numFmtId="0" fontId="0" fillId="0" borderId="0" xfId="0" applyAlignment="1">
      <alignment horizontal="center"/>
    </xf>
    <xf numFmtId="0" fontId="8" fillId="0" borderId="1" xfId="1" applyBorder="1"/>
    <xf numFmtId="0" fontId="1" fillId="0" borderId="4" xfId="0" applyFont="1" applyBorder="1"/>
    <xf numFmtId="0" fontId="1" fillId="3" borderId="4" xfId="0" applyFont="1" applyFill="1" applyBorder="1"/>
    <xf numFmtId="0" fontId="9" fillId="0" borderId="1" xfId="1" applyFont="1" applyBorder="1"/>
    <xf numFmtId="0" fontId="8" fillId="0" borderId="0" xfId="1"/>
    <xf numFmtId="0" fontId="8" fillId="0" borderId="5" xfId="1" applyBorder="1"/>
    <xf numFmtId="0" fontId="3" fillId="2" borderId="0" xfId="0" applyFont="1" applyFill="1"/>
    <xf numFmtId="0" fontId="1" fillId="2" borderId="0" xfId="0" applyFont="1" applyFill="1"/>
    <xf numFmtId="0" fontId="0" fillId="0" borderId="0" xfId="0" applyAlignment="1">
      <alignment wrapText="1"/>
    </xf>
    <xf numFmtId="0" fontId="2" fillId="0" borderId="1" xfId="0" applyFont="1" applyBorder="1" applyAlignment="1">
      <alignment horizontal="left" wrapText="1"/>
    </xf>
    <xf numFmtId="14" fontId="2" fillId="0" borderId="1" xfId="0" applyNumberFormat="1" applyFont="1" applyBorder="1" applyAlignment="1">
      <alignment horizontal="left"/>
    </xf>
    <xf numFmtId="14" fontId="0" fillId="0" borderId="0" xfId="0" applyNumberFormat="1"/>
    <xf numFmtId="0" fontId="0" fillId="0" borderId="0" xfId="0" applyAlignment="1">
      <alignment vertical="center"/>
    </xf>
    <xf numFmtId="0" fontId="0" fillId="4" borderId="0" xfId="0" applyFill="1" applyAlignment="1">
      <alignment horizontal="center" vertical="center"/>
    </xf>
    <xf numFmtId="0" fontId="0" fillId="4" borderId="0" xfId="0" applyFill="1" applyAlignment="1">
      <alignment horizontal="center" wrapText="1"/>
    </xf>
    <xf numFmtId="0" fontId="10" fillId="4" borderId="0" xfId="0" applyFont="1" applyFill="1" applyAlignment="1">
      <alignment horizontal="center"/>
    </xf>
    <xf numFmtId="0" fontId="0" fillId="4" borderId="0" xfId="0" applyFill="1" applyAlignment="1">
      <alignment horizont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14" fontId="2" fillId="0" borderId="1" xfId="0" applyNumberFormat="1" applyFont="1" applyBorder="1" applyAlignment="1">
      <alignment horizontal="center"/>
    </xf>
    <xf numFmtId="0" fontId="1" fillId="0" borderId="0" xfId="0" applyFont="1" applyAlignment="1">
      <alignment wrapText="1"/>
    </xf>
    <xf numFmtId="0" fontId="0" fillId="0" borderId="0" xfId="0" applyAlignment="1">
      <alignment horizontal="left"/>
    </xf>
    <xf numFmtId="14" fontId="2" fillId="0" borderId="1" xfId="0" applyNumberFormat="1" applyFont="1" applyBorder="1"/>
    <xf numFmtId="14" fontId="0" fillId="0" borderId="0" xfId="0" applyNumberFormat="1" applyAlignment="1">
      <alignment horizontal="left" vertical="top"/>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right"/>
    </xf>
    <xf numFmtId="0" fontId="14" fillId="0" borderId="1" xfId="0" applyFont="1" applyBorder="1"/>
    <xf numFmtId="0" fontId="2" fillId="5" borderId="0" xfId="0" applyFont="1" applyFill="1" applyAlignment="1">
      <alignment horizontal="center" vertical="center"/>
    </xf>
    <xf numFmtId="0" fontId="4" fillId="5" borderId="0" xfId="0" applyFont="1" applyFill="1" applyAlignment="1">
      <alignment horizontal="center" vertical="center"/>
    </xf>
    <xf numFmtId="0" fontId="4" fillId="0" borderId="0" xfId="0" applyFont="1"/>
    <xf numFmtId="4" fontId="4" fillId="0" borderId="0" xfId="0" applyNumberFormat="1" applyFont="1"/>
    <xf numFmtId="0" fontId="4" fillId="0" borderId="0" xfId="0" applyFont="1" applyAlignment="1">
      <alignment horizontal="center" vertical="center"/>
    </xf>
    <xf numFmtId="4" fontId="4" fillId="0" borderId="0" xfId="0" applyNumberFormat="1" applyFont="1" applyAlignment="1">
      <alignment horizontal="center" vertical="center"/>
    </xf>
    <xf numFmtId="0" fontId="7" fillId="5" borderId="0" xfId="0" applyFont="1" applyFill="1" applyAlignment="1">
      <alignment horizontal="center" vertical="center"/>
    </xf>
    <xf numFmtId="0" fontId="4" fillId="0" borderId="0" xfId="0" applyFont="1" applyAlignment="1">
      <alignment horizontal="center" vertical="center" wrapText="1"/>
    </xf>
    <xf numFmtId="14" fontId="1" fillId="0" borderId="1" xfId="0" applyNumberFormat="1" applyFont="1" applyBorder="1"/>
    <xf numFmtId="14" fontId="0" fillId="0" borderId="0" xfId="0" applyNumberFormat="1" applyAlignment="1">
      <alignment horizontal="center"/>
    </xf>
    <xf numFmtId="14" fontId="4" fillId="0" borderId="0" xfId="0" applyNumberFormat="1" applyFont="1" applyAlignment="1">
      <alignment horizontal="center" vertical="center"/>
    </xf>
    <xf numFmtId="14" fontId="2" fillId="0" borderId="1" xfId="0" applyNumberFormat="1" applyFont="1" applyBorder="1" applyAlignment="1">
      <alignment horizontal="left" vertical="center"/>
    </xf>
    <xf numFmtId="14" fontId="1" fillId="0" borderId="1" xfId="0" applyNumberFormat="1" applyFont="1" applyBorder="1" applyAlignment="1">
      <alignment wrapText="1"/>
    </xf>
    <xf numFmtId="0" fontId="1" fillId="0" borderId="1" xfId="0" applyFont="1" applyBorder="1" applyAlignment="1">
      <alignment horizontal="right"/>
    </xf>
    <xf numFmtId="0" fontId="1" fillId="0" borderId="1" xfId="0" applyFont="1" applyBorder="1" applyAlignment="1">
      <alignment horizontal="center"/>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2" fillId="0" borderId="0" xfId="0" applyFont="1" applyAlignment="1">
      <alignment horizontal="center" vertical="center"/>
    </xf>
    <xf numFmtId="164" fontId="2" fillId="0" borderId="1" xfId="0" applyNumberFormat="1" applyFont="1" applyBorder="1" applyAlignment="1">
      <alignment horizontal="center" vertical="center"/>
    </xf>
    <xf numFmtId="17" fontId="2" fillId="0" borderId="1" xfId="0" applyNumberFormat="1" applyFont="1" applyBorder="1" applyAlignment="1">
      <alignment horizontal="center" vertical="center"/>
    </xf>
    <xf numFmtId="4" fontId="2"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xf>
    <xf numFmtId="4" fontId="1" fillId="0" borderId="0" xfId="0" applyNumberFormat="1" applyFont="1" applyAlignment="1">
      <alignment horizontal="center" vertical="center"/>
    </xf>
    <xf numFmtId="0" fontId="16" fillId="6" borderId="6" xfId="2"/>
    <xf numFmtId="0" fontId="1" fillId="0" borderId="0" xfId="0" applyFont="1" applyAlignment="1">
      <alignment horizontal="right"/>
    </xf>
    <xf numFmtId="0" fontId="6" fillId="3" borderId="0" xfId="0" applyFont="1" applyFill="1" applyAlignment="1">
      <alignment horizont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0" xfId="0" applyFont="1" applyFill="1" applyAlignment="1">
      <alignment horizontal="center"/>
    </xf>
    <xf numFmtId="0" fontId="1"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7" fillId="2" borderId="1" xfId="0" applyFont="1" applyFill="1" applyBorder="1" applyAlignment="1">
      <alignment horizontal="center" vertical="center" wrapText="1"/>
    </xf>
    <xf numFmtId="0" fontId="3" fillId="2" borderId="4" xfId="0" applyFont="1" applyFill="1" applyBorder="1" applyAlignment="1">
      <alignment horizontal="center" vertical="center"/>
    </xf>
  </cellXfs>
  <cellStyles count="3">
    <cellStyle name="Check Cell" xfId="2" builtinId="2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32869-BC37-40A6-B771-27FBA9F5539B}">
  <dimension ref="A1:P1037"/>
  <sheetViews>
    <sheetView topLeftCell="B1" zoomScale="70" zoomScaleNormal="70" workbookViewId="0">
      <pane ySplit="4" topLeftCell="A725" activePane="bottomLeft" state="frozen"/>
      <selection pane="bottomLeft" activeCell="G751" sqref="G751"/>
    </sheetView>
  </sheetViews>
  <sheetFormatPr defaultRowHeight="20.25" x14ac:dyDescent="0.3"/>
  <cols>
    <col min="1" max="2" width="20.7109375" style="1" customWidth="1"/>
    <col min="3" max="3" width="15.7109375" style="1" customWidth="1"/>
    <col min="4" max="4" width="45.7109375" style="1" customWidth="1"/>
    <col min="5" max="5" width="30.7109375" style="1" customWidth="1"/>
    <col min="6" max="6" width="75.7109375" style="1" customWidth="1"/>
    <col min="7" max="7" width="134.85546875" style="1" customWidth="1"/>
    <col min="8" max="16384" width="9.140625" style="1"/>
  </cols>
  <sheetData>
    <row r="1" spans="1:7" x14ac:dyDescent="0.3">
      <c r="A1" s="112" t="s">
        <v>3473</v>
      </c>
      <c r="B1" s="112"/>
      <c r="C1" s="112"/>
      <c r="D1" s="112"/>
      <c r="E1" s="112"/>
      <c r="F1" s="112"/>
      <c r="G1" s="112"/>
    </row>
    <row r="3" spans="1:7" x14ac:dyDescent="0.3">
      <c r="A3" s="110" t="s">
        <v>1</v>
      </c>
      <c r="B3" s="110"/>
      <c r="C3" s="110" t="s">
        <v>4</v>
      </c>
      <c r="D3" s="110" t="s">
        <v>5</v>
      </c>
      <c r="E3" s="110" t="s">
        <v>6</v>
      </c>
      <c r="F3" s="110" t="s">
        <v>7</v>
      </c>
      <c r="G3" s="110" t="s">
        <v>8</v>
      </c>
    </row>
    <row r="4" spans="1:7" x14ac:dyDescent="0.3">
      <c r="A4" s="4" t="s">
        <v>2</v>
      </c>
      <c r="B4" s="4" t="s">
        <v>3</v>
      </c>
      <c r="C4" s="110"/>
      <c r="D4" s="110"/>
      <c r="E4" s="110"/>
      <c r="F4" s="110"/>
      <c r="G4" s="110"/>
    </row>
    <row r="5" spans="1:7" ht="30" customHeight="1" x14ac:dyDescent="0.3">
      <c r="A5" s="7">
        <v>46143</v>
      </c>
      <c r="B5" s="8"/>
      <c r="C5" s="8"/>
      <c r="D5" s="6" t="s">
        <v>9</v>
      </c>
      <c r="E5" s="7">
        <v>46174</v>
      </c>
      <c r="F5" s="6" t="s">
        <v>10</v>
      </c>
      <c r="G5" s="13" t="s">
        <v>12</v>
      </c>
    </row>
    <row r="6" spans="1:7" ht="30" customHeight="1" x14ac:dyDescent="0.3">
      <c r="A6" s="8"/>
      <c r="B6" s="8"/>
      <c r="C6" s="8"/>
      <c r="D6" s="6" t="s">
        <v>13</v>
      </c>
      <c r="E6" s="7">
        <v>46174</v>
      </c>
      <c r="F6" s="6" t="s">
        <v>10</v>
      </c>
      <c r="G6" s="13" t="s">
        <v>12</v>
      </c>
    </row>
    <row r="7" spans="1:7" ht="30" customHeight="1" x14ac:dyDescent="0.3">
      <c r="A7" s="8"/>
      <c r="B7" s="8"/>
      <c r="C7" s="8"/>
      <c r="D7" s="6" t="s">
        <v>14</v>
      </c>
      <c r="E7" s="7">
        <v>46174</v>
      </c>
      <c r="F7" s="6" t="s">
        <v>10</v>
      </c>
      <c r="G7" s="13" t="s">
        <v>12</v>
      </c>
    </row>
    <row r="8" spans="1:7" ht="30" customHeight="1" x14ac:dyDescent="0.3">
      <c r="A8" s="8"/>
      <c r="B8" s="8"/>
      <c r="C8" s="8"/>
      <c r="D8" s="6" t="s">
        <v>15</v>
      </c>
      <c r="E8" s="7">
        <v>46174</v>
      </c>
      <c r="F8" s="6" t="s">
        <v>10</v>
      </c>
      <c r="G8" s="13" t="s">
        <v>12</v>
      </c>
    </row>
    <row r="9" spans="1:7" ht="30" customHeight="1" x14ac:dyDescent="0.3">
      <c r="A9" s="7">
        <v>46174</v>
      </c>
      <c r="B9" s="8"/>
      <c r="C9" s="8"/>
      <c r="D9" s="6" t="s">
        <v>16</v>
      </c>
      <c r="E9" s="7">
        <v>46174</v>
      </c>
      <c r="F9" s="6" t="s">
        <v>10</v>
      </c>
      <c r="G9" s="13" t="s">
        <v>12</v>
      </c>
    </row>
    <row r="10" spans="1:7" s="26" customFormat="1" ht="30" customHeight="1" x14ac:dyDescent="0.3">
      <c r="A10" s="14"/>
      <c r="B10" s="15"/>
      <c r="C10" s="8"/>
      <c r="D10" s="16"/>
      <c r="E10" s="14"/>
      <c r="F10" s="16"/>
      <c r="G10" s="19"/>
    </row>
    <row r="11" spans="1:7" ht="30" customHeight="1" x14ac:dyDescent="0.3">
      <c r="A11" s="8"/>
      <c r="B11" s="8"/>
      <c r="C11" s="8"/>
      <c r="D11" s="6" t="s">
        <v>17</v>
      </c>
      <c r="E11" s="7">
        <v>46174</v>
      </c>
      <c r="F11" s="6" t="s">
        <v>10</v>
      </c>
      <c r="G11" s="13" t="s">
        <v>12</v>
      </c>
    </row>
    <row r="12" spans="1:7" ht="30" customHeight="1" x14ac:dyDescent="0.3">
      <c r="A12" s="8"/>
      <c r="B12" s="8"/>
      <c r="C12" s="8"/>
      <c r="D12" s="6" t="s">
        <v>31</v>
      </c>
      <c r="E12" s="7">
        <v>46174</v>
      </c>
      <c r="F12" s="6" t="s">
        <v>10</v>
      </c>
      <c r="G12" s="13" t="s">
        <v>12</v>
      </c>
    </row>
    <row r="13" spans="1:7" ht="30" customHeight="1" x14ac:dyDescent="0.3">
      <c r="A13" s="8"/>
      <c r="B13" s="8"/>
      <c r="C13" s="8"/>
      <c r="D13" s="6" t="s">
        <v>18</v>
      </c>
      <c r="E13" s="7">
        <v>46174</v>
      </c>
      <c r="F13" s="6" t="s">
        <v>10</v>
      </c>
      <c r="G13" s="13" t="s">
        <v>12</v>
      </c>
    </row>
    <row r="14" spans="1:7" ht="30" customHeight="1" x14ac:dyDescent="0.3">
      <c r="A14" s="8"/>
      <c r="B14" s="8"/>
      <c r="C14" s="8"/>
      <c r="D14" s="6" t="s">
        <v>19</v>
      </c>
      <c r="E14" s="7">
        <v>46174</v>
      </c>
      <c r="F14" s="6" t="s">
        <v>10</v>
      </c>
      <c r="G14" s="13" t="s">
        <v>12</v>
      </c>
    </row>
    <row r="15" spans="1:7" ht="30" customHeight="1" x14ac:dyDescent="0.3">
      <c r="A15" s="8"/>
      <c r="B15" s="8"/>
      <c r="C15" s="8"/>
      <c r="D15" s="6" t="s">
        <v>32</v>
      </c>
      <c r="E15" s="7">
        <v>46174</v>
      </c>
      <c r="F15" s="6" t="s">
        <v>10</v>
      </c>
      <c r="G15" s="13" t="s">
        <v>12</v>
      </c>
    </row>
    <row r="16" spans="1:7" ht="30" customHeight="1" x14ac:dyDescent="0.3">
      <c r="A16" s="8"/>
      <c r="B16" s="8"/>
      <c r="C16" s="8"/>
      <c r="D16" s="6" t="s">
        <v>33</v>
      </c>
      <c r="E16" s="7">
        <v>46174</v>
      </c>
      <c r="F16" s="6" t="s">
        <v>10</v>
      </c>
      <c r="G16" s="13" t="s">
        <v>12</v>
      </c>
    </row>
    <row r="17" spans="1:7" ht="30" customHeight="1" x14ac:dyDescent="0.3">
      <c r="A17" s="8"/>
      <c r="B17" s="8"/>
      <c r="C17" s="8"/>
      <c r="D17" s="6" t="s">
        <v>20</v>
      </c>
      <c r="E17" s="7">
        <v>46174</v>
      </c>
      <c r="F17" s="6" t="s">
        <v>10</v>
      </c>
      <c r="G17" s="13" t="s">
        <v>12</v>
      </c>
    </row>
    <row r="18" spans="1:7" ht="30" customHeight="1" x14ac:dyDescent="0.3">
      <c r="A18" s="8"/>
      <c r="B18" s="8"/>
      <c r="C18" s="8"/>
      <c r="D18" s="6" t="s">
        <v>21</v>
      </c>
      <c r="E18" s="7">
        <v>46174</v>
      </c>
      <c r="F18" s="6" t="s">
        <v>10</v>
      </c>
      <c r="G18" s="13" t="s">
        <v>12</v>
      </c>
    </row>
    <row r="19" spans="1:7" ht="30" customHeight="1" x14ac:dyDescent="0.3">
      <c r="A19" s="8"/>
      <c r="B19" s="8"/>
      <c r="C19" s="8"/>
      <c r="D19" s="6" t="s">
        <v>22</v>
      </c>
      <c r="E19" s="7">
        <v>46174</v>
      </c>
      <c r="F19" s="6" t="s">
        <v>10</v>
      </c>
      <c r="G19" s="13" t="s">
        <v>12</v>
      </c>
    </row>
    <row r="20" spans="1:7" ht="30" customHeight="1" x14ac:dyDescent="0.3">
      <c r="A20" s="8"/>
      <c r="B20" s="8"/>
      <c r="C20" s="8"/>
      <c r="D20" s="6" t="s">
        <v>23</v>
      </c>
      <c r="E20" s="7">
        <v>46174</v>
      </c>
      <c r="F20" s="6" t="s">
        <v>10</v>
      </c>
      <c r="G20" s="13" t="s">
        <v>12</v>
      </c>
    </row>
    <row r="21" spans="1:7" ht="30" customHeight="1" x14ac:dyDescent="0.3">
      <c r="A21" s="8"/>
      <c r="B21" s="8"/>
      <c r="C21" s="8"/>
      <c r="D21" s="6" t="s">
        <v>24</v>
      </c>
      <c r="E21" s="7">
        <v>46174</v>
      </c>
      <c r="F21" s="6" t="s">
        <v>10</v>
      </c>
      <c r="G21" s="13" t="s">
        <v>12</v>
      </c>
    </row>
    <row r="22" spans="1:7" ht="30" customHeight="1" x14ac:dyDescent="0.3">
      <c r="A22" s="8"/>
      <c r="B22" s="8"/>
      <c r="C22" s="8"/>
      <c r="D22" s="6" t="s">
        <v>25</v>
      </c>
      <c r="E22" s="7">
        <v>46174</v>
      </c>
      <c r="F22" s="6" t="s">
        <v>10</v>
      </c>
      <c r="G22" s="13" t="s">
        <v>12</v>
      </c>
    </row>
    <row r="23" spans="1:7" ht="30" customHeight="1" x14ac:dyDescent="0.3">
      <c r="A23" s="8"/>
      <c r="B23" s="8"/>
      <c r="C23" s="8"/>
      <c r="D23" s="6" t="s">
        <v>26</v>
      </c>
      <c r="E23" s="7">
        <v>46174</v>
      </c>
      <c r="F23" s="6" t="s">
        <v>10</v>
      </c>
      <c r="G23" s="13" t="s">
        <v>12</v>
      </c>
    </row>
    <row r="24" spans="1:7" ht="30" customHeight="1" x14ac:dyDescent="0.3">
      <c r="A24" s="8"/>
      <c r="B24" s="8"/>
      <c r="C24" s="8"/>
      <c r="D24" s="6" t="s">
        <v>27</v>
      </c>
      <c r="E24" s="7">
        <v>46174</v>
      </c>
      <c r="F24" s="6" t="s">
        <v>10</v>
      </c>
      <c r="G24" s="13" t="s">
        <v>12</v>
      </c>
    </row>
    <row r="25" spans="1:7" ht="30" customHeight="1" x14ac:dyDescent="0.3">
      <c r="A25" s="8"/>
      <c r="B25" s="8"/>
      <c r="C25" s="8"/>
      <c r="D25" s="6" t="s">
        <v>28</v>
      </c>
      <c r="E25" s="7">
        <v>46174</v>
      </c>
      <c r="F25" s="6" t="s">
        <v>10</v>
      </c>
      <c r="G25" s="13" t="s">
        <v>12</v>
      </c>
    </row>
    <row r="26" spans="1:7" ht="30" customHeight="1" x14ac:dyDescent="0.3">
      <c r="A26" s="8"/>
      <c r="B26" s="8"/>
      <c r="C26" s="8"/>
      <c r="D26" s="6"/>
      <c r="E26" s="7"/>
      <c r="F26" s="6"/>
      <c r="G26" s="13"/>
    </row>
    <row r="27" spans="1:7" ht="30" customHeight="1" x14ac:dyDescent="0.3">
      <c r="A27" s="8" t="s">
        <v>34</v>
      </c>
      <c r="B27" s="8"/>
      <c r="C27" s="8"/>
      <c r="D27" s="6" t="s">
        <v>30</v>
      </c>
      <c r="E27" s="7">
        <v>46174</v>
      </c>
      <c r="F27" s="6" t="s">
        <v>10</v>
      </c>
      <c r="G27" s="13" t="s">
        <v>12</v>
      </c>
    </row>
    <row r="28" spans="1:7" ht="30" customHeight="1" x14ac:dyDescent="0.3">
      <c r="A28" s="8"/>
      <c r="B28" s="8"/>
      <c r="C28" s="8"/>
      <c r="D28" s="6" t="s">
        <v>29</v>
      </c>
      <c r="E28" s="7">
        <v>46174</v>
      </c>
      <c r="F28" s="6" t="s">
        <v>10</v>
      </c>
      <c r="G28" s="13" t="s">
        <v>12</v>
      </c>
    </row>
    <row r="29" spans="1:7" ht="30" customHeight="1" x14ac:dyDescent="0.3">
      <c r="A29" s="8"/>
      <c r="B29" s="8"/>
      <c r="C29" s="8"/>
      <c r="D29" s="6" t="s">
        <v>23</v>
      </c>
      <c r="E29" s="7">
        <v>46204</v>
      </c>
      <c r="F29" s="6" t="s">
        <v>10</v>
      </c>
      <c r="G29" s="3" t="s">
        <v>39</v>
      </c>
    </row>
    <row r="30" spans="1:7" ht="30" customHeight="1" x14ac:dyDescent="0.3">
      <c r="A30" s="8"/>
      <c r="B30" s="8"/>
      <c r="C30" s="8"/>
      <c r="D30" s="6" t="s">
        <v>22</v>
      </c>
      <c r="E30" s="7">
        <v>46204</v>
      </c>
      <c r="F30" s="6" t="s">
        <v>10</v>
      </c>
      <c r="G30" s="3" t="s">
        <v>39</v>
      </c>
    </row>
    <row r="31" spans="1:7" ht="30" customHeight="1" x14ac:dyDescent="0.3">
      <c r="A31" s="8"/>
      <c r="B31" s="8"/>
      <c r="C31" s="8"/>
      <c r="D31" s="6" t="s">
        <v>35</v>
      </c>
      <c r="E31" s="8" t="s">
        <v>37</v>
      </c>
      <c r="F31" s="5" t="s">
        <v>10</v>
      </c>
      <c r="G31" s="3" t="s">
        <v>39</v>
      </c>
    </row>
    <row r="32" spans="1:7" ht="30" customHeight="1" x14ac:dyDescent="0.3">
      <c r="A32" s="8"/>
      <c r="B32" s="8"/>
      <c r="C32" s="8"/>
      <c r="D32" s="6" t="s">
        <v>36</v>
      </c>
      <c r="E32" s="8" t="s">
        <v>38</v>
      </c>
      <c r="F32" s="5" t="s">
        <v>10</v>
      </c>
      <c r="G32" s="17" t="s">
        <v>40</v>
      </c>
    </row>
    <row r="33" spans="1:7" ht="30" customHeight="1" x14ac:dyDescent="0.3">
      <c r="A33" s="8"/>
      <c r="B33" s="8"/>
      <c r="C33" s="8"/>
      <c r="D33" s="6"/>
      <c r="E33" s="8"/>
      <c r="F33" s="5"/>
      <c r="G33" s="3"/>
    </row>
    <row r="34" spans="1:7" ht="30" customHeight="1" x14ac:dyDescent="0.3">
      <c r="A34" s="8" t="s">
        <v>41</v>
      </c>
      <c r="B34" s="8"/>
      <c r="C34" s="8"/>
      <c r="D34" s="6" t="s">
        <v>13</v>
      </c>
      <c r="E34" s="8" t="s">
        <v>43</v>
      </c>
      <c r="F34" s="5" t="s">
        <v>44</v>
      </c>
      <c r="G34" s="3" t="s">
        <v>45</v>
      </c>
    </row>
    <row r="35" spans="1:7" ht="30" customHeight="1" x14ac:dyDescent="0.3">
      <c r="A35" s="8"/>
      <c r="B35" s="8"/>
      <c r="C35" s="8"/>
      <c r="D35" s="6" t="s">
        <v>42</v>
      </c>
      <c r="E35" s="8" t="s">
        <v>43</v>
      </c>
      <c r="F35" s="5" t="s">
        <v>44</v>
      </c>
      <c r="G35" s="3" t="s">
        <v>45</v>
      </c>
    </row>
    <row r="36" spans="1:7" ht="30" customHeight="1" x14ac:dyDescent="0.3">
      <c r="A36" s="8"/>
      <c r="B36" s="8"/>
      <c r="C36" s="8"/>
      <c r="D36" s="6"/>
      <c r="E36" s="8"/>
      <c r="F36" s="5"/>
      <c r="G36" s="3"/>
    </row>
    <row r="37" spans="1:7" ht="30" customHeight="1" x14ac:dyDescent="0.3">
      <c r="A37" s="8" t="s">
        <v>43</v>
      </c>
      <c r="B37" s="8"/>
      <c r="C37" s="8"/>
      <c r="D37" s="6" t="s">
        <v>46</v>
      </c>
      <c r="E37" s="8" t="s">
        <v>56</v>
      </c>
      <c r="F37" s="5" t="s">
        <v>10</v>
      </c>
      <c r="G37" s="3" t="s">
        <v>57</v>
      </c>
    </row>
    <row r="38" spans="1:7" ht="30" customHeight="1" x14ac:dyDescent="0.3">
      <c r="A38" s="8"/>
      <c r="B38" s="8"/>
      <c r="C38" s="8"/>
      <c r="D38" s="6" t="s">
        <v>47</v>
      </c>
      <c r="E38" s="8" t="s">
        <v>56</v>
      </c>
      <c r="F38" s="5" t="s">
        <v>10</v>
      </c>
      <c r="G38" s="3" t="s">
        <v>57</v>
      </c>
    </row>
    <row r="39" spans="1:7" ht="30" customHeight="1" x14ac:dyDescent="0.3">
      <c r="A39" s="8"/>
      <c r="B39" s="8"/>
      <c r="C39" s="8"/>
      <c r="D39" s="6" t="s">
        <v>48</v>
      </c>
      <c r="E39" s="8" t="s">
        <v>56</v>
      </c>
      <c r="F39" s="5" t="s">
        <v>10</v>
      </c>
      <c r="G39" s="3" t="s">
        <v>57</v>
      </c>
    </row>
    <row r="40" spans="1:7" ht="30" customHeight="1" x14ac:dyDescent="0.3">
      <c r="A40" s="8"/>
      <c r="B40" s="8"/>
      <c r="C40" s="8"/>
      <c r="D40" s="6" t="s">
        <v>49</v>
      </c>
      <c r="E40" s="8" t="s">
        <v>56</v>
      </c>
      <c r="F40" s="5" t="s">
        <v>10</v>
      </c>
      <c r="G40" s="3" t="s">
        <v>57</v>
      </c>
    </row>
    <row r="41" spans="1:7" ht="30" customHeight="1" x14ac:dyDescent="0.3">
      <c r="A41" s="8"/>
      <c r="B41" s="8"/>
      <c r="C41" s="8"/>
      <c r="D41" s="6" t="s">
        <v>50</v>
      </c>
      <c r="E41" s="8" t="s">
        <v>56</v>
      </c>
      <c r="F41" s="5" t="s">
        <v>10</v>
      </c>
      <c r="G41" s="3" t="s">
        <v>57</v>
      </c>
    </row>
    <row r="42" spans="1:7" ht="30" customHeight="1" x14ac:dyDescent="0.3">
      <c r="A42" s="8"/>
      <c r="B42" s="8"/>
      <c r="C42" s="8"/>
      <c r="D42" s="6" t="s">
        <v>51</v>
      </c>
      <c r="E42" s="8" t="s">
        <v>56</v>
      </c>
      <c r="F42" s="5" t="s">
        <v>10</v>
      </c>
      <c r="G42" s="3" t="s">
        <v>57</v>
      </c>
    </row>
    <row r="43" spans="1:7" ht="30" customHeight="1" x14ac:dyDescent="0.3">
      <c r="A43" s="8"/>
      <c r="B43" s="8"/>
      <c r="C43" s="8"/>
      <c r="D43" s="6" t="s">
        <v>19</v>
      </c>
      <c r="E43" s="8" t="s">
        <v>56</v>
      </c>
      <c r="F43" s="5" t="s">
        <v>10</v>
      </c>
      <c r="G43" s="3" t="s">
        <v>57</v>
      </c>
    </row>
    <row r="44" spans="1:7" ht="30" customHeight="1" x14ac:dyDescent="0.3">
      <c r="A44" s="8"/>
      <c r="B44" s="8"/>
      <c r="C44" s="8"/>
      <c r="D44" s="6" t="s">
        <v>52</v>
      </c>
      <c r="E44" s="8" t="s">
        <v>56</v>
      </c>
      <c r="F44" s="5" t="s">
        <v>10</v>
      </c>
      <c r="G44" s="3" t="s">
        <v>57</v>
      </c>
    </row>
    <row r="45" spans="1:7" ht="30" customHeight="1" x14ac:dyDescent="0.3">
      <c r="A45" s="8"/>
      <c r="B45" s="8"/>
      <c r="C45" s="8"/>
      <c r="D45" s="6" t="s">
        <v>33</v>
      </c>
      <c r="E45" s="8" t="s">
        <v>56</v>
      </c>
      <c r="F45" s="5" t="s">
        <v>10</v>
      </c>
      <c r="G45" s="3" t="s">
        <v>60</v>
      </c>
    </row>
    <row r="46" spans="1:7" ht="30" customHeight="1" x14ac:dyDescent="0.3">
      <c r="A46" s="8"/>
      <c r="B46" s="8"/>
      <c r="C46" s="8"/>
      <c r="D46" s="6" t="s">
        <v>53</v>
      </c>
      <c r="E46" s="8" t="s">
        <v>56</v>
      </c>
      <c r="F46" s="5" t="s">
        <v>10</v>
      </c>
      <c r="G46" s="3" t="s">
        <v>60</v>
      </c>
    </row>
    <row r="47" spans="1:7" ht="30" customHeight="1" x14ac:dyDescent="0.3">
      <c r="A47" s="8"/>
      <c r="B47" s="8"/>
      <c r="C47" s="8"/>
      <c r="D47" s="6" t="s">
        <v>16</v>
      </c>
      <c r="E47" s="8" t="s">
        <v>56</v>
      </c>
      <c r="F47" s="5" t="s">
        <v>10</v>
      </c>
      <c r="G47" s="3" t="s">
        <v>60</v>
      </c>
    </row>
    <row r="48" spans="1:7" ht="30" customHeight="1" x14ac:dyDescent="0.3">
      <c r="A48" s="8"/>
      <c r="B48" s="8"/>
      <c r="C48" s="8"/>
      <c r="D48" s="6" t="s">
        <v>20</v>
      </c>
      <c r="E48" s="8" t="s">
        <v>56</v>
      </c>
      <c r="F48" s="5" t="s">
        <v>10</v>
      </c>
      <c r="G48" s="3" t="s">
        <v>60</v>
      </c>
    </row>
    <row r="49" spans="1:7" ht="30" customHeight="1" x14ac:dyDescent="0.3">
      <c r="A49" s="8"/>
      <c r="B49" s="8"/>
      <c r="C49" s="8"/>
      <c r="D49" s="6" t="s">
        <v>24</v>
      </c>
      <c r="E49" s="8" t="s">
        <v>56</v>
      </c>
      <c r="F49" s="5" t="s">
        <v>10</v>
      </c>
      <c r="G49" s="3" t="s">
        <v>60</v>
      </c>
    </row>
    <row r="50" spans="1:7" ht="30" customHeight="1" x14ac:dyDescent="0.3">
      <c r="A50" s="8"/>
      <c r="B50" s="8"/>
      <c r="C50" s="8"/>
      <c r="D50" s="6" t="s">
        <v>30</v>
      </c>
      <c r="E50" s="8" t="s">
        <v>56</v>
      </c>
      <c r="F50" s="5" t="s">
        <v>10</v>
      </c>
      <c r="G50" s="3" t="s">
        <v>60</v>
      </c>
    </row>
    <row r="51" spans="1:7" ht="30" customHeight="1" x14ac:dyDescent="0.3">
      <c r="A51" s="8"/>
      <c r="B51" s="8"/>
      <c r="C51" s="8"/>
      <c r="D51" s="6" t="s">
        <v>54</v>
      </c>
      <c r="E51" s="8" t="s">
        <v>56</v>
      </c>
      <c r="F51" s="5" t="s">
        <v>10</v>
      </c>
      <c r="G51" s="3" t="s">
        <v>60</v>
      </c>
    </row>
    <row r="52" spans="1:7" ht="30" customHeight="1" x14ac:dyDescent="0.3">
      <c r="A52" s="8"/>
      <c r="B52" s="8"/>
      <c r="C52" s="8"/>
      <c r="D52" s="6" t="s">
        <v>17</v>
      </c>
      <c r="E52" s="8" t="s">
        <v>56</v>
      </c>
      <c r="F52" s="5" t="s">
        <v>10</v>
      </c>
      <c r="G52" s="3" t="s">
        <v>60</v>
      </c>
    </row>
    <row r="53" spans="1:7" ht="30" customHeight="1" x14ac:dyDescent="0.3">
      <c r="A53" s="8"/>
      <c r="B53" s="8"/>
      <c r="C53" s="8"/>
      <c r="D53" s="6" t="s">
        <v>55</v>
      </c>
      <c r="E53" s="8" t="s">
        <v>56</v>
      </c>
      <c r="F53" s="5" t="s">
        <v>10</v>
      </c>
      <c r="G53" s="3" t="s">
        <v>60</v>
      </c>
    </row>
    <row r="54" spans="1:7" ht="30" customHeight="1" x14ac:dyDescent="0.3">
      <c r="A54" s="8"/>
      <c r="B54" s="8"/>
      <c r="C54" s="8"/>
      <c r="D54" s="6" t="s">
        <v>13</v>
      </c>
      <c r="E54" s="8" t="s">
        <v>56</v>
      </c>
      <c r="F54" s="5" t="s">
        <v>10</v>
      </c>
      <c r="G54" s="3" t="s">
        <v>60</v>
      </c>
    </row>
    <row r="55" spans="1:7" ht="30" customHeight="1" x14ac:dyDescent="0.3">
      <c r="A55" s="8"/>
      <c r="B55" s="8"/>
      <c r="C55" s="8"/>
      <c r="D55" s="6" t="s">
        <v>42</v>
      </c>
      <c r="E55" s="8" t="s">
        <v>56</v>
      </c>
      <c r="F55" s="5" t="s">
        <v>10</v>
      </c>
      <c r="G55" s="3" t="s">
        <v>60</v>
      </c>
    </row>
    <row r="56" spans="1:7" ht="30" customHeight="1" x14ac:dyDescent="0.3">
      <c r="A56" s="8"/>
      <c r="B56" s="8"/>
      <c r="C56" s="8"/>
      <c r="D56" s="6" t="s">
        <v>58</v>
      </c>
      <c r="E56" s="8" t="s">
        <v>56</v>
      </c>
      <c r="F56" s="5" t="s">
        <v>10</v>
      </c>
      <c r="G56" s="3" t="s">
        <v>60</v>
      </c>
    </row>
    <row r="57" spans="1:7" ht="30" customHeight="1" x14ac:dyDescent="0.3">
      <c r="A57" s="8"/>
      <c r="B57" s="8"/>
      <c r="C57" s="8"/>
      <c r="D57" s="6" t="s">
        <v>59</v>
      </c>
      <c r="E57" s="8" t="s">
        <v>56</v>
      </c>
      <c r="F57" s="5" t="s">
        <v>10</v>
      </c>
      <c r="G57" s="3" t="s">
        <v>60</v>
      </c>
    </row>
    <row r="58" spans="1:7" ht="30" customHeight="1" x14ac:dyDescent="0.3">
      <c r="A58" s="8"/>
      <c r="B58" s="8"/>
      <c r="C58" s="8"/>
      <c r="D58" s="6"/>
      <c r="E58" s="8"/>
      <c r="F58" s="5"/>
      <c r="G58" s="3"/>
    </row>
    <row r="59" spans="1:7" ht="30" customHeight="1" x14ac:dyDescent="0.3">
      <c r="A59" s="8" t="s">
        <v>61</v>
      </c>
      <c r="B59" s="8"/>
      <c r="C59" s="8"/>
      <c r="D59" s="6" t="s">
        <v>22</v>
      </c>
      <c r="E59" s="8" t="s">
        <v>62</v>
      </c>
      <c r="F59" s="5" t="s">
        <v>64</v>
      </c>
      <c r="G59" s="3" t="s">
        <v>65</v>
      </c>
    </row>
    <row r="60" spans="1:7" ht="30" customHeight="1" x14ac:dyDescent="0.3">
      <c r="A60" s="8"/>
      <c r="B60" s="8"/>
      <c r="C60" s="8"/>
      <c r="D60" s="6" t="s">
        <v>23</v>
      </c>
      <c r="E60" s="8" t="s">
        <v>63</v>
      </c>
      <c r="F60" s="5" t="s">
        <v>64</v>
      </c>
      <c r="G60" s="3" t="s">
        <v>65</v>
      </c>
    </row>
    <row r="61" spans="1:7" ht="30" customHeight="1" x14ac:dyDescent="0.3">
      <c r="A61" s="8"/>
      <c r="B61" s="8"/>
      <c r="C61" s="8"/>
      <c r="D61" s="6"/>
      <c r="E61" s="8"/>
      <c r="F61" s="5"/>
      <c r="G61" s="3"/>
    </row>
    <row r="62" spans="1:7" ht="30" customHeight="1" x14ac:dyDescent="0.3">
      <c r="A62" s="8"/>
      <c r="B62" s="8"/>
      <c r="C62" s="8"/>
      <c r="D62" s="6" t="s">
        <v>22</v>
      </c>
      <c r="E62" s="8" t="s">
        <v>66</v>
      </c>
      <c r="F62" s="5" t="s">
        <v>68</v>
      </c>
      <c r="G62" s="17" t="s">
        <v>69</v>
      </c>
    </row>
    <row r="63" spans="1:7" ht="30" customHeight="1" x14ac:dyDescent="0.3">
      <c r="A63" s="8"/>
      <c r="B63" s="8"/>
      <c r="C63" s="8"/>
      <c r="D63" s="6" t="s">
        <v>23</v>
      </c>
      <c r="E63" s="8" t="s">
        <v>67</v>
      </c>
      <c r="F63" s="5" t="s">
        <v>68</v>
      </c>
      <c r="G63" s="17" t="s">
        <v>69</v>
      </c>
    </row>
    <row r="64" spans="1:7" ht="30" customHeight="1" x14ac:dyDescent="0.3">
      <c r="A64" s="8"/>
      <c r="B64" s="8"/>
      <c r="C64" s="8"/>
      <c r="D64" s="6"/>
      <c r="E64" s="8"/>
      <c r="F64" s="5"/>
      <c r="G64" s="3"/>
    </row>
    <row r="65" spans="1:7" ht="30" customHeight="1" x14ac:dyDescent="0.3">
      <c r="A65" s="8"/>
      <c r="B65" s="8"/>
      <c r="C65" s="8"/>
      <c r="D65" s="6" t="s">
        <v>20</v>
      </c>
      <c r="E65" s="8" t="s">
        <v>70</v>
      </c>
      <c r="F65" s="5" t="s">
        <v>10</v>
      </c>
      <c r="G65" s="3" t="s">
        <v>72</v>
      </c>
    </row>
    <row r="66" spans="1:7" ht="30" customHeight="1" x14ac:dyDescent="0.3">
      <c r="A66" s="8"/>
      <c r="B66" s="8"/>
      <c r="C66" s="8"/>
      <c r="D66" s="6" t="s">
        <v>21</v>
      </c>
      <c r="E66" s="8" t="s">
        <v>71</v>
      </c>
      <c r="F66" s="5" t="s">
        <v>10</v>
      </c>
      <c r="G66" s="3" t="s">
        <v>72</v>
      </c>
    </row>
    <row r="67" spans="1:7" ht="30" customHeight="1" x14ac:dyDescent="0.3">
      <c r="A67" s="8"/>
      <c r="B67" s="8"/>
      <c r="C67" s="8"/>
      <c r="D67" s="6"/>
      <c r="E67" s="8"/>
      <c r="F67" s="5"/>
      <c r="G67" s="3"/>
    </row>
    <row r="68" spans="1:7" ht="30" customHeight="1" x14ac:dyDescent="0.3">
      <c r="A68" s="8"/>
      <c r="B68" s="8"/>
      <c r="C68" s="8"/>
      <c r="D68" s="6" t="s">
        <v>16</v>
      </c>
      <c r="E68" s="8" t="s">
        <v>56</v>
      </c>
      <c r="F68" s="5" t="s">
        <v>10</v>
      </c>
      <c r="G68" s="3" t="s">
        <v>60</v>
      </c>
    </row>
    <row r="69" spans="1:7" ht="30" customHeight="1" x14ac:dyDescent="0.3">
      <c r="A69" s="8"/>
      <c r="B69" s="8"/>
      <c r="C69" s="8"/>
      <c r="D69" s="6" t="s">
        <v>20</v>
      </c>
      <c r="E69" s="8" t="s">
        <v>73</v>
      </c>
      <c r="F69" s="5" t="s">
        <v>10</v>
      </c>
      <c r="G69" s="3" t="s">
        <v>60</v>
      </c>
    </row>
    <row r="70" spans="1:7" ht="30" customHeight="1" x14ac:dyDescent="0.3">
      <c r="A70" s="8"/>
      <c r="B70" s="8"/>
      <c r="C70" s="8"/>
      <c r="D70" s="6"/>
      <c r="E70" s="8"/>
      <c r="F70" s="5"/>
      <c r="G70" s="3"/>
    </row>
    <row r="71" spans="1:7" ht="30" customHeight="1" x14ac:dyDescent="0.3">
      <c r="A71" s="8"/>
      <c r="B71" s="8"/>
      <c r="C71" s="8"/>
      <c r="D71" s="6" t="s">
        <v>15</v>
      </c>
      <c r="E71" s="8" t="s">
        <v>74</v>
      </c>
      <c r="F71" s="5" t="s">
        <v>10</v>
      </c>
      <c r="G71" s="3" t="s">
        <v>75</v>
      </c>
    </row>
    <row r="72" spans="1:7" ht="30" customHeight="1" x14ac:dyDescent="0.3">
      <c r="A72" s="8"/>
      <c r="B72" s="8"/>
      <c r="C72" s="8"/>
      <c r="D72" s="6"/>
      <c r="E72" s="8"/>
      <c r="F72" s="5"/>
      <c r="G72" s="3"/>
    </row>
    <row r="73" spans="1:7" ht="30" customHeight="1" x14ac:dyDescent="0.3">
      <c r="A73" s="8"/>
      <c r="B73" s="8"/>
      <c r="C73" s="8"/>
      <c r="D73" s="6" t="s">
        <v>24</v>
      </c>
      <c r="E73" s="8" t="s">
        <v>70</v>
      </c>
      <c r="F73" s="5" t="s">
        <v>76</v>
      </c>
      <c r="G73" s="17" t="s">
        <v>77</v>
      </c>
    </row>
    <row r="74" spans="1:7" ht="30" customHeight="1" x14ac:dyDescent="0.3">
      <c r="A74" s="8"/>
      <c r="B74" s="8"/>
      <c r="C74" s="8"/>
      <c r="D74" s="6"/>
      <c r="E74" s="8"/>
      <c r="F74" s="5"/>
      <c r="G74" s="3"/>
    </row>
    <row r="75" spans="1:7" ht="30" customHeight="1" x14ac:dyDescent="0.3">
      <c r="A75" s="8" t="s">
        <v>70</v>
      </c>
      <c r="B75" s="8"/>
      <c r="C75" s="8"/>
      <c r="D75" s="6" t="s">
        <v>49</v>
      </c>
      <c r="E75" s="8" t="s">
        <v>70</v>
      </c>
      <c r="F75" s="5" t="s">
        <v>10</v>
      </c>
      <c r="G75" s="17" t="s">
        <v>78</v>
      </c>
    </row>
    <row r="76" spans="1:7" ht="30" customHeight="1" x14ac:dyDescent="0.3">
      <c r="A76" s="8"/>
      <c r="B76" s="8"/>
      <c r="C76" s="8"/>
      <c r="D76" s="6"/>
      <c r="E76" s="8"/>
      <c r="F76" s="5"/>
      <c r="G76" s="3"/>
    </row>
    <row r="77" spans="1:7" ht="30" customHeight="1" x14ac:dyDescent="0.3">
      <c r="A77" s="8"/>
      <c r="B77" s="8"/>
      <c r="C77" s="8"/>
      <c r="D77" s="6" t="s">
        <v>50</v>
      </c>
      <c r="E77" s="8" t="s">
        <v>70</v>
      </c>
      <c r="F77" s="5" t="s">
        <v>79</v>
      </c>
      <c r="G77" s="3" t="s">
        <v>80</v>
      </c>
    </row>
    <row r="78" spans="1:7" ht="30" customHeight="1" x14ac:dyDescent="0.3">
      <c r="A78" s="8"/>
      <c r="B78" s="8"/>
      <c r="C78" s="8"/>
      <c r="D78" s="6" t="s">
        <v>52</v>
      </c>
      <c r="E78" s="8" t="s">
        <v>71</v>
      </c>
      <c r="F78" s="5" t="s">
        <v>79</v>
      </c>
      <c r="G78" s="3" t="s">
        <v>80</v>
      </c>
    </row>
    <row r="79" spans="1:7" ht="30" customHeight="1" x14ac:dyDescent="0.3">
      <c r="A79" s="8"/>
      <c r="B79" s="8"/>
      <c r="C79" s="8"/>
      <c r="D79" s="6" t="s">
        <v>144</v>
      </c>
      <c r="E79" s="8" t="s">
        <v>145</v>
      </c>
      <c r="F79" s="5" t="s">
        <v>147</v>
      </c>
      <c r="G79" s="17" t="s">
        <v>148</v>
      </c>
    </row>
    <row r="80" spans="1:7" ht="30" customHeight="1" x14ac:dyDescent="0.3">
      <c r="A80" s="8"/>
      <c r="B80" s="8"/>
      <c r="C80" s="8"/>
      <c r="D80" s="6" t="s">
        <v>16</v>
      </c>
      <c r="E80" s="8" t="s">
        <v>146</v>
      </c>
      <c r="F80" s="5" t="s">
        <v>147</v>
      </c>
      <c r="G80" s="17" t="s">
        <v>148</v>
      </c>
    </row>
    <row r="81" spans="1:7" ht="30" customHeight="1" x14ac:dyDescent="0.3">
      <c r="A81" s="8"/>
      <c r="B81" s="8"/>
      <c r="C81" s="8"/>
      <c r="D81" s="6" t="s">
        <v>13</v>
      </c>
      <c r="E81" s="8" t="s">
        <v>145</v>
      </c>
      <c r="F81" s="5" t="s">
        <v>149</v>
      </c>
      <c r="G81" s="17" t="s">
        <v>150</v>
      </c>
    </row>
    <row r="82" spans="1:7" ht="30" customHeight="1" x14ac:dyDescent="0.3">
      <c r="A82" s="8"/>
      <c r="B82" s="8"/>
      <c r="C82" s="8"/>
      <c r="D82" s="6"/>
      <c r="E82" s="8"/>
      <c r="F82" s="5"/>
      <c r="G82" s="3"/>
    </row>
    <row r="83" spans="1:7" ht="30" customHeight="1" x14ac:dyDescent="0.3">
      <c r="A83" s="8" t="s">
        <v>102</v>
      </c>
      <c r="B83" s="8"/>
      <c r="C83" s="8"/>
      <c r="D83" s="6" t="s">
        <v>51</v>
      </c>
      <c r="E83" s="8" t="s">
        <v>145</v>
      </c>
      <c r="F83" s="5" t="s">
        <v>184</v>
      </c>
      <c r="G83" s="3" t="s">
        <v>185</v>
      </c>
    </row>
    <row r="84" spans="1:7" ht="30" customHeight="1" x14ac:dyDescent="0.3">
      <c r="A84" s="8"/>
      <c r="B84" s="8"/>
      <c r="C84" s="8"/>
      <c r="D84" s="6" t="s">
        <v>52</v>
      </c>
      <c r="E84" s="8" t="s">
        <v>145</v>
      </c>
      <c r="F84" s="5" t="s">
        <v>184</v>
      </c>
      <c r="G84" s="3" t="s">
        <v>185</v>
      </c>
    </row>
    <row r="85" spans="1:7" ht="30" customHeight="1" x14ac:dyDescent="0.3">
      <c r="A85" s="8"/>
      <c r="B85" s="8"/>
      <c r="C85" s="8"/>
      <c r="D85" s="6" t="s">
        <v>53</v>
      </c>
      <c r="E85" s="8" t="s">
        <v>145</v>
      </c>
      <c r="F85" s="5" t="s">
        <v>184</v>
      </c>
      <c r="G85" s="3" t="s">
        <v>185</v>
      </c>
    </row>
    <row r="86" spans="1:7" ht="30" customHeight="1" x14ac:dyDescent="0.3">
      <c r="A86" s="8"/>
      <c r="B86" s="8"/>
      <c r="C86" s="8"/>
      <c r="D86" s="6" t="s">
        <v>50</v>
      </c>
      <c r="E86" s="8" t="s">
        <v>145</v>
      </c>
      <c r="F86" s="5" t="s">
        <v>184</v>
      </c>
      <c r="G86" s="3" t="s">
        <v>185</v>
      </c>
    </row>
    <row r="87" spans="1:7" ht="30" customHeight="1" x14ac:dyDescent="0.3">
      <c r="A87" s="8"/>
      <c r="B87" s="8"/>
      <c r="C87" s="8"/>
      <c r="D87" s="6" t="s">
        <v>19</v>
      </c>
      <c r="E87" s="8" t="s">
        <v>145</v>
      </c>
      <c r="F87" s="5" t="s">
        <v>184</v>
      </c>
      <c r="G87" s="3" t="s">
        <v>185</v>
      </c>
    </row>
    <row r="88" spans="1:7" ht="30" customHeight="1" x14ac:dyDescent="0.3">
      <c r="A88" s="8"/>
      <c r="B88" s="8"/>
      <c r="C88" s="8"/>
      <c r="D88" s="6" t="s">
        <v>182</v>
      </c>
      <c r="E88" s="8" t="s">
        <v>145</v>
      </c>
      <c r="F88" s="5" t="s">
        <v>184</v>
      </c>
      <c r="G88" s="3" t="s">
        <v>185</v>
      </c>
    </row>
    <row r="89" spans="1:7" ht="30" customHeight="1" x14ac:dyDescent="0.3">
      <c r="A89" s="8"/>
      <c r="B89" s="8"/>
      <c r="C89" s="8"/>
      <c r="D89" s="6" t="s">
        <v>183</v>
      </c>
      <c r="E89" s="8" t="s">
        <v>145</v>
      </c>
      <c r="F89" s="5" t="s">
        <v>184</v>
      </c>
      <c r="G89" s="3" t="s">
        <v>185</v>
      </c>
    </row>
    <row r="90" spans="1:7" ht="30" customHeight="1" x14ac:dyDescent="0.3">
      <c r="A90" s="8"/>
      <c r="B90" s="8"/>
      <c r="C90" s="8"/>
      <c r="D90" s="6"/>
      <c r="E90" s="8"/>
      <c r="F90" s="5"/>
      <c r="G90" s="3"/>
    </row>
    <row r="91" spans="1:7" ht="30" customHeight="1" x14ac:dyDescent="0.3">
      <c r="A91" s="8" t="s">
        <v>145</v>
      </c>
      <c r="B91" s="8"/>
      <c r="C91" s="8"/>
      <c r="D91" s="6" t="s">
        <v>42</v>
      </c>
      <c r="E91" s="8" t="s">
        <v>145</v>
      </c>
      <c r="F91" s="5" t="s">
        <v>242</v>
      </c>
      <c r="G91" s="3" t="s">
        <v>243</v>
      </c>
    </row>
    <row r="92" spans="1:7" ht="30" customHeight="1" x14ac:dyDescent="0.3">
      <c r="A92" s="8"/>
      <c r="B92" s="8"/>
      <c r="C92" s="8"/>
      <c r="D92" s="6"/>
      <c r="E92" s="8"/>
      <c r="F92" s="5"/>
      <c r="G92" s="3"/>
    </row>
    <row r="93" spans="1:7" ht="30" customHeight="1" x14ac:dyDescent="0.3">
      <c r="A93" s="8" t="s">
        <v>263</v>
      </c>
      <c r="B93" s="8"/>
      <c r="C93" s="8"/>
      <c r="D93" s="6" t="s">
        <v>58</v>
      </c>
      <c r="E93" s="8" t="s">
        <v>263</v>
      </c>
      <c r="F93" s="5" t="s">
        <v>316</v>
      </c>
      <c r="G93" s="3" t="s">
        <v>317</v>
      </c>
    </row>
    <row r="94" spans="1:7" ht="30" customHeight="1" x14ac:dyDescent="0.3">
      <c r="A94" s="8"/>
      <c r="B94" s="8"/>
      <c r="C94" s="8"/>
      <c r="D94" s="6" t="s">
        <v>20</v>
      </c>
      <c r="E94" s="8"/>
      <c r="F94" s="5"/>
      <c r="G94" s="3"/>
    </row>
    <row r="95" spans="1:7" ht="30" customHeight="1" x14ac:dyDescent="0.3">
      <c r="A95" s="8"/>
      <c r="B95" s="8"/>
      <c r="C95" s="8"/>
      <c r="D95" s="6" t="s">
        <v>16</v>
      </c>
      <c r="E95" s="8" t="s">
        <v>263</v>
      </c>
      <c r="F95" s="5" t="s">
        <v>332</v>
      </c>
      <c r="G95" s="3" t="s">
        <v>333</v>
      </c>
    </row>
    <row r="96" spans="1:7" ht="30" customHeight="1" x14ac:dyDescent="0.3">
      <c r="A96" s="8"/>
      <c r="B96" s="8"/>
      <c r="C96" s="8"/>
      <c r="D96" s="6"/>
      <c r="E96" s="8"/>
      <c r="F96" s="5"/>
      <c r="G96" s="3"/>
    </row>
    <row r="97" spans="1:7" ht="30" customHeight="1" x14ac:dyDescent="0.3">
      <c r="A97" s="8" t="s">
        <v>390</v>
      </c>
      <c r="B97" s="8"/>
      <c r="C97" s="8"/>
      <c r="D97" s="6" t="s">
        <v>15</v>
      </c>
      <c r="E97" s="8" t="s">
        <v>391</v>
      </c>
      <c r="F97" s="5" t="s">
        <v>392</v>
      </c>
      <c r="G97" s="3" t="s">
        <v>393</v>
      </c>
    </row>
    <row r="98" spans="1:7" ht="30" customHeight="1" x14ac:dyDescent="0.3">
      <c r="A98" s="8"/>
      <c r="B98" s="8"/>
      <c r="C98" s="8"/>
      <c r="D98" s="6" t="s">
        <v>23</v>
      </c>
      <c r="E98" s="8" t="s">
        <v>391</v>
      </c>
      <c r="F98" s="5" t="s">
        <v>394</v>
      </c>
      <c r="G98" s="17" t="s">
        <v>395</v>
      </c>
    </row>
    <row r="99" spans="1:7" ht="30" customHeight="1" x14ac:dyDescent="0.3">
      <c r="A99" s="5"/>
      <c r="B99" s="3"/>
      <c r="C99" s="8"/>
      <c r="D99" s="6" t="s">
        <v>396</v>
      </c>
      <c r="E99" s="8" t="s">
        <v>397</v>
      </c>
      <c r="F99" s="5" t="s">
        <v>398</v>
      </c>
      <c r="G99" s="3" t="s">
        <v>399</v>
      </c>
    </row>
    <row r="100" spans="1:7" ht="30" customHeight="1" x14ac:dyDescent="0.3">
      <c r="A100" s="5"/>
      <c r="B100" s="3"/>
      <c r="C100" s="8"/>
      <c r="D100" s="6"/>
      <c r="E100" s="8"/>
      <c r="F100" s="5"/>
      <c r="G100" s="3"/>
    </row>
    <row r="101" spans="1:7" ht="30" customHeight="1" x14ac:dyDescent="0.3">
      <c r="A101" s="21" t="s">
        <v>457</v>
      </c>
      <c r="B101" s="3"/>
      <c r="C101" s="8"/>
      <c r="D101" s="6" t="s">
        <v>18</v>
      </c>
      <c r="E101" s="8" t="s">
        <v>397</v>
      </c>
      <c r="F101" s="5" t="s">
        <v>474</v>
      </c>
      <c r="G101" s="3" t="s">
        <v>475</v>
      </c>
    </row>
    <row r="102" spans="1:7" ht="30" customHeight="1" x14ac:dyDescent="0.3">
      <c r="A102" s="5"/>
      <c r="B102" s="3"/>
      <c r="C102" s="8"/>
      <c r="D102" s="6" t="s">
        <v>461</v>
      </c>
      <c r="E102" s="8" t="s">
        <v>397</v>
      </c>
      <c r="F102" s="5" t="s">
        <v>474</v>
      </c>
      <c r="G102" s="3" t="s">
        <v>475</v>
      </c>
    </row>
    <row r="103" spans="1:7" ht="30" customHeight="1" x14ac:dyDescent="0.3">
      <c r="A103" s="5"/>
      <c r="B103" s="3"/>
      <c r="C103" s="8"/>
      <c r="D103" s="6" t="s">
        <v>299</v>
      </c>
      <c r="E103" s="8" t="s">
        <v>397</v>
      </c>
      <c r="F103" s="5" t="s">
        <v>474</v>
      </c>
      <c r="G103" s="3" t="s">
        <v>475</v>
      </c>
    </row>
    <row r="104" spans="1:7" ht="30" customHeight="1" x14ac:dyDescent="0.3">
      <c r="A104" s="5"/>
      <c r="B104" s="3"/>
      <c r="C104" s="8"/>
      <c r="D104" s="6" t="s">
        <v>182</v>
      </c>
      <c r="E104" s="8" t="s">
        <v>397</v>
      </c>
      <c r="F104" s="5" t="s">
        <v>474</v>
      </c>
      <c r="G104" s="3" t="s">
        <v>475</v>
      </c>
    </row>
    <row r="105" spans="1:7" ht="30" customHeight="1" x14ac:dyDescent="0.3">
      <c r="A105" s="5"/>
      <c r="B105" s="3"/>
      <c r="C105" s="8"/>
      <c r="D105" s="6" t="s">
        <v>49</v>
      </c>
      <c r="E105" s="8" t="s">
        <v>397</v>
      </c>
      <c r="F105" s="5" t="s">
        <v>474</v>
      </c>
      <c r="G105" s="3" t="s">
        <v>475</v>
      </c>
    </row>
    <row r="106" spans="1:7" ht="30" customHeight="1" x14ac:dyDescent="0.3">
      <c r="A106" s="5"/>
      <c r="B106" s="3"/>
      <c r="C106" s="8"/>
      <c r="D106" s="6" t="s">
        <v>50</v>
      </c>
      <c r="E106" s="8" t="s">
        <v>397</v>
      </c>
      <c r="F106" s="5" t="s">
        <v>474</v>
      </c>
      <c r="G106" s="3" t="s">
        <v>475</v>
      </c>
    </row>
    <row r="107" spans="1:7" ht="30" customHeight="1" x14ac:dyDescent="0.3">
      <c r="A107" s="5"/>
      <c r="B107" s="3"/>
      <c r="C107" s="8"/>
      <c r="D107" s="6" t="s">
        <v>52</v>
      </c>
      <c r="E107" s="8" t="s">
        <v>397</v>
      </c>
      <c r="F107" s="5" t="s">
        <v>474</v>
      </c>
      <c r="G107" s="3" t="s">
        <v>475</v>
      </c>
    </row>
    <row r="108" spans="1:7" ht="30" customHeight="1" x14ac:dyDescent="0.3">
      <c r="A108" s="5"/>
      <c r="B108" s="3"/>
      <c r="C108" s="8"/>
      <c r="D108" s="6" t="s">
        <v>53</v>
      </c>
      <c r="E108" s="8" t="s">
        <v>397</v>
      </c>
      <c r="F108" s="5" t="s">
        <v>474</v>
      </c>
      <c r="G108" s="3" t="s">
        <v>475</v>
      </c>
    </row>
    <row r="109" spans="1:7" ht="30" customHeight="1" x14ac:dyDescent="0.3">
      <c r="A109" s="5"/>
      <c r="B109" s="3"/>
      <c r="C109" s="8"/>
      <c r="D109" s="6" t="s">
        <v>30</v>
      </c>
      <c r="E109" s="8" t="s">
        <v>397</v>
      </c>
      <c r="F109" s="5" t="s">
        <v>476</v>
      </c>
      <c r="G109" s="3" t="s">
        <v>477</v>
      </c>
    </row>
    <row r="110" spans="1:7" ht="30" customHeight="1" x14ac:dyDescent="0.3">
      <c r="A110" s="5"/>
      <c r="B110" s="3"/>
      <c r="C110" s="8"/>
      <c r="D110" s="6"/>
      <c r="E110" s="8"/>
      <c r="F110" s="5"/>
      <c r="G110" s="3"/>
    </row>
    <row r="111" spans="1:7" ht="30" customHeight="1" x14ac:dyDescent="0.3">
      <c r="A111" s="5" t="s">
        <v>397</v>
      </c>
      <c r="B111" s="3"/>
      <c r="C111" s="8"/>
      <c r="D111" s="6" t="s">
        <v>518</v>
      </c>
      <c r="E111" s="8" t="s">
        <v>519</v>
      </c>
      <c r="F111" s="5" t="s">
        <v>520</v>
      </c>
      <c r="G111" s="17" t="s">
        <v>521</v>
      </c>
    </row>
    <row r="112" spans="1:7" ht="30" customHeight="1" x14ac:dyDescent="0.3">
      <c r="A112" s="5"/>
      <c r="B112" s="3"/>
      <c r="C112" s="8"/>
      <c r="D112" s="6" t="s">
        <v>15</v>
      </c>
      <c r="E112" s="8" t="s">
        <v>519</v>
      </c>
      <c r="F112" s="5" t="s">
        <v>235</v>
      </c>
      <c r="G112" s="17" t="s">
        <v>522</v>
      </c>
    </row>
    <row r="113" spans="1:7" ht="30" customHeight="1" x14ac:dyDescent="0.3">
      <c r="A113" s="5"/>
      <c r="B113" s="3"/>
      <c r="C113" s="8"/>
      <c r="D113" s="6" t="s">
        <v>523</v>
      </c>
      <c r="E113" s="8" t="s">
        <v>524</v>
      </c>
      <c r="F113" s="5" t="s">
        <v>525</v>
      </c>
      <c r="G113" s="17" t="s">
        <v>526</v>
      </c>
    </row>
    <row r="114" spans="1:7" ht="30" customHeight="1" x14ac:dyDescent="0.3">
      <c r="A114" s="5"/>
      <c r="B114" s="3"/>
      <c r="C114" s="8"/>
      <c r="D114" s="6" t="s">
        <v>541</v>
      </c>
      <c r="E114" s="8" t="s">
        <v>519</v>
      </c>
      <c r="F114" s="5" t="s">
        <v>542</v>
      </c>
      <c r="G114" s="3" t="s">
        <v>543</v>
      </c>
    </row>
    <row r="115" spans="1:7" ht="30" customHeight="1" x14ac:dyDescent="0.3">
      <c r="A115" s="5"/>
      <c r="B115" s="3"/>
      <c r="C115" s="8"/>
      <c r="D115" s="6"/>
      <c r="E115" s="8"/>
      <c r="F115" s="5"/>
      <c r="G115" s="3"/>
    </row>
    <row r="116" spans="1:7" ht="30" customHeight="1" x14ac:dyDescent="0.3">
      <c r="A116" s="5" t="s">
        <v>519</v>
      </c>
      <c r="B116" s="3"/>
      <c r="C116" s="8"/>
      <c r="D116" s="6" t="s">
        <v>544</v>
      </c>
      <c r="E116" s="8" t="s">
        <v>519</v>
      </c>
      <c r="F116" s="5" t="s">
        <v>545</v>
      </c>
      <c r="G116" s="3" t="s">
        <v>546</v>
      </c>
    </row>
    <row r="117" spans="1:7" ht="30" customHeight="1" x14ac:dyDescent="0.3">
      <c r="A117" s="5"/>
      <c r="B117" s="3"/>
      <c r="C117" s="8"/>
      <c r="D117" s="31" t="s">
        <v>549</v>
      </c>
      <c r="E117" s="8" t="s">
        <v>519</v>
      </c>
      <c r="F117" s="5" t="s">
        <v>550</v>
      </c>
      <c r="G117" s="3" t="s">
        <v>551</v>
      </c>
    </row>
    <row r="118" spans="1:7" ht="30" customHeight="1" x14ac:dyDescent="0.3">
      <c r="A118" s="5"/>
      <c r="B118" s="3"/>
      <c r="C118" s="8"/>
      <c r="D118" s="6"/>
      <c r="E118" s="8"/>
      <c r="F118" s="5"/>
      <c r="G118" s="3"/>
    </row>
    <row r="119" spans="1:7" ht="30" customHeight="1" x14ac:dyDescent="0.3">
      <c r="A119" s="5" t="s">
        <v>594</v>
      </c>
      <c r="B119" s="3"/>
      <c r="C119" s="8"/>
      <c r="D119" s="6" t="s">
        <v>15</v>
      </c>
      <c r="E119" s="8" t="s">
        <v>594</v>
      </c>
      <c r="F119" s="5" t="s">
        <v>235</v>
      </c>
      <c r="G119" s="3" t="s">
        <v>600</v>
      </c>
    </row>
    <row r="120" spans="1:7" ht="30" customHeight="1" x14ac:dyDescent="0.3">
      <c r="A120" s="5"/>
      <c r="B120" s="3"/>
      <c r="C120" s="8"/>
      <c r="D120" s="6" t="s">
        <v>51</v>
      </c>
      <c r="E120" s="8" t="s">
        <v>594</v>
      </c>
      <c r="F120" s="5" t="s">
        <v>235</v>
      </c>
      <c r="G120" s="3" t="s">
        <v>601</v>
      </c>
    </row>
    <row r="121" spans="1:7" ht="30" customHeight="1" x14ac:dyDescent="0.3">
      <c r="A121" s="5"/>
      <c r="B121" s="3"/>
      <c r="C121" s="8"/>
      <c r="D121" s="6" t="s">
        <v>36</v>
      </c>
      <c r="E121" s="8" t="s">
        <v>594</v>
      </c>
      <c r="F121" s="5" t="s">
        <v>235</v>
      </c>
      <c r="G121" s="3" t="s">
        <v>600</v>
      </c>
    </row>
    <row r="122" spans="1:7" ht="30" customHeight="1" x14ac:dyDescent="0.3">
      <c r="A122" s="5"/>
      <c r="B122" s="3"/>
      <c r="C122" s="8"/>
      <c r="D122" s="6" t="s">
        <v>26</v>
      </c>
      <c r="E122" s="8" t="s">
        <v>594</v>
      </c>
      <c r="F122" s="5" t="s">
        <v>235</v>
      </c>
      <c r="G122" s="3" t="s">
        <v>600</v>
      </c>
    </row>
    <row r="123" spans="1:7" ht="30" customHeight="1" x14ac:dyDescent="0.3">
      <c r="A123" s="5"/>
      <c r="B123" s="3"/>
      <c r="C123" s="8"/>
      <c r="D123" s="6" t="s">
        <v>602</v>
      </c>
      <c r="E123" s="8" t="s">
        <v>594</v>
      </c>
      <c r="F123" s="5" t="s">
        <v>235</v>
      </c>
      <c r="G123" s="3" t="s">
        <v>600</v>
      </c>
    </row>
    <row r="124" spans="1:7" ht="30" customHeight="1" x14ac:dyDescent="0.3">
      <c r="A124" s="5"/>
      <c r="B124" s="3"/>
      <c r="C124" s="8"/>
      <c r="D124" s="6" t="s">
        <v>25</v>
      </c>
      <c r="E124" s="8" t="s">
        <v>594</v>
      </c>
      <c r="F124" s="5" t="s">
        <v>235</v>
      </c>
      <c r="G124" s="3" t="s">
        <v>600</v>
      </c>
    </row>
    <row r="125" spans="1:7" ht="30" customHeight="1" x14ac:dyDescent="0.3">
      <c r="A125" s="5"/>
      <c r="B125" s="3"/>
      <c r="C125" s="8"/>
      <c r="D125" s="6" t="s">
        <v>17</v>
      </c>
      <c r="E125" s="8" t="s">
        <v>594</v>
      </c>
      <c r="F125" s="5" t="s">
        <v>235</v>
      </c>
      <c r="G125" s="3" t="s">
        <v>600</v>
      </c>
    </row>
    <row r="126" spans="1:7" ht="30" customHeight="1" x14ac:dyDescent="0.3">
      <c r="A126" s="5"/>
      <c r="B126" s="3"/>
      <c r="C126" s="8"/>
      <c r="D126" s="6" t="s">
        <v>24</v>
      </c>
      <c r="E126" s="8" t="s">
        <v>594</v>
      </c>
      <c r="F126" s="5" t="s">
        <v>235</v>
      </c>
      <c r="G126" s="3" t="s">
        <v>600</v>
      </c>
    </row>
    <row r="127" spans="1:7" ht="30" customHeight="1" x14ac:dyDescent="0.3">
      <c r="A127" s="5"/>
      <c r="B127" s="3"/>
      <c r="C127" s="8"/>
      <c r="D127" s="6" t="s">
        <v>59</v>
      </c>
      <c r="E127" s="8" t="s">
        <v>594</v>
      </c>
      <c r="F127" s="5" t="s">
        <v>235</v>
      </c>
      <c r="G127" s="3" t="s">
        <v>600</v>
      </c>
    </row>
    <row r="128" spans="1:7" ht="30" customHeight="1" x14ac:dyDescent="0.3">
      <c r="A128" s="5"/>
      <c r="B128" s="3"/>
      <c r="C128" s="8"/>
      <c r="D128" s="6" t="s">
        <v>30</v>
      </c>
      <c r="E128" s="8" t="s">
        <v>594</v>
      </c>
      <c r="F128" s="5" t="s">
        <v>235</v>
      </c>
      <c r="G128" s="3" t="s">
        <v>600</v>
      </c>
    </row>
    <row r="129" spans="1:7" ht="30" customHeight="1" x14ac:dyDescent="0.3">
      <c r="A129" s="5"/>
      <c r="B129" s="3"/>
      <c r="C129" s="8"/>
      <c r="D129" s="6" t="s">
        <v>603</v>
      </c>
      <c r="E129" s="8" t="s">
        <v>594</v>
      </c>
      <c r="F129" s="5" t="s">
        <v>235</v>
      </c>
      <c r="G129" s="3" t="s">
        <v>600</v>
      </c>
    </row>
    <row r="130" spans="1:7" ht="30" customHeight="1" x14ac:dyDescent="0.3">
      <c r="A130" s="5"/>
      <c r="B130" s="3"/>
      <c r="C130" s="8"/>
      <c r="D130" s="6" t="s">
        <v>22</v>
      </c>
      <c r="E130" s="8" t="s">
        <v>594</v>
      </c>
      <c r="F130" s="5" t="s">
        <v>235</v>
      </c>
      <c r="G130" s="3" t="s">
        <v>600</v>
      </c>
    </row>
    <row r="131" spans="1:7" ht="30" customHeight="1" x14ac:dyDescent="0.3">
      <c r="A131" s="5"/>
      <c r="B131" s="3"/>
      <c r="C131" s="8"/>
      <c r="D131" s="6" t="s">
        <v>29</v>
      </c>
      <c r="E131" s="8" t="s">
        <v>594</v>
      </c>
      <c r="F131" s="5" t="s">
        <v>235</v>
      </c>
      <c r="G131" s="3" t="s">
        <v>600</v>
      </c>
    </row>
    <row r="132" spans="1:7" ht="30" customHeight="1" x14ac:dyDescent="0.3">
      <c r="A132" s="5"/>
      <c r="B132" s="3"/>
      <c r="C132" s="8"/>
      <c r="D132" s="6" t="s">
        <v>626</v>
      </c>
      <c r="E132" s="8" t="s">
        <v>594</v>
      </c>
      <c r="F132" s="5" t="s">
        <v>235</v>
      </c>
      <c r="G132" s="3" t="s">
        <v>600</v>
      </c>
    </row>
    <row r="133" spans="1:7" ht="30" customHeight="1" x14ac:dyDescent="0.3">
      <c r="A133" s="5"/>
      <c r="B133" s="3"/>
      <c r="C133" s="8"/>
      <c r="D133" s="6" t="s">
        <v>52</v>
      </c>
      <c r="E133" s="8" t="s">
        <v>594</v>
      </c>
      <c r="F133" s="5" t="s">
        <v>235</v>
      </c>
      <c r="G133" s="3" t="s">
        <v>600</v>
      </c>
    </row>
    <row r="134" spans="1:7" ht="30" customHeight="1" x14ac:dyDescent="0.3">
      <c r="A134" s="5"/>
      <c r="B134" s="3"/>
      <c r="C134" s="8"/>
      <c r="D134" s="6" t="s">
        <v>627</v>
      </c>
      <c r="E134" s="8" t="s">
        <v>594</v>
      </c>
      <c r="F134" s="5" t="s">
        <v>235</v>
      </c>
      <c r="G134" s="3" t="s">
        <v>600</v>
      </c>
    </row>
    <row r="135" spans="1:7" ht="30" customHeight="1" x14ac:dyDescent="0.3">
      <c r="A135" s="5"/>
      <c r="B135" s="3"/>
      <c r="C135" s="8"/>
      <c r="D135" s="6" t="s">
        <v>53</v>
      </c>
      <c r="E135" s="8" t="s">
        <v>594</v>
      </c>
      <c r="F135" s="5" t="s">
        <v>235</v>
      </c>
      <c r="G135" s="3" t="s">
        <v>600</v>
      </c>
    </row>
    <row r="136" spans="1:7" ht="30" customHeight="1" x14ac:dyDescent="0.3">
      <c r="A136" s="5"/>
      <c r="B136" s="3"/>
      <c r="C136" s="8"/>
      <c r="D136" s="6" t="s">
        <v>18</v>
      </c>
      <c r="E136" s="8" t="s">
        <v>594</v>
      </c>
      <c r="F136" s="5" t="s">
        <v>235</v>
      </c>
      <c r="G136" s="3" t="s">
        <v>600</v>
      </c>
    </row>
    <row r="137" spans="1:7" ht="30" customHeight="1" x14ac:dyDescent="0.3">
      <c r="A137" s="5"/>
      <c r="B137" s="3"/>
      <c r="C137" s="8"/>
      <c r="D137" s="6" t="s">
        <v>461</v>
      </c>
      <c r="E137" s="8" t="s">
        <v>594</v>
      </c>
      <c r="F137" s="5" t="s">
        <v>235</v>
      </c>
      <c r="G137" s="3" t="s">
        <v>600</v>
      </c>
    </row>
    <row r="138" spans="1:7" ht="30" customHeight="1" x14ac:dyDescent="0.3">
      <c r="A138" s="5"/>
      <c r="B138" s="3"/>
      <c r="C138" s="8"/>
      <c r="D138" s="6" t="s">
        <v>50</v>
      </c>
      <c r="E138" s="8" t="s">
        <v>594</v>
      </c>
      <c r="F138" s="5" t="s">
        <v>235</v>
      </c>
      <c r="G138" s="3" t="s">
        <v>600</v>
      </c>
    </row>
    <row r="139" spans="1:7" ht="30" customHeight="1" x14ac:dyDescent="0.3">
      <c r="A139" s="5"/>
      <c r="B139" s="3"/>
      <c r="C139" s="8"/>
      <c r="D139" s="6" t="s">
        <v>49</v>
      </c>
      <c r="E139" s="8" t="s">
        <v>594</v>
      </c>
      <c r="F139" s="5" t="s">
        <v>235</v>
      </c>
      <c r="G139" s="3" t="s">
        <v>600</v>
      </c>
    </row>
    <row r="140" spans="1:7" ht="30" customHeight="1" x14ac:dyDescent="0.3">
      <c r="A140" s="5"/>
      <c r="B140" s="3"/>
      <c r="C140" s="8"/>
      <c r="D140" s="6" t="s">
        <v>23</v>
      </c>
      <c r="E140" s="8" t="s">
        <v>594</v>
      </c>
      <c r="F140" s="5" t="s">
        <v>235</v>
      </c>
      <c r="G140" s="3" t="s">
        <v>600</v>
      </c>
    </row>
    <row r="141" spans="1:7" ht="30" customHeight="1" x14ac:dyDescent="0.3">
      <c r="A141" s="5"/>
      <c r="B141" s="3"/>
      <c r="C141" s="8"/>
      <c r="D141" s="6" t="s">
        <v>21</v>
      </c>
      <c r="E141" s="8" t="s">
        <v>594</v>
      </c>
      <c r="F141" s="5" t="s">
        <v>235</v>
      </c>
      <c r="G141" s="3" t="s">
        <v>600</v>
      </c>
    </row>
    <row r="142" spans="1:7" ht="30" customHeight="1" x14ac:dyDescent="0.3">
      <c r="A142" s="5"/>
      <c r="B142" s="3"/>
      <c r="C142" s="8"/>
      <c r="D142" s="6" t="s">
        <v>42</v>
      </c>
      <c r="E142" s="8" t="s">
        <v>594</v>
      </c>
      <c r="F142" s="5" t="s">
        <v>235</v>
      </c>
      <c r="G142" s="3" t="s">
        <v>600</v>
      </c>
    </row>
    <row r="143" spans="1:7" ht="30" customHeight="1" x14ac:dyDescent="0.3">
      <c r="A143" s="5"/>
      <c r="B143" s="3"/>
      <c r="C143" s="8"/>
      <c r="D143" s="6" t="s">
        <v>13</v>
      </c>
      <c r="E143" s="8" t="s">
        <v>594</v>
      </c>
      <c r="F143" s="5" t="s">
        <v>235</v>
      </c>
      <c r="G143" s="3" t="s">
        <v>600</v>
      </c>
    </row>
    <row r="144" spans="1:7" ht="30" customHeight="1" x14ac:dyDescent="0.3">
      <c r="A144" s="5"/>
      <c r="B144" s="3"/>
      <c r="C144" s="8"/>
      <c r="D144" s="6" t="s">
        <v>632</v>
      </c>
      <c r="E144" s="8" t="s">
        <v>594</v>
      </c>
      <c r="F144" s="5" t="s">
        <v>235</v>
      </c>
      <c r="G144" s="3" t="s">
        <v>600</v>
      </c>
    </row>
    <row r="145" spans="1:7" ht="30" customHeight="1" x14ac:dyDescent="0.3">
      <c r="A145" s="5"/>
      <c r="B145" s="3"/>
      <c r="C145" s="8"/>
      <c r="D145" s="6" t="s">
        <v>633</v>
      </c>
      <c r="E145" s="8" t="s">
        <v>594</v>
      </c>
      <c r="F145" s="5" t="s">
        <v>235</v>
      </c>
      <c r="G145" s="3" t="s">
        <v>600</v>
      </c>
    </row>
    <row r="146" spans="1:7" ht="30" customHeight="1" x14ac:dyDescent="0.3">
      <c r="A146" s="5"/>
      <c r="B146" s="3"/>
      <c r="C146" s="8"/>
      <c r="D146" s="6" t="s">
        <v>16</v>
      </c>
      <c r="E146" s="8" t="s">
        <v>594</v>
      </c>
      <c r="F146" s="5" t="s">
        <v>235</v>
      </c>
      <c r="G146" s="3" t="s">
        <v>600</v>
      </c>
    </row>
    <row r="147" spans="1:7" ht="30" customHeight="1" x14ac:dyDescent="0.3">
      <c r="A147" s="5"/>
      <c r="B147" s="3"/>
      <c r="C147" s="8"/>
      <c r="D147" s="6" t="s">
        <v>28</v>
      </c>
      <c r="E147" s="8" t="s">
        <v>594</v>
      </c>
      <c r="F147" s="5" t="s">
        <v>235</v>
      </c>
      <c r="G147" s="3" t="s">
        <v>600</v>
      </c>
    </row>
    <row r="148" spans="1:7" ht="30" customHeight="1" x14ac:dyDescent="0.3">
      <c r="A148" s="5"/>
      <c r="B148" s="3"/>
      <c r="C148" s="8"/>
      <c r="D148" s="6" t="s">
        <v>58</v>
      </c>
      <c r="E148" s="8" t="s">
        <v>594</v>
      </c>
      <c r="F148" s="5" t="s">
        <v>235</v>
      </c>
      <c r="G148" s="3" t="s">
        <v>600</v>
      </c>
    </row>
    <row r="149" spans="1:7" ht="30" customHeight="1" x14ac:dyDescent="0.3">
      <c r="A149" s="5"/>
      <c r="B149" s="3"/>
      <c r="C149" s="8"/>
      <c r="D149" s="6" t="s">
        <v>27</v>
      </c>
      <c r="E149" s="8" t="s">
        <v>594</v>
      </c>
      <c r="F149" s="5" t="s">
        <v>235</v>
      </c>
      <c r="G149" s="3" t="s">
        <v>600</v>
      </c>
    </row>
    <row r="150" spans="1:7" ht="30" customHeight="1" x14ac:dyDescent="0.3">
      <c r="A150" s="5"/>
      <c r="B150" s="3"/>
      <c r="C150" s="8"/>
      <c r="D150" s="6" t="s">
        <v>634</v>
      </c>
      <c r="E150" s="8" t="s">
        <v>594</v>
      </c>
      <c r="F150" s="5" t="s">
        <v>235</v>
      </c>
      <c r="G150" s="3" t="s">
        <v>600</v>
      </c>
    </row>
    <row r="151" spans="1:7" ht="30" customHeight="1" x14ac:dyDescent="0.3">
      <c r="A151" s="5"/>
      <c r="B151" s="3"/>
      <c r="C151" s="8"/>
      <c r="D151" s="6" t="s">
        <v>635</v>
      </c>
      <c r="E151" s="8" t="s">
        <v>594</v>
      </c>
      <c r="F151" s="5" t="s">
        <v>235</v>
      </c>
      <c r="G151" s="3" t="s">
        <v>600</v>
      </c>
    </row>
    <row r="152" spans="1:7" ht="30" customHeight="1" x14ac:dyDescent="0.3">
      <c r="A152" s="5"/>
      <c r="B152" s="3"/>
      <c r="C152" s="8"/>
      <c r="D152" s="6" t="s">
        <v>636</v>
      </c>
      <c r="E152" s="8" t="s">
        <v>519</v>
      </c>
      <c r="F152" s="5" t="s">
        <v>637</v>
      </c>
      <c r="G152" s="3" t="s">
        <v>638</v>
      </c>
    </row>
    <row r="153" spans="1:7" ht="30" customHeight="1" x14ac:dyDescent="0.3">
      <c r="A153" s="5"/>
      <c r="B153" s="3"/>
      <c r="C153" s="8"/>
      <c r="D153" s="6" t="s">
        <v>22</v>
      </c>
      <c r="E153" s="8" t="s">
        <v>639</v>
      </c>
      <c r="F153" s="5" t="s">
        <v>394</v>
      </c>
      <c r="G153" s="3" t="s">
        <v>640</v>
      </c>
    </row>
    <row r="154" spans="1:7" ht="30" customHeight="1" x14ac:dyDescent="0.3">
      <c r="A154" s="5"/>
      <c r="B154" s="3"/>
      <c r="C154" s="8"/>
      <c r="D154" s="6" t="s">
        <v>641</v>
      </c>
      <c r="E154" s="8" t="s">
        <v>247</v>
      </c>
      <c r="F154" s="5" t="s">
        <v>642</v>
      </c>
      <c r="G154" s="3" t="s">
        <v>643</v>
      </c>
    </row>
    <row r="155" spans="1:7" ht="30" customHeight="1" x14ac:dyDescent="0.3">
      <c r="A155" s="5"/>
      <c r="B155" s="3"/>
      <c r="C155" s="8"/>
      <c r="D155" s="6" t="s">
        <v>195</v>
      </c>
      <c r="E155" s="8" t="s">
        <v>639</v>
      </c>
      <c r="F155" s="5" t="s">
        <v>161</v>
      </c>
      <c r="G155" s="17" t="s">
        <v>645</v>
      </c>
    </row>
    <row r="156" spans="1:7" ht="30" customHeight="1" x14ac:dyDescent="0.3">
      <c r="A156" s="5"/>
      <c r="B156" s="3"/>
      <c r="C156" s="8"/>
      <c r="D156" s="6" t="s">
        <v>644</v>
      </c>
      <c r="E156" s="8" t="s">
        <v>639</v>
      </c>
      <c r="F156" s="5" t="s">
        <v>161</v>
      </c>
      <c r="G156" s="17" t="s">
        <v>645</v>
      </c>
    </row>
    <row r="157" spans="1:7" ht="30" customHeight="1" x14ac:dyDescent="0.3">
      <c r="A157" s="5" t="s">
        <v>567</v>
      </c>
      <c r="B157" s="3"/>
      <c r="C157" s="8"/>
      <c r="D157" s="6" t="s">
        <v>21</v>
      </c>
      <c r="E157" s="8" t="s">
        <v>567</v>
      </c>
      <c r="F157" s="5" t="s">
        <v>235</v>
      </c>
      <c r="G157" s="17" t="s">
        <v>686</v>
      </c>
    </row>
    <row r="158" spans="1:7" ht="30" customHeight="1" x14ac:dyDescent="0.3">
      <c r="A158" s="5"/>
      <c r="B158" s="3"/>
      <c r="C158" s="8"/>
      <c r="D158" s="6" t="s">
        <v>396</v>
      </c>
      <c r="E158" s="8" t="s">
        <v>596</v>
      </c>
      <c r="F158" s="5" t="s">
        <v>687</v>
      </c>
      <c r="G158" s="3" t="s">
        <v>688</v>
      </c>
    </row>
    <row r="159" spans="1:7" ht="30" customHeight="1" x14ac:dyDescent="0.3">
      <c r="A159" s="5" t="s">
        <v>596</v>
      </c>
      <c r="B159" s="3"/>
      <c r="C159" s="8"/>
      <c r="D159" s="6" t="s">
        <v>25</v>
      </c>
      <c r="E159" s="8" t="s">
        <v>596</v>
      </c>
      <c r="F159" s="5" t="s">
        <v>689</v>
      </c>
      <c r="G159" s="3" t="s">
        <v>690</v>
      </c>
    </row>
    <row r="160" spans="1:7" ht="30" customHeight="1" x14ac:dyDescent="0.3">
      <c r="A160" s="64">
        <v>46083</v>
      </c>
      <c r="B160" s="3"/>
      <c r="C160" s="8"/>
      <c r="D160" s="6" t="s">
        <v>15</v>
      </c>
      <c r="E160" s="8" t="s">
        <v>725</v>
      </c>
      <c r="F160" s="5" t="s">
        <v>235</v>
      </c>
      <c r="G160" s="17" t="s">
        <v>834</v>
      </c>
    </row>
    <row r="161" spans="1:7" ht="30" customHeight="1" x14ac:dyDescent="0.3">
      <c r="A161" s="5"/>
      <c r="B161" s="3"/>
      <c r="C161" s="8"/>
      <c r="D161" s="6" t="s">
        <v>750</v>
      </c>
      <c r="E161" s="7">
        <v>46083</v>
      </c>
      <c r="F161" s="5" t="s">
        <v>751</v>
      </c>
      <c r="G161" s="3"/>
    </row>
    <row r="162" spans="1:7" ht="30" customHeight="1" x14ac:dyDescent="0.3">
      <c r="A162" s="5"/>
      <c r="B162" s="3"/>
      <c r="C162" s="8"/>
      <c r="D162" s="6" t="s">
        <v>24</v>
      </c>
      <c r="E162" s="7">
        <v>46114</v>
      </c>
      <c r="F162" s="5" t="s">
        <v>754</v>
      </c>
      <c r="G162" s="3"/>
    </row>
    <row r="163" spans="1:7" ht="30" customHeight="1" x14ac:dyDescent="0.3">
      <c r="A163" s="5"/>
      <c r="B163" s="3"/>
      <c r="C163" s="8"/>
      <c r="D163" s="6" t="s">
        <v>20</v>
      </c>
      <c r="E163" s="8" t="s">
        <v>756</v>
      </c>
      <c r="F163" s="5" t="s">
        <v>757</v>
      </c>
      <c r="G163" s="17" t="s">
        <v>758</v>
      </c>
    </row>
    <row r="164" spans="1:7" ht="30" customHeight="1" x14ac:dyDescent="0.3">
      <c r="A164" s="64">
        <v>46114</v>
      </c>
      <c r="B164" s="3"/>
      <c r="C164" s="8"/>
      <c r="D164" s="6" t="s">
        <v>30</v>
      </c>
      <c r="E164" s="7">
        <v>46114</v>
      </c>
      <c r="F164" s="5" t="s">
        <v>761</v>
      </c>
      <c r="G164" s="3" t="s">
        <v>762</v>
      </c>
    </row>
    <row r="165" spans="1:7" ht="30" customHeight="1" x14ac:dyDescent="0.3">
      <c r="A165" s="5"/>
      <c r="B165" s="3"/>
      <c r="C165" s="8"/>
      <c r="D165" s="6" t="s">
        <v>53</v>
      </c>
      <c r="E165" s="7">
        <v>46114</v>
      </c>
      <c r="F165" s="5" t="s">
        <v>761</v>
      </c>
      <c r="G165" s="3" t="s">
        <v>762</v>
      </c>
    </row>
    <row r="166" spans="1:7" ht="30" customHeight="1" x14ac:dyDescent="0.3">
      <c r="A166" s="64">
        <v>46144</v>
      </c>
      <c r="B166" s="3"/>
      <c r="C166" s="8"/>
      <c r="D166" s="6" t="s">
        <v>20</v>
      </c>
      <c r="E166" s="7">
        <v>46175</v>
      </c>
      <c r="F166" s="5" t="s">
        <v>766</v>
      </c>
      <c r="G166" s="17" t="s">
        <v>767</v>
      </c>
    </row>
    <row r="167" spans="1:7" ht="30" customHeight="1" x14ac:dyDescent="0.3">
      <c r="A167" s="5"/>
      <c r="B167" s="3"/>
      <c r="C167" s="8"/>
      <c r="D167" s="6" t="s">
        <v>16</v>
      </c>
      <c r="E167" s="7">
        <v>46175</v>
      </c>
      <c r="F167" s="5" t="s">
        <v>766</v>
      </c>
      <c r="G167" s="17" t="s">
        <v>767</v>
      </c>
    </row>
    <row r="168" spans="1:7" ht="30" customHeight="1" x14ac:dyDescent="0.3">
      <c r="A168" s="5"/>
      <c r="B168" s="3"/>
      <c r="C168" s="8"/>
      <c r="D168" s="6" t="s">
        <v>523</v>
      </c>
      <c r="E168" s="7">
        <v>46175</v>
      </c>
      <c r="F168" s="5" t="s">
        <v>768</v>
      </c>
      <c r="G168" s="17" t="s">
        <v>769</v>
      </c>
    </row>
    <row r="169" spans="1:7" ht="30" customHeight="1" x14ac:dyDescent="0.3">
      <c r="A169" s="5"/>
      <c r="B169" s="3"/>
      <c r="C169" s="8"/>
      <c r="D169" s="6" t="s">
        <v>22</v>
      </c>
      <c r="E169" s="7">
        <v>46175</v>
      </c>
      <c r="F169" s="5" t="s">
        <v>770</v>
      </c>
      <c r="G169" s="3" t="s">
        <v>771</v>
      </c>
    </row>
    <row r="170" spans="1:7" ht="30" customHeight="1" x14ac:dyDescent="0.3">
      <c r="A170" s="5"/>
      <c r="B170" s="3"/>
      <c r="C170" s="8"/>
      <c r="D170" s="6" t="s">
        <v>23</v>
      </c>
      <c r="E170" s="7">
        <v>46175</v>
      </c>
      <c r="F170" s="5" t="s">
        <v>770</v>
      </c>
      <c r="G170" s="3" t="s">
        <v>771</v>
      </c>
    </row>
    <row r="171" spans="1:7" ht="30" customHeight="1" x14ac:dyDescent="0.3">
      <c r="A171" s="64">
        <v>46267</v>
      </c>
      <c r="B171" s="3"/>
      <c r="C171" s="8"/>
      <c r="D171" s="6" t="s">
        <v>20</v>
      </c>
      <c r="E171" s="7">
        <v>46297</v>
      </c>
      <c r="F171" s="5" t="s">
        <v>687</v>
      </c>
      <c r="G171" s="17" t="s">
        <v>794</v>
      </c>
    </row>
    <row r="172" spans="1:7" ht="30" customHeight="1" x14ac:dyDescent="0.3">
      <c r="A172" s="5"/>
      <c r="B172" s="3"/>
      <c r="C172" s="8"/>
      <c r="D172" s="6" t="s">
        <v>16</v>
      </c>
      <c r="E172" s="7">
        <v>46297</v>
      </c>
      <c r="F172" s="5" t="s">
        <v>687</v>
      </c>
      <c r="G172" s="17" t="s">
        <v>794</v>
      </c>
    </row>
    <row r="173" spans="1:7" ht="30" customHeight="1" x14ac:dyDescent="0.3">
      <c r="A173" s="5"/>
      <c r="B173" s="3"/>
      <c r="C173" s="10"/>
      <c r="D173" s="6" t="s">
        <v>58</v>
      </c>
      <c r="E173" s="7">
        <v>46297</v>
      </c>
      <c r="F173" s="5" t="s">
        <v>687</v>
      </c>
      <c r="G173" s="17" t="s">
        <v>794</v>
      </c>
    </row>
    <row r="174" spans="1:7" ht="30" customHeight="1" x14ac:dyDescent="0.3">
      <c r="A174" s="5"/>
      <c r="B174" s="3"/>
      <c r="C174" s="10"/>
      <c r="D174" s="6" t="s">
        <v>100</v>
      </c>
      <c r="E174" s="7">
        <v>46297</v>
      </c>
      <c r="F174" s="5" t="s">
        <v>819</v>
      </c>
      <c r="G174" s="3" t="s">
        <v>820</v>
      </c>
    </row>
    <row r="175" spans="1:7" ht="30" customHeight="1" x14ac:dyDescent="0.3">
      <c r="A175" s="5"/>
      <c r="B175" s="3"/>
      <c r="C175" s="10"/>
      <c r="D175" s="6" t="s">
        <v>22</v>
      </c>
      <c r="E175" s="7" t="s">
        <v>833</v>
      </c>
      <c r="F175" s="5" t="s">
        <v>831</v>
      </c>
      <c r="G175" s="17" t="s">
        <v>832</v>
      </c>
    </row>
    <row r="176" spans="1:7" ht="30" customHeight="1" x14ac:dyDescent="0.3">
      <c r="A176" s="5"/>
      <c r="B176" s="3"/>
      <c r="C176" s="10"/>
      <c r="D176" s="6" t="s">
        <v>23</v>
      </c>
      <c r="E176" s="7" t="s">
        <v>833</v>
      </c>
      <c r="F176" s="5" t="s">
        <v>831</v>
      </c>
      <c r="G176" s="17" t="s">
        <v>832</v>
      </c>
    </row>
    <row r="177" spans="1:7" ht="30" customHeight="1" x14ac:dyDescent="0.3">
      <c r="A177" s="5"/>
      <c r="B177" s="3"/>
      <c r="C177" s="10"/>
      <c r="D177" s="6" t="s">
        <v>837</v>
      </c>
      <c r="E177" s="7">
        <v>46358</v>
      </c>
      <c r="F177" s="5" t="s">
        <v>838</v>
      </c>
      <c r="G177" s="3" t="s">
        <v>839</v>
      </c>
    </row>
    <row r="178" spans="1:7" ht="30" customHeight="1" x14ac:dyDescent="0.3">
      <c r="A178" s="5"/>
      <c r="B178" s="3"/>
      <c r="C178" s="10"/>
      <c r="D178" s="6" t="s">
        <v>632</v>
      </c>
      <c r="E178" s="8" t="s">
        <v>840</v>
      </c>
      <c r="F178" s="5" t="s">
        <v>841</v>
      </c>
      <c r="G178" s="3" t="s">
        <v>842</v>
      </c>
    </row>
    <row r="179" spans="1:7" ht="30" customHeight="1" x14ac:dyDescent="0.3">
      <c r="A179" s="5"/>
      <c r="B179" s="3"/>
      <c r="C179" s="10"/>
      <c r="D179" s="6" t="s">
        <v>15</v>
      </c>
      <c r="E179" s="7">
        <v>46297</v>
      </c>
      <c r="F179" s="5" t="s">
        <v>235</v>
      </c>
      <c r="G179" s="3" t="s">
        <v>843</v>
      </c>
    </row>
    <row r="180" spans="1:7" ht="30" customHeight="1" x14ac:dyDescent="0.3">
      <c r="A180" s="64">
        <v>46297</v>
      </c>
      <c r="B180" s="3"/>
      <c r="C180" s="10"/>
      <c r="D180" s="6" t="s">
        <v>299</v>
      </c>
      <c r="E180" s="8" t="s">
        <v>833</v>
      </c>
      <c r="F180" s="5" t="s">
        <v>863</v>
      </c>
      <c r="G180" s="3" t="s">
        <v>864</v>
      </c>
    </row>
    <row r="181" spans="1:7" ht="30" customHeight="1" x14ac:dyDescent="0.3">
      <c r="A181" s="64">
        <v>46328</v>
      </c>
      <c r="B181" s="3"/>
      <c r="C181" s="9"/>
      <c r="D181" s="6" t="s">
        <v>21</v>
      </c>
      <c r="E181" s="7">
        <v>46297</v>
      </c>
      <c r="F181" s="5" t="s">
        <v>235</v>
      </c>
      <c r="G181" s="17" t="s">
        <v>867</v>
      </c>
    </row>
    <row r="182" spans="1:7" ht="30" customHeight="1" x14ac:dyDescent="0.3">
      <c r="A182" s="5"/>
      <c r="B182" s="3"/>
      <c r="C182" s="9"/>
      <c r="D182" s="6" t="s">
        <v>635</v>
      </c>
      <c r="E182" s="7">
        <v>46328</v>
      </c>
      <c r="F182" s="5" t="s">
        <v>768</v>
      </c>
      <c r="G182" s="17" t="s">
        <v>868</v>
      </c>
    </row>
    <row r="183" spans="1:7" ht="30" customHeight="1" x14ac:dyDescent="0.3">
      <c r="A183" s="5"/>
      <c r="B183" s="3"/>
      <c r="C183" s="9"/>
      <c r="D183" s="6" t="s">
        <v>705</v>
      </c>
      <c r="E183" s="8" t="s">
        <v>870</v>
      </c>
      <c r="F183" s="5" t="s">
        <v>161</v>
      </c>
      <c r="G183" s="3" t="s">
        <v>871</v>
      </c>
    </row>
    <row r="184" spans="1:7" ht="30" customHeight="1" x14ac:dyDescent="0.3">
      <c r="A184" s="5"/>
      <c r="B184" s="3"/>
      <c r="C184" s="9"/>
      <c r="D184" s="6" t="s">
        <v>21</v>
      </c>
      <c r="E184" s="8" t="s">
        <v>870</v>
      </c>
      <c r="F184" s="5" t="s">
        <v>161</v>
      </c>
      <c r="G184" s="3" t="s">
        <v>871</v>
      </c>
    </row>
    <row r="185" spans="1:7" ht="30" customHeight="1" x14ac:dyDescent="0.3">
      <c r="A185" s="64">
        <v>46358</v>
      </c>
      <c r="B185" s="3"/>
      <c r="C185" s="9"/>
      <c r="D185" s="6" t="s">
        <v>89</v>
      </c>
      <c r="E185" s="8" t="s">
        <v>905</v>
      </c>
      <c r="F185" s="5" t="s">
        <v>906</v>
      </c>
      <c r="G185" s="3" t="s">
        <v>907</v>
      </c>
    </row>
    <row r="186" spans="1:7" ht="30" customHeight="1" x14ac:dyDescent="0.3">
      <c r="A186" s="5" t="s">
        <v>702</v>
      </c>
      <c r="B186" s="3"/>
      <c r="C186" s="9"/>
      <c r="D186" s="6" t="s">
        <v>13</v>
      </c>
      <c r="E186" s="8" t="s">
        <v>911</v>
      </c>
      <c r="F186" s="5" t="s">
        <v>235</v>
      </c>
      <c r="G186" s="17" t="s">
        <v>912</v>
      </c>
    </row>
    <row r="187" spans="1:7" ht="30" customHeight="1" x14ac:dyDescent="0.3">
      <c r="A187" s="5" t="s">
        <v>795</v>
      </c>
      <c r="B187" s="3"/>
      <c r="C187" s="9"/>
      <c r="D187" s="6" t="s">
        <v>51</v>
      </c>
      <c r="E187" s="8" t="s">
        <v>911</v>
      </c>
      <c r="F187" s="5" t="s">
        <v>948</v>
      </c>
      <c r="G187" s="3" t="s">
        <v>864</v>
      </c>
    </row>
    <row r="188" spans="1:7" ht="30" customHeight="1" x14ac:dyDescent="0.3">
      <c r="A188" s="5"/>
      <c r="B188" s="3"/>
      <c r="C188" s="9"/>
      <c r="D188" s="6" t="s">
        <v>15</v>
      </c>
      <c r="E188" s="8" t="s">
        <v>702</v>
      </c>
      <c r="F188" s="5" t="s">
        <v>235</v>
      </c>
      <c r="G188" s="3" t="s">
        <v>843</v>
      </c>
    </row>
    <row r="189" spans="1:7" ht="30" customHeight="1" x14ac:dyDescent="0.3">
      <c r="A189" s="5"/>
      <c r="B189" s="3"/>
      <c r="C189" s="9"/>
      <c r="D189" s="6" t="s">
        <v>513</v>
      </c>
      <c r="E189" s="8" t="s">
        <v>795</v>
      </c>
      <c r="F189" s="5" t="s">
        <v>235</v>
      </c>
      <c r="G189" s="3" t="s">
        <v>843</v>
      </c>
    </row>
    <row r="190" spans="1:7" ht="30" customHeight="1" x14ac:dyDescent="0.3">
      <c r="A190" s="5"/>
      <c r="B190" s="3"/>
      <c r="C190" s="9"/>
      <c r="D190" s="6" t="s">
        <v>42</v>
      </c>
      <c r="E190" s="8" t="s">
        <v>755</v>
      </c>
      <c r="F190" s="5" t="s">
        <v>235</v>
      </c>
      <c r="G190" s="3" t="s">
        <v>986</v>
      </c>
    </row>
    <row r="191" spans="1:7" ht="30" customHeight="1" x14ac:dyDescent="0.3">
      <c r="A191" s="5"/>
      <c r="B191" s="3"/>
      <c r="C191" s="9"/>
      <c r="D191" s="6" t="s">
        <v>635</v>
      </c>
      <c r="E191" s="8" t="s">
        <v>755</v>
      </c>
      <c r="F191" s="5" t="s">
        <v>235</v>
      </c>
      <c r="G191" s="3" t="s">
        <v>986</v>
      </c>
    </row>
    <row r="192" spans="1:7" ht="30" customHeight="1" x14ac:dyDescent="0.3">
      <c r="A192" s="5"/>
      <c r="B192" s="3"/>
      <c r="C192" s="9"/>
      <c r="D192" s="6" t="s">
        <v>632</v>
      </c>
      <c r="E192" s="8" t="s">
        <v>1003</v>
      </c>
      <c r="F192" s="5" t="s">
        <v>987</v>
      </c>
      <c r="G192" s="3" t="s">
        <v>988</v>
      </c>
    </row>
    <row r="193" spans="1:7" ht="30" customHeight="1" x14ac:dyDescent="0.3">
      <c r="A193" s="5"/>
      <c r="B193" s="3"/>
      <c r="C193" s="9"/>
      <c r="D193" s="6" t="s">
        <v>15</v>
      </c>
      <c r="E193" s="8" t="s">
        <v>1019</v>
      </c>
      <c r="F193" s="5" t="s">
        <v>1000</v>
      </c>
      <c r="G193" s="3" t="s">
        <v>1001</v>
      </c>
    </row>
    <row r="194" spans="1:7" ht="30" customHeight="1" x14ac:dyDescent="0.3">
      <c r="A194" s="5"/>
      <c r="B194" s="3"/>
      <c r="C194" s="9"/>
      <c r="D194" s="6" t="s">
        <v>18</v>
      </c>
      <c r="E194" s="8" t="s">
        <v>1028</v>
      </c>
      <c r="F194" s="5" t="s">
        <v>1004</v>
      </c>
      <c r="G194" s="3" t="s">
        <v>407</v>
      </c>
    </row>
    <row r="195" spans="1:7" ht="30" customHeight="1" x14ac:dyDescent="0.3">
      <c r="A195" s="5" t="s">
        <v>1006</v>
      </c>
      <c r="B195" s="3"/>
      <c r="C195" s="9"/>
      <c r="D195" s="9"/>
      <c r="E195" s="9"/>
      <c r="F195" s="5" t="s">
        <v>235</v>
      </c>
      <c r="G195" s="3" t="s">
        <v>1020</v>
      </c>
    </row>
    <row r="196" spans="1:7" ht="30" customHeight="1" x14ac:dyDescent="0.3">
      <c r="A196" s="5"/>
      <c r="B196" s="3"/>
      <c r="C196" s="9"/>
      <c r="D196" s="9"/>
      <c r="E196" s="9"/>
      <c r="F196" s="5" t="s">
        <v>766</v>
      </c>
      <c r="G196" s="3" t="s">
        <v>1029</v>
      </c>
    </row>
    <row r="197" spans="1:7" ht="30" customHeight="1" x14ac:dyDescent="0.3">
      <c r="A197" s="5"/>
      <c r="B197" s="3"/>
      <c r="C197" s="9"/>
      <c r="D197" s="6" t="s">
        <v>635</v>
      </c>
      <c r="E197" s="8" t="s">
        <v>1028</v>
      </c>
      <c r="F197" s="5" t="s">
        <v>766</v>
      </c>
      <c r="G197" s="3" t="s">
        <v>1030</v>
      </c>
    </row>
    <row r="198" spans="1:7" ht="30" customHeight="1" x14ac:dyDescent="0.3">
      <c r="A198" s="5"/>
      <c r="B198" s="3"/>
      <c r="C198" s="9"/>
      <c r="D198" s="6" t="s">
        <v>635</v>
      </c>
      <c r="E198" s="7">
        <v>46056</v>
      </c>
      <c r="F198" s="5" t="s">
        <v>841</v>
      </c>
      <c r="G198" s="3" t="s">
        <v>1030</v>
      </c>
    </row>
    <row r="199" spans="1:7" ht="30" customHeight="1" x14ac:dyDescent="0.3">
      <c r="A199" s="5"/>
      <c r="B199" s="3"/>
      <c r="C199" s="9"/>
      <c r="D199" s="6" t="s">
        <v>22</v>
      </c>
      <c r="E199" s="8" t="s">
        <v>855</v>
      </c>
      <c r="F199" s="5" t="s">
        <v>1033</v>
      </c>
      <c r="G199" s="17" t="s">
        <v>1034</v>
      </c>
    </row>
    <row r="200" spans="1:7" ht="30" customHeight="1" x14ac:dyDescent="0.3">
      <c r="A200" s="5"/>
      <c r="B200" s="3"/>
      <c r="C200" s="9"/>
      <c r="D200" s="6" t="s">
        <v>23</v>
      </c>
      <c r="E200" s="8" t="s">
        <v>855</v>
      </c>
      <c r="F200" s="5" t="s">
        <v>1033</v>
      </c>
      <c r="G200" s="17" t="s">
        <v>1034</v>
      </c>
    </row>
    <row r="201" spans="1:7" ht="30" customHeight="1" x14ac:dyDescent="0.3">
      <c r="A201" s="5" t="s">
        <v>1115</v>
      </c>
      <c r="B201" s="3"/>
      <c r="C201" s="9"/>
      <c r="D201" s="6" t="s">
        <v>52</v>
      </c>
      <c r="E201" s="8" t="s">
        <v>854</v>
      </c>
      <c r="F201" s="5" t="s">
        <v>1126</v>
      </c>
      <c r="G201" s="3" t="s">
        <v>1127</v>
      </c>
    </row>
    <row r="202" spans="1:7" ht="30" customHeight="1" x14ac:dyDescent="0.3">
      <c r="A202" s="5"/>
      <c r="B202" s="3"/>
      <c r="C202" s="9"/>
      <c r="D202" s="6" t="s">
        <v>53</v>
      </c>
      <c r="E202" s="8" t="s">
        <v>854</v>
      </c>
      <c r="F202" s="5" t="s">
        <v>1126</v>
      </c>
      <c r="G202" s="3" t="s">
        <v>1127</v>
      </c>
    </row>
    <row r="203" spans="1:7" ht="30" customHeight="1" x14ac:dyDescent="0.3">
      <c r="A203" s="5"/>
      <c r="B203" s="3"/>
      <c r="C203" s="9"/>
      <c r="D203" s="6" t="s">
        <v>654</v>
      </c>
      <c r="E203" s="8" t="s">
        <v>854</v>
      </c>
      <c r="F203" s="5" t="s">
        <v>1126</v>
      </c>
      <c r="G203" s="3" t="s">
        <v>1127</v>
      </c>
    </row>
    <row r="204" spans="1:7" ht="30" customHeight="1" x14ac:dyDescent="0.3">
      <c r="A204" s="5"/>
      <c r="B204" s="3"/>
      <c r="C204" s="9"/>
      <c r="D204" s="6" t="s">
        <v>635</v>
      </c>
      <c r="E204" s="8" t="s">
        <v>854</v>
      </c>
      <c r="F204" s="5" t="s">
        <v>1128</v>
      </c>
      <c r="G204" s="17" t="s">
        <v>1129</v>
      </c>
    </row>
    <row r="205" spans="1:7" ht="30" customHeight="1" x14ac:dyDescent="0.3">
      <c r="A205" s="5"/>
      <c r="B205" s="3"/>
      <c r="C205" s="9"/>
      <c r="D205" s="6" t="s">
        <v>20</v>
      </c>
      <c r="E205" s="8" t="s">
        <v>1028</v>
      </c>
      <c r="F205" s="5" t="s">
        <v>1130</v>
      </c>
      <c r="G205" s="3" t="s">
        <v>1131</v>
      </c>
    </row>
    <row r="206" spans="1:7" ht="30" customHeight="1" x14ac:dyDescent="0.3">
      <c r="A206" s="5"/>
      <c r="B206" s="3"/>
      <c r="C206" s="9"/>
      <c r="D206" s="6" t="s">
        <v>20</v>
      </c>
      <c r="E206" s="7">
        <v>46084</v>
      </c>
      <c r="F206" s="5" t="s">
        <v>1132</v>
      </c>
      <c r="G206" s="3" t="s">
        <v>1133</v>
      </c>
    </row>
    <row r="207" spans="1:7" ht="30" customHeight="1" x14ac:dyDescent="0.3">
      <c r="A207" s="5" t="s">
        <v>1005</v>
      </c>
      <c r="B207" s="3"/>
      <c r="C207" s="9"/>
      <c r="D207" s="6" t="s">
        <v>15</v>
      </c>
      <c r="E207" s="8" t="s">
        <v>1005</v>
      </c>
      <c r="F207" s="5" t="s">
        <v>235</v>
      </c>
      <c r="G207" s="17" t="s">
        <v>1198</v>
      </c>
    </row>
    <row r="208" spans="1:7" ht="30" customHeight="1" x14ac:dyDescent="0.3">
      <c r="A208" s="5"/>
      <c r="B208" s="3"/>
      <c r="C208" s="9"/>
      <c r="D208" s="6" t="s">
        <v>50</v>
      </c>
      <c r="E208" s="8" t="s">
        <v>1028</v>
      </c>
      <c r="F208" s="5" t="s">
        <v>1203</v>
      </c>
      <c r="G208" s="17" t="s">
        <v>1204</v>
      </c>
    </row>
    <row r="209" spans="1:7" ht="30" customHeight="1" x14ac:dyDescent="0.3">
      <c r="A209" s="5"/>
      <c r="B209" s="3"/>
      <c r="C209" s="9"/>
      <c r="D209" s="6" t="s">
        <v>53</v>
      </c>
      <c r="E209" s="8" t="s">
        <v>1028</v>
      </c>
      <c r="F209" s="5" t="s">
        <v>1203</v>
      </c>
      <c r="G209" s="17" t="s">
        <v>1204</v>
      </c>
    </row>
    <row r="210" spans="1:7" ht="30" customHeight="1" x14ac:dyDescent="0.3">
      <c r="A210" s="5"/>
      <c r="B210" s="3"/>
      <c r="C210" s="9"/>
      <c r="D210" s="6" t="s">
        <v>49</v>
      </c>
      <c r="E210" s="8" t="s">
        <v>1028</v>
      </c>
      <c r="F210" s="5" t="s">
        <v>1203</v>
      </c>
      <c r="G210" s="17" t="s">
        <v>1204</v>
      </c>
    </row>
    <row r="211" spans="1:7" ht="30" customHeight="1" x14ac:dyDescent="0.3">
      <c r="A211" s="5"/>
      <c r="B211" s="3"/>
      <c r="C211" s="9"/>
      <c r="D211" s="6" t="s">
        <v>750</v>
      </c>
      <c r="E211" s="8" t="s">
        <v>1028</v>
      </c>
      <c r="F211" s="5" t="s">
        <v>1203</v>
      </c>
      <c r="G211" s="17" t="s">
        <v>1204</v>
      </c>
    </row>
    <row r="212" spans="1:7" ht="30" customHeight="1" x14ac:dyDescent="0.3">
      <c r="A212" s="5"/>
      <c r="B212" s="3"/>
      <c r="C212" s="9"/>
      <c r="D212" s="6" t="s">
        <v>52</v>
      </c>
      <c r="E212" s="8" t="s">
        <v>1028</v>
      </c>
      <c r="F212" s="5" t="s">
        <v>1203</v>
      </c>
      <c r="G212" s="17" t="s">
        <v>1204</v>
      </c>
    </row>
    <row r="213" spans="1:7" ht="30" customHeight="1" x14ac:dyDescent="0.3">
      <c r="A213" s="5"/>
      <c r="B213" s="3"/>
      <c r="C213" s="9"/>
      <c r="D213" s="6" t="s">
        <v>461</v>
      </c>
      <c r="E213" s="8" t="s">
        <v>1028</v>
      </c>
      <c r="F213" s="5" t="s">
        <v>868</v>
      </c>
      <c r="G213" s="17" t="s">
        <v>1204</v>
      </c>
    </row>
    <row r="214" spans="1:7" ht="30" customHeight="1" x14ac:dyDescent="0.3">
      <c r="A214" s="5"/>
      <c r="B214" s="3"/>
      <c r="C214" s="9"/>
      <c r="D214" s="6" t="s">
        <v>58</v>
      </c>
      <c r="E214" s="8" t="s">
        <v>1028</v>
      </c>
      <c r="F214" s="5" t="s">
        <v>1203</v>
      </c>
      <c r="G214" s="17" t="s">
        <v>1204</v>
      </c>
    </row>
    <row r="215" spans="1:7" ht="30" customHeight="1" x14ac:dyDescent="0.3">
      <c r="A215" s="5"/>
      <c r="B215" s="3"/>
      <c r="C215" s="9"/>
      <c r="D215" s="6" t="s">
        <v>1208</v>
      </c>
      <c r="E215" s="8" t="s">
        <v>1028</v>
      </c>
      <c r="F215" s="5" t="s">
        <v>1209</v>
      </c>
      <c r="G215" s="17" t="s">
        <v>1210</v>
      </c>
    </row>
    <row r="216" spans="1:7" ht="30" customHeight="1" x14ac:dyDescent="0.3">
      <c r="A216" s="5"/>
      <c r="B216" s="3"/>
      <c r="C216" s="9"/>
      <c r="D216" s="6" t="s">
        <v>632</v>
      </c>
      <c r="E216" s="8" t="s">
        <v>1028</v>
      </c>
      <c r="F216" s="5" t="s">
        <v>1209</v>
      </c>
      <c r="G216" s="17" t="s">
        <v>1210</v>
      </c>
    </row>
    <row r="217" spans="1:7" ht="30" customHeight="1" x14ac:dyDescent="0.3">
      <c r="A217" s="5"/>
      <c r="B217" s="3"/>
      <c r="C217" s="9"/>
      <c r="D217" s="6" t="s">
        <v>9</v>
      </c>
      <c r="E217" s="7">
        <v>46056</v>
      </c>
      <c r="F217" s="5" t="s">
        <v>1273</v>
      </c>
      <c r="G217" s="3" t="s">
        <v>1274</v>
      </c>
    </row>
    <row r="218" spans="1:7" ht="30" customHeight="1" x14ac:dyDescent="0.3">
      <c r="A218" s="5"/>
      <c r="B218" s="3"/>
      <c r="C218" s="9"/>
      <c r="D218" s="6" t="s">
        <v>705</v>
      </c>
      <c r="E218" s="7">
        <v>46056</v>
      </c>
      <c r="F218" s="5" t="s">
        <v>1273</v>
      </c>
      <c r="G218" s="3" t="s">
        <v>1274</v>
      </c>
    </row>
    <row r="219" spans="1:7" ht="30" customHeight="1" x14ac:dyDescent="0.3">
      <c r="A219" s="64">
        <v>46056</v>
      </c>
      <c r="B219" s="3"/>
      <c r="C219" s="9"/>
      <c r="D219" s="6" t="s">
        <v>1299</v>
      </c>
      <c r="E219" s="8" t="s">
        <v>1305</v>
      </c>
      <c r="F219" s="5" t="s">
        <v>1306</v>
      </c>
      <c r="G219" s="3" t="s">
        <v>1307</v>
      </c>
    </row>
    <row r="220" spans="1:7" ht="30" customHeight="1" x14ac:dyDescent="0.3">
      <c r="A220" s="5"/>
      <c r="B220" s="3"/>
      <c r="C220" s="9"/>
      <c r="D220" s="6" t="s">
        <v>1300</v>
      </c>
      <c r="E220" s="8" t="s">
        <v>1305</v>
      </c>
      <c r="F220" s="5" t="s">
        <v>1306</v>
      </c>
      <c r="G220" s="3" t="s">
        <v>1307</v>
      </c>
    </row>
    <row r="221" spans="1:7" ht="30" customHeight="1" x14ac:dyDescent="0.3">
      <c r="A221" s="5"/>
      <c r="B221" s="3"/>
      <c r="C221" s="9"/>
      <c r="D221" s="6" t="s">
        <v>1301</v>
      </c>
      <c r="E221" s="8" t="s">
        <v>1305</v>
      </c>
      <c r="F221" s="5" t="s">
        <v>1306</v>
      </c>
      <c r="G221" s="3" t="s">
        <v>1307</v>
      </c>
    </row>
    <row r="222" spans="1:7" ht="30" customHeight="1" x14ac:dyDescent="0.3">
      <c r="A222" s="5"/>
      <c r="B222" s="3"/>
      <c r="C222" s="9"/>
      <c r="D222" s="6" t="s">
        <v>1302</v>
      </c>
      <c r="E222" s="8" t="s">
        <v>1305</v>
      </c>
      <c r="F222" s="5" t="s">
        <v>1306</v>
      </c>
      <c r="G222" s="3" t="s">
        <v>1307</v>
      </c>
    </row>
    <row r="223" spans="1:7" ht="30" customHeight="1" x14ac:dyDescent="0.3">
      <c r="A223" s="5"/>
      <c r="B223" s="3"/>
      <c r="C223" s="9"/>
      <c r="D223" s="6" t="s">
        <v>1303</v>
      </c>
      <c r="E223" s="8" t="s">
        <v>1305</v>
      </c>
      <c r="F223" s="5" t="s">
        <v>1306</v>
      </c>
      <c r="G223" s="3" t="s">
        <v>1307</v>
      </c>
    </row>
    <row r="224" spans="1:7" ht="30" customHeight="1" x14ac:dyDescent="0.3">
      <c r="A224" s="5"/>
      <c r="B224" s="3"/>
      <c r="C224" s="9"/>
      <c r="D224" s="6" t="s">
        <v>1304</v>
      </c>
      <c r="E224" s="8" t="s">
        <v>1305</v>
      </c>
      <c r="F224" s="5" t="s">
        <v>1306</v>
      </c>
      <c r="G224" s="3" t="s">
        <v>1307</v>
      </c>
    </row>
    <row r="225" spans="1:7" ht="30" customHeight="1" x14ac:dyDescent="0.3">
      <c r="A225" s="64">
        <v>46056</v>
      </c>
      <c r="B225" s="3"/>
      <c r="C225" s="9"/>
      <c r="D225" s="6" t="s">
        <v>1308</v>
      </c>
      <c r="E225" s="7">
        <v>46084</v>
      </c>
      <c r="F225" s="5" t="s">
        <v>235</v>
      </c>
      <c r="G225" s="3" t="s">
        <v>986</v>
      </c>
    </row>
    <row r="226" spans="1:7" ht="30" customHeight="1" x14ac:dyDescent="0.3">
      <c r="A226" s="5"/>
      <c r="B226" s="3"/>
      <c r="C226" s="9"/>
      <c r="D226" s="6" t="s">
        <v>636</v>
      </c>
      <c r="E226" s="7">
        <v>46084</v>
      </c>
      <c r="F226" s="5" t="s">
        <v>235</v>
      </c>
      <c r="G226" s="3" t="s">
        <v>986</v>
      </c>
    </row>
    <row r="227" spans="1:7" ht="30" customHeight="1" x14ac:dyDescent="0.3">
      <c r="A227" s="5"/>
      <c r="B227" s="3"/>
      <c r="C227" s="9"/>
      <c r="D227" s="6" t="s">
        <v>1308</v>
      </c>
      <c r="E227" s="7">
        <v>46176</v>
      </c>
      <c r="F227" s="5" t="s">
        <v>687</v>
      </c>
      <c r="G227" s="17" t="s">
        <v>1309</v>
      </c>
    </row>
    <row r="228" spans="1:7" ht="30" customHeight="1" x14ac:dyDescent="0.3">
      <c r="A228" s="5"/>
      <c r="B228" s="3"/>
      <c r="C228" s="9"/>
      <c r="D228" s="6" t="s">
        <v>15</v>
      </c>
      <c r="E228" s="7">
        <v>46176</v>
      </c>
      <c r="F228" s="5" t="s">
        <v>687</v>
      </c>
      <c r="G228" s="17" t="s">
        <v>1309</v>
      </c>
    </row>
    <row r="229" spans="1:7" ht="30" customHeight="1" x14ac:dyDescent="0.3">
      <c r="A229" s="5"/>
      <c r="B229" s="3"/>
      <c r="C229" s="9"/>
      <c r="D229" s="6" t="s">
        <v>16</v>
      </c>
      <c r="E229" s="7">
        <v>46176</v>
      </c>
      <c r="F229" s="5" t="s">
        <v>687</v>
      </c>
      <c r="G229" s="17" t="s">
        <v>1309</v>
      </c>
    </row>
    <row r="230" spans="1:7" ht="30" customHeight="1" x14ac:dyDescent="0.3">
      <c r="A230" s="5"/>
      <c r="B230" s="3"/>
      <c r="C230" s="9"/>
      <c r="D230" s="6" t="s">
        <v>22</v>
      </c>
      <c r="E230" s="8" t="s">
        <v>1310</v>
      </c>
      <c r="F230" s="5" t="s">
        <v>751</v>
      </c>
      <c r="G230" s="3" t="s">
        <v>1311</v>
      </c>
    </row>
    <row r="231" spans="1:7" ht="30" customHeight="1" x14ac:dyDescent="0.3">
      <c r="A231" s="5"/>
      <c r="B231" s="3"/>
      <c r="C231" s="9"/>
      <c r="D231" s="6" t="s">
        <v>15</v>
      </c>
      <c r="E231" s="8" t="s">
        <v>1312</v>
      </c>
      <c r="F231" s="17" t="s">
        <v>1313</v>
      </c>
      <c r="G231" s="3" t="s">
        <v>1314</v>
      </c>
    </row>
    <row r="232" spans="1:7" ht="30" customHeight="1" x14ac:dyDescent="0.3">
      <c r="A232" s="5"/>
      <c r="B232" s="3"/>
      <c r="C232" s="9"/>
      <c r="D232" s="6" t="s">
        <v>632</v>
      </c>
      <c r="E232" s="7">
        <v>46084</v>
      </c>
      <c r="F232" s="5" t="s">
        <v>394</v>
      </c>
      <c r="G232" s="3" t="s">
        <v>1318</v>
      </c>
    </row>
    <row r="233" spans="1:7" ht="30" customHeight="1" x14ac:dyDescent="0.3">
      <c r="A233" s="5"/>
      <c r="B233" s="3"/>
      <c r="C233" s="9"/>
      <c r="D233" s="6" t="s">
        <v>646</v>
      </c>
      <c r="E233" s="7">
        <v>46084</v>
      </c>
      <c r="F233" s="5" t="s">
        <v>394</v>
      </c>
      <c r="G233" s="3" t="s">
        <v>1318</v>
      </c>
    </row>
    <row r="234" spans="1:7" ht="30" customHeight="1" x14ac:dyDescent="0.3">
      <c r="A234" s="5"/>
      <c r="B234" s="3"/>
      <c r="C234" s="9"/>
      <c r="D234" s="6" t="s">
        <v>23</v>
      </c>
      <c r="E234" s="7">
        <v>46084</v>
      </c>
      <c r="F234" s="5" t="s">
        <v>394</v>
      </c>
      <c r="G234" s="3" t="s">
        <v>1318</v>
      </c>
    </row>
    <row r="235" spans="1:7" ht="30" customHeight="1" x14ac:dyDescent="0.3">
      <c r="A235" s="5"/>
      <c r="B235" s="3"/>
      <c r="C235" s="9"/>
      <c r="D235" s="6" t="s">
        <v>22</v>
      </c>
      <c r="E235" s="7">
        <v>46084</v>
      </c>
      <c r="F235" s="5" t="s">
        <v>394</v>
      </c>
      <c r="G235" s="3" t="s">
        <v>1318</v>
      </c>
    </row>
    <row r="236" spans="1:7" ht="30" customHeight="1" x14ac:dyDescent="0.3">
      <c r="A236" s="64">
        <v>46145</v>
      </c>
      <c r="B236" s="3"/>
      <c r="C236" s="9"/>
      <c r="D236" s="6" t="s">
        <v>13</v>
      </c>
      <c r="E236" s="8" t="s">
        <v>1364</v>
      </c>
      <c r="F236" s="5" t="s">
        <v>1365</v>
      </c>
      <c r="G236" s="17" t="s">
        <v>1366</v>
      </c>
    </row>
    <row r="237" spans="1:7" ht="30" customHeight="1" x14ac:dyDescent="0.3">
      <c r="A237" s="5"/>
      <c r="B237" s="3"/>
      <c r="C237" s="9"/>
      <c r="D237" s="6" t="s">
        <v>705</v>
      </c>
      <c r="E237" s="8" t="s">
        <v>1364</v>
      </c>
      <c r="F237" s="5" t="s">
        <v>1365</v>
      </c>
      <c r="G237" s="17" t="s">
        <v>1366</v>
      </c>
    </row>
    <row r="238" spans="1:7" ht="30" customHeight="1" x14ac:dyDescent="0.3">
      <c r="A238" s="64">
        <v>46145</v>
      </c>
      <c r="B238" s="3"/>
      <c r="C238" s="9"/>
      <c r="D238" s="6" t="s">
        <v>632</v>
      </c>
      <c r="E238" s="7">
        <v>46145</v>
      </c>
      <c r="F238" s="5" t="s">
        <v>1004</v>
      </c>
      <c r="G238" s="17" t="s">
        <v>1370</v>
      </c>
    </row>
    <row r="239" spans="1:7" ht="30" customHeight="1" x14ac:dyDescent="0.3">
      <c r="A239" s="5"/>
      <c r="B239" s="3"/>
      <c r="C239" s="9"/>
      <c r="D239" s="6" t="s">
        <v>705</v>
      </c>
      <c r="E239" s="7">
        <v>46145</v>
      </c>
      <c r="F239" s="5" t="s">
        <v>1371</v>
      </c>
      <c r="G239" s="3" t="s">
        <v>1372</v>
      </c>
    </row>
    <row r="240" spans="1:7" ht="30" customHeight="1" x14ac:dyDescent="0.3">
      <c r="A240" s="5"/>
      <c r="B240" s="3"/>
      <c r="C240" s="9"/>
      <c r="D240" s="6" t="s">
        <v>21</v>
      </c>
      <c r="E240" s="7">
        <v>46145</v>
      </c>
      <c r="F240" s="5" t="s">
        <v>1371</v>
      </c>
      <c r="G240" s="3" t="s">
        <v>1372</v>
      </c>
    </row>
    <row r="241" spans="1:7" ht="30" customHeight="1" x14ac:dyDescent="0.3">
      <c r="A241" s="5"/>
      <c r="B241" s="3"/>
      <c r="C241" s="9"/>
      <c r="D241" s="6" t="s">
        <v>28</v>
      </c>
      <c r="E241" s="7">
        <v>46145</v>
      </c>
      <c r="F241" s="5" t="s">
        <v>235</v>
      </c>
      <c r="G241" s="3" t="s">
        <v>1413</v>
      </c>
    </row>
    <row r="242" spans="1:7" ht="30" customHeight="1" x14ac:dyDescent="0.3">
      <c r="A242" s="64">
        <v>46268</v>
      </c>
      <c r="B242" s="3"/>
      <c r="C242" s="9"/>
      <c r="D242" s="6" t="s">
        <v>15</v>
      </c>
      <c r="E242" s="7">
        <v>46268</v>
      </c>
      <c r="F242" s="5" t="s">
        <v>1443</v>
      </c>
      <c r="G242" s="3" t="s">
        <v>1444</v>
      </c>
    </row>
    <row r="243" spans="1:7" ht="30" customHeight="1" x14ac:dyDescent="0.3">
      <c r="A243" s="5"/>
      <c r="B243" s="3"/>
      <c r="C243" s="9"/>
      <c r="D243" s="6" t="s">
        <v>15</v>
      </c>
      <c r="E243" s="7">
        <v>46359</v>
      </c>
      <c r="F243" s="5" t="s">
        <v>766</v>
      </c>
      <c r="G243" s="17" t="s">
        <v>1309</v>
      </c>
    </row>
    <row r="244" spans="1:7" ht="30" customHeight="1" x14ac:dyDescent="0.3">
      <c r="A244" s="5"/>
      <c r="B244" s="3"/>
      <c r="C244" s="9"/>
      <c r="D244" s="6" t="s">
        <v>20</v>
      </c>
      <c r="E244" s="7">
        <v>46359</v>
      </c>
      <c r="F244" s="5" t="s">
        <v>766</v>
      </c>
      <c r="G244" s="17" t="s">
        <v>1309</v>
      </c>
    </row>
    <row r="245" spans="1:7" ht="30" customHeight="1" x14ac:dyDescent="0.3">
      <c r="A245" s="5"/>
      <c r="B245" s="3"/>
      <c r="C245" s="9"/>
      <c r="D245" s="6" t="s">
        <v>16</v>
      </c>
      <c r="E245" s="7">
        <v>46359</v>
      </c>
      <c r="F245" s="5" t="s">
        <v>766</v>
      </c>
      <c r="G245" s="17" t="s">
        <v>1309</v>
      </c>
    </row>
    <row r="246" spans="1:7" ht="30" customHeight="1" x14ac:dyDescent="0.3">
      <c r="A246" s="5"/>
      <c r="B246" s="3"/>
      <c r="C246" s="9"/>
      <c r="D246" s="6" t="s">
        <v>15</v>
      </c>
      <c r="E246" s="8" t="s">
        <v>1473</v>
      </c>
      <c r="F246" s="5" t="s">
        <v>235</v>
      </c>
      <c r="G246" s="3" t="s">
        <v>1474</v>
      </c>
    </row>
    <row r="247" spans="1:7" ht="30" customHeight="1" x14ac:dyDescent="0.3">
      <c r="A247" s="64">
        <v>46298</v>
      </c>
      <c r="B247" s="3"/>
      <c r="C247" s="9"/>
      <c r="D247" s="6" t="s">
        <v>635</v>
      </c>
      <c r="E247" s="7">
        <v>46359</v>
      </c>
      <c r="F247" s="5" t="s">
        <v>766</v>
      </c>
      <c r="G247" s="17" t="s">
        <v>654</v>
      </c>
    </row>
    <row r="248" spans="1:7" ht="30" customHeight="1" x14ac:dyDescent="0.3">
      <c r="A248" s="5"/>
      <c r="B248" s="3"/>
      <c r="C248" s="9"/>
      <c r="D248" s="6" t="s">
        <v>1303</v>
      </c>
      <c r="E248" s="7">
        <v>46359</v>
      </c>
      <c r="F248" s="5" t="s">
        <v>766</v>
      </c>
      <c r="G248" s="17" t="s">
        <v>1309</v>
      </c>
    </row>
    <row r="249" spans="1:7" ht="30" customHeight="1" x14ac:dyDescent="0.3">
      <c r="A249" s="64">
        <v>46329</v>
      </c>
      <c r="B249" s="3"/>
      <c r="C249" s="9"/>
      <c r="D249" s="6" t="s">
        <v>23</v>
      </c>
      <c r="E249" s="8" t="s">
        <v>1275</v>
      </c>
      <c r="F249" s="5" t="s">
        <v>1533</v>
      </c>
      <c r="G249" s="3" t="s">
        <v>1534</v>
      </c>
    </row>
    <row r="250" spans="1:7" ht="30" customHeight="1" x14ac:dyDescent="0.3">
      <c r="A250" s="5"/>
      <c r="B250" s="3"/>
      <c r="C250" s="9"/>
      <c r="D250" s="6" t="s">
        <v>22</v>
      </c>
      <c r="E250" s="8" t="s">
        <v>1275</v>
      </c>
      <c r="F250" s="5" t="s">
        <v>1533</v>
      </c>
      <c r="G250" s="3" t="s">
        <v>1534</v>
      </c>
    </row>
    <row r="251" spans="1:7" ht="30" customHeight="1" x14ac:dyDescent="0.3">
      <c r="A251" s="5"/>
      <c r="B251" s="3"/>
      <c r="C251" s="9"/>
      <c r="D251" s="6" t="s">
        <v>21</v>
      </c>
      <c r="E251" s="8" t="s">
        <v>1574</v>
      </c>
      <c r="F251" s="5" t="s">
        <v>1575</v>
      </c>
      <c r="G251" s="3" t="s">
        <v>1576</v>
      </c>
    </row>
    <row r="252" spans="1:7" ht="30" customHeight="1" x14ac:dyDescent="0.3">
      <c r="A252" s="5"/>
      <c r="B252" s="3"/>
      <c r="C252" s="9"/>
      <c r="D252" s="6" t="s">
        <v>632</v>
      </c>
      <c r="E252" s="8" t="s">
        <v>1574</v>
      </c>
      <c r="F252" s="5" t="s">
        <v>1575</v>
      </c>
      <c r="G252" s="3" t="s">
        <v>1576</v>
      </c>
    </row>
    <row r="253" spans="1:7" ht="30" customHeight="1" x14ac:dyDescent="0.3">
      <c r="A253" s="5"/>
      <c r="B253" s="3"/>
      <c r="C253" s="9"/>
      <c r="D253" s="6" t="s">
        <v>16</v>
      </c>
      <c r="E253" s="8" t="s">
        <v>1582</v>
      </c>
      <c r="F253" s="5" t="s">
        <v>1583</v>
      </c>
      <c r="G253" s="3" t="s">
        <v>1317</v>
      </c>
    </row>
    <row r="254" spans="1:7" ht="30" customHeight="1" x14ac:dyDescent="0.3">
      <c r="A254" s="5" t="s">
        <v>1582</v>
      </c>
      <c r="B254" s="3"/>
      <c r="C254" s="9"/>
      <c r="D254" s="6" t="s">
        <v>20</v>
      </c>
      <c r="E254" s="8" t="s">
        <v>1601</v>
      </c>
      <c r="F254" s="5" t="s">
        <v>1602</v>
      </c>
      <c r="G254" s="17" t="s">
        <v>1603</v>
      </c>
    </row>
    <row r="255" spans="1:7" ht="30" customHeight="1" x14ac:dyDescent="0.3">
      <c r="A255" s="5"/>
      <c r="B255" s="3"/>
      <c r="C255" s="9"/>
      <c r="D255" s="6" t="s">
        <v>58</v>
      </c>
      <c r="E255" s="8" t="s">
        <v>1601</v>
      </c>
      <c r="F255" s="5" t="s">
        <v>1602</v>
      </c>
      <c r="G255" s="17" t="s">
        <v>1603</v>
      </c>
    </row>
    <row r="256" spans="1:7" ht="30" customHeight="1" x14ac:dyDescent="0.3">
      <c r="A256" s="5"/>
      <c r="B256" s="3"/>
      <c r="C256" s="9"/>
      <c r="D256" s="6" t="s">
        <v>16</v>
      </c>
      <c r="E256" s="8" t="s">
        <v>1601</v>
      </c>
      <c r="F256" s="5" t="s">
        <v>1602</v>
      </c>
      <c r="G256" s="17" t="s">
        <v>1603</v>
      </c>
    </row>
    <row r="257" spans="1:7" ht="30" customHeight="1" x14ac:dyDescent="0.3">
      <c r="A257" s="5"/>
      <c r="B257" s="3"/>
      <c r="C257" s="9"/>
      <c r="D257" s="6" t="s">
        <v>523</v>
      </c>
      <c r="E257" s="8" t="s">
        <v>1275</v>
      </c>
      <c r="F257" s="5" t="s">
        <v>768</v>
      </c>
      <c r="G257" s="17" t="s">
        <v>1604</v>
      </c>
    </row>
    <row r="258" spans="1:7" ht="30" customHeight="1" x14ac:dyDescent="0.3">
      <c r="A258" s="5"/>
      <c r="B258" s="3"/>
      <c r="C258" s="9"/>
      <c r="D258" s="6" t="s">
        <v>632</v>
      </c>
      <c r="E258" s="8" t="s">
        <v>1601</v>
      </c>
      <c r="F258" s="5" t="s">
        <v>235</v>
      </c>
      <c r="G258" s="3" t="s">
        <v>1621</v>
      </c>
    </row>
    <row r="259" spans="1:7" ht="30" customHeight="1" x14ac:dyDescent="0.3">
      <c r="A259" s="5"/>
      <c r="B259" s="3"/>
      <c r="C259" s="9"/>
      <c r="D259" s="6" t="s">
        <v>1622</v>
      </c>
      <c r="E259" s="8" t="s">
        <v>1623</v>
      </c>
      <c r="F259" s="5" t="s">
        <v>1624</v>
      </c>
      <c r="G259" s="3" t="s">
        <v>1625</v>
      </c>
    </row>
    <row r="260" spans="1:7" ht="30" customHeight="1" x14ac:dyDescent="0.3">
      <c r="A260" s="5"/>
      <c r="B260" s="3"/>
      <c r="C260" s="9"/>
      <c r="D260" s="6" t="s">
        <v>15</v>
      </c>
      <c r="E260" s="8" t="s">
        <v>356</v>
      </c>
      <c r="F260" s="5" t="s">
        <v>235</v>
      </c>
      <c r="G260" s="3" t="s">
        <v>1659</v>
      </c>
    </row>
    <row r="261" spans="1:7" ht="30" customHeight="1" x14ac:dyDescent="0.3">
      <c r="A261" s="5"/>
      <c r="B261" s="3"/>
      <c r="C261" s="9"/>
      <c r="D261" s="6" t="s">
        <v>46</v>
      </c>
      <c r="E261" s="8" t="s">
        <v>356</v>
      </c>
      <c r="F261" s="5" t="s">
        <v>235</v>
      </c>
      <c r="G261" s="3" t="s">
        <v>1658</v>
      </c>
    </row>
    <row r="262" spans="1:7" ht="30" customHeight="1" x14ac:dyDescent="0.3">
      <c r="A262" s="5"/>
      <c r="B262" s="3"/>
      <c r="C262" s="9"/>
      <c r="D262" s="6" t="s">
        <v>42</v>
      </c>
      <c r="E262" s="8" t="s">
        <v>1417</v>
      </c>
      <c r="F262" s="5" t="s">
        <v>235</v>
      </c>
      <c r="G262" s="3" t="s">
        <v>1658</v>
      </c>
    </row>
    <row r="263" spans="1:7" ht="30" customHeight="1" x14ac:dyDescent="0.3">
      <c r="A263" s="5" t="s">
        <v>1664</v>
      </c>
      <c r="B263" s="3"/>
      <c r="C263" s="9"/>
      <c r="D263" s="6" t="s">
        <v>21</v>
      </c>
      <c r="E263" s="8" t="s">
        <v>1676</v>
      </c>
      <c r="F263" s="5" t="s">
        <v>235</v>
      </c>
      <c r="G263" s="17" t="s">
        <v>867</v>
      </c>
    </row>
    <row r="264" spans="1:7" ht="30" customHeight="1" x14ac:dyDescent="0.3">
      <c r="A264" s="5" t="s">
        <v>1731</v>
      </c>
      <c r="B264" s="3"/>
      <c r="C264" s="9"/>
      <c r="D264" s="6" t="s">
        <v>632</v>
      </c>
      <c r="E264" s="8" t="s">
        <v>1744</v>
      </c>
      <c r="F264" s="5" t="s">
        <v>1745</v>
      </c>
      <c r="G264" s="3" t="s">
        <v>1746</v>
      </c>
    </row>
    <row r="265" spans="1:7" ht="30" customHeight="1" x14ac:dyDescent="0.3">
      <c r="A265" s="5"/>
      <c r="B265" s="3"/>
      <c r="C265" s="9"/>
      <c r="D265" s="6" t="s">
        <v>22</v>
      </c>
      <c r="E265" s="8" t="s">
        <v>1744</v>
      </c>
      <c r="F265" s="5" t="s">
        <v>1745</v>
      </c>
      <c r="G265" s="3" t="s">
        <v>1746</v>
      </c>
    </row>
    <row r="266" spans="1:7" ht="30" customHeight="1" x14ac:dyDescent="0.3">
      <c r="A266" s="5"/>
      <c r="B266" s="3"/>
      <c r="C266" s="9"/>
      <c r="D266" s="6" t="s">
        <v>23</v>
      </c>
      <c r="E266" s="8" t="s">
        <v>1744</v>
      </c>
      <c r="F266" s="5" t="s">
        <v>1745</v>
      </c>
      <c r="G266" s="3" t="s">
        <v>1746</v>
      </c>
    </row>
    <row r="267" spans="1:7" ht="30" customHeight="1" x14ac:dyDescent="0.3">
      <c r="A267" s="5"/>
      <c r="B267" s="3"/>
      <c r="C267" s="9"/>
      <c r="D267" s="6" t="s">
        <v>53</v>
      </c>
      <c r="E267" s="8" t="s">
        <v>1744</v>
      </c>
      <c r="F267" s="5" t="s">
        <v>235</v>
      </c>
      <c r="G267" s="3" t="s">
        <v>1749</v>
      </c>
    </row>
    <row r="268" spans="1:7" ht="30" customHeight="1" x14ac:dyDescent="0.3">
      <c r="A268" s="5"/>
      <c r="B268" s="3"/>
      <c r="C268" s="9"/>
      <c r="D268" s="6" t="s">
        <v>24</v>
      </c>
      <c r="E268" s="8" t="s">
        <v>1744</v>
      </c>
      <c r="F268" s="5" t="s">
        <v>235</v>
      </c>
      <c r="G268" s="3" t="s">
        <v>1749</v>
      </c>
    </row>
    <row r="269" spans="1:7" ht="30" customHeight="1" x14ac:dyDescent="0.3">
      <c r="A269" s="5"/>
      <c r="B269" s="3"/>
      <c r="C269" s="9"/>
      <c r="D269" s="6" t="s">
        <v>18</v>
      </c>
      <c r="E269" s="8" t="s">
        <v>1744</v>
      </c>
      <c r="F269" s="5" t="s">
        <v>235</v>
      </c>
      <c r="G269" s="3" t="s">
        <v>1749</v>
      </c>
    </row>
    <row r="270" spans="1:7" ht="30" customHeight="1" x14ac:dyDescent="0.3">
      <c r="A270" s="5"/>
      <c r="B270" s="3"/>
      <c r="C270" s="9"/>
      <c r="D270" s="6" t="s">
        <v>21</v>
      </c>
      <c r="E270" s="8" t="s">
        <v>1744</v>
      </c>
      <c r="F270" s="5" t="s">
        <v>161</v>
      </c>
      <c r="G270" s="3" t="s">
        <v>1751</v>
      </c>
    </row>
    <row r="271" spans="1:7" ht="30" customHeight="1" x14ac:dyDescent="0.3">
      <c r="A271" s="5"/>
      <c r="B271" s="3"/>
      <c r="C271" s="9"/>
      <c r="D271" s="6" t="s">
        <v>144</v>
      </c>
      <c r="E271" s="8" t="s">
        <v>1744</v>
      </c>
      <c r="F271" s="5" t="s">
        <v>1752</v>
      </c>
      <c r="G271" s="17" t="s">
        <v>1753</v>
      </c>
    </row>
    <row r="272" spans="1:7" ht="30" customHeight="1" x14ac:dyDescent="0.3">
      <c r="A272" s="5"/>
      <c r="B272" s="3"/>
      <c r="C272" s="9"/>
      <c r="D272" s="6" t="s">
        <v>16</v>
      </c>
      <c r="E272" s="8" t="s">
        <v>1744</v>
      </c>
      <c r="F272" s="5" t="s">
        <v>1752</v>
      </c>
      <c r="G272" s="17" t="s">
        <v>1753</v>
      </c>
    </row>
    <row r="273" spans="1:7" ht="30" customHeight="1" x14ac:dyDescent="0.3">
      <c r="A273" s="5"/>
      <c r="B273" s="3"/>
      <c r="C273" s="9"/>
      <c r="D273" s="6" t="s">
        <v>144</v>
      </c>
      <c r="E273" s="8" t="s">
        <v>1754</v>
      </c>
      <c r="F273" s="5" t="s">
        <v>766</v>
      </c>
      <c r="G273" s="17" t="s">
        <v>1309</v>
      </c>
    </row>
    <row r="274" spans="1:7" ht="30" customHeight="1" x14ac:dyDescent="0.3">
      <c r="A274" s="5"/>
      <c r="B274" s="3"/>
      <c r="C274" s="9"/>
      <c r="D274" s="6" t="s">
        <v>16</v>
      </c>
      <c r="E274" s="8" t="s">
        <v>1754</v>
      </c>
      <c r="F274" s="5" t="s">
        <v>766</v>
      </c>
      <c r="G274" s="17" t="s">
        <v>1309</v>
      </c>
    </row>
    <row r="275" spans="1:7" ht="30" customHeight="1" x14ac:dyDescent="0.3">
      <c r="A275" s="2"/>
      <c r="B275" s="2"/>
      <c r="C275" s="9"/>
      <c r="D275" s="6" t="s">
        <v>1303</v>
      </c>
      <c r="E275" s="8" t="s">
        <v>1754</v>
      </c>
      <c r="F275" s="5" t="s">
        <v>766</v>
      </c>
      <c r="G275" s="17" t="s">
        <v>1309</v>
      </c>
    </row>
    <row r="276" spans="1:7" ht="30" customHeight="1" x14ac:dyDescent="0.3">
      <c r="A276" s="2"/>
      <c r="B276" s="2"/>
      <c r="C276" s="9"/>
      <c r="D276" s="6" t="s">
        <v>26</v>
      </c>
      <c r="E276" s="8" t="s">
        <v>1760</v>
      </c>
      <c r="F276" s="5" t="s">
        <v>1761</v>
      </c>
      <c r="G276" s="3" t="s">
        <v>1762</v>
      </c>
    </row>
    <row r="277" spans="1:7" ht="30" customHeight="1" x14ac:dyDescent="0.3">
      <c r="A277" s="2"/>
      <c r="B277" s="2"/>
      <c r="C277" s="9"/>
      <c r="D277" s="6" t="s">
        <v>15</v>
      </c>
      <c r="E277" s="8" t="s">
        <v>1744</v>
      </c>
      <c r="F277" s="5" t="s">
        <v>235</v>
      </c>
      <c r="G277" s="3" t="s">
        <v>1767</v>
      </c>
    </row>
    <row r="278" spans="1:7" ht="30" customHeight="1" x14ac:dyDescent="0.3">
      <c r="A278" s="2"/>
      <c r="B278" s="2"/>
      <c r="C278" s="9"/>
      <c r="D278" s="6" t="s">
        <v>29</v>
      </c>
      <c r="E278" s="8" t="s">
        <v>1769</v>
      </c>
      <c r="F278" s="5" t="s">
        <v>1772</v>
      </c>
      <c r="G278" s="3" t="s">
        <v>1773</v>
      </c>
    </row>
    <row r="279" spans="1:7" ht="30" customHeight="1" x14ac:dyDescent="0.3">
      <c r="A279" s="2"/>
      <c r="B279" s="2"/>
      <c r="C279" s="9"/>
      <c r="D279" s="6" t="s">
        <v>20</v>
      </c>
      <c r="E279" s="8" t="s">
        <v>1769</v>
      </c>
      <c r="F279" s="5" t="s">
        <v>1772</v>
      </c>
      <c r="G279" s="3" t="s">
        <v>1773</v>
      </c>
    </row>
    <row r="280" spans="1:7" ht="30" customHeight="1" x14ac:dyDescent="0.3">
      <c r="A280" s="2"/>
      <c r="B280" s="2"/>
      <c r="C280" s="9"/>
      <c r="D280" s="6" t="s">
        <v>16</v>
      </c>
      <c r="E280" s="8" t="s">
        <v>1769</v>
      </c>
      <c r="F280" s="5" t="s">
        <v>1772</v>
      </c>
      <c r="G280" s="3" t="s">
        <v>1773</v>
      </c>
    </row>
    <row r="281" spans="1:7" ht="30" customHeight="1" x14ac:dyDescent="0.3">
      <c r="A281" s="2"/>
      <c r="B281" s="2"/>
      <c r="C281" s="9"/>
      <c r="D281" s="3" t="s">
        <v>23</v>
      </c>
      <c r="E281" s="8" t="s">
        <v>1739</v>
      </c>
      <c r="F281" s="3" t="s">
        <v>1169</v>
      </c>
      <c r="G281" s="3" t="s">
        <v>1788</v>
      </c>
    </row>
    <row r="282" spans="1:7" ht="30" customHeight="1" x14ac:dyDescent="0.3">
      <c r="A282" s="2"/>
      <c r="B282" s="2"/>
      <c r="C282" s="9"/>
      <c r="D282" s="3" t="s">
        <v>20</v>
      </c>
      <c r="E282" s="8" t="s">
        <v>1739</v>
      </c>
      <c r="F282" s="3" t="s">
        <v>1169</v>
      </c>
      <c r="G282" s="3" t="s">
        <v>1788</v>
      </c>
    </row>
    <row r="283" spans="1:7" x14ac:dyDescent="0.3">
      <c r="A283" s="9"/>
      <c r="B283" s="2"/>
      <c r="C283" s="9"/>
      <c r="D283" s="3" t="s">
        <v>17</v>
      </c>
      <c r="E283" s="8" t="s">
        <v>1739</v>
      </c>
      <c r="F283" s="3" t="s">
        <v>1169</v>
      </c>
      <c r="G283" s="3" t="s">
        <v>1788</v>
      </c>
    </row>
    <row r="284" spans="1:7" x14ac:dyDescent="0.3">
      <c r="A284" s="9"/>
      <c r="B284" s="2"/>
      <c r="C284" s="9"/>
      <c r="D284" s="3" t="s">
        <v>58</v>
      </c>
      <c r="E284" s="8" t="s">
        <v>1739</v>
      </c>
      <c r="F284" s="3" t="s">
        <v>1169</v>
      </c>
      <c r="G284" s="3" t="s">
        <v>1788</v>
      </c>
    </row>
    <row r="285" spans="1:7" x14ac:dyDescent="0.3">
      <c r="A285" s="9"/>
      <c r="B285" s="2"/>
      <c r="C285" s="9"/>
      <c r="D285" s="3" t="s">
        <v>1787</v>
      </c>
      <c r="E285" s="8" t="s">
        <v>1739</v>
      </c>
      <c r="F285" s="3" t="s">
        <v>1169</v>
      </c>
      <c r="G285" s="3" t="s">
        <v>1788</v>
      </c>
    </row>
    <row r="286" spans="1:7" x14ac:dyDescent="0.3">
      <c r="A286" s="9"/>
      <c r="B286" s="2"/>
      <c r="C286" s="9"/>
      <c r="D286" s="3" t="s">
        <v>634</v>
      </c>
      <c r="E286" s="8" t="s">
        <v>1739</v>
      </c>
      <c r="F286" s="3" t="s">
        <v>1169</v>
      </c>
      <c r="G286" s="3" t="s">
        <v>1788</v>
      </c>
    </row>
    <row r="287" spans="1:7" x14ac:dyDescent="0.3">
      <c r="A287" s="9"/>
      <c r="B287" s="2"/>
      <c r="C287" s="9"/>
      <c r="D287" s="3" t="s">
        <v>30</v>
      </c>
      <c r="E287" s="8" t="s">
        <v>1739</v>
      </c>
      <c r="F287" s="3" t="s">
        <v>1169</v>
      </c>
      <c r="G287" s="3" t="s">
        <v>1788</v>
      </c>
    </row>
    <row r="288" spans="1:7" x14ac:dyDescent="0.3">
      <c r="A288" s="9"/>
      <c r="B288" s="2"/>
      <c r="C288" s="9"/>
      <c r="D288" s="3" t="s">
        <v>53</v>
      </c>
      <c r="E288" s="8" t="s">
        <v>1739</v>
      </c>
      <c r="F288" s="3" t="s">
        <v>1169</v>
      </c>
      <c r="G288" s="3" t="s">
        <v>1788</v>
      </c>
    </row>
    <row r="289" spans="1:7" x14ac:dyDescent="0.3">
      <c r="A289" s="9"/>
      <c r="B289" s="2"/>
      <c r="C289" s="9"/>
      <c r="D289" s="3" t="s">
        <v>24</v>
      </c>
      <c r="E289" s="8" t="s">
        <v>1739</v>
      </c>
      <c r="F289" s="3" t="s">
        <v>1169</v>
      </c>
      <c r="G289" s="3" t="s">
        <v>1788</v>
      </c>
    </row>
    <row r="290" spans="1:7" x14ac:dyDescent="0.3">
      <c r="A290" s="9"/>
      <c r="B290" s="2"/>
      <c r="C290" s="9"/>
      <c r="D290" s="3" t="s">
        <v>46</v>
      </c>
      <c r="E290" s="8" t="s">
        <v>1739</v>
      </c>
      <c r="F290" s="3" t="s">
        <v>1169</v>
      </c>
      <c r="G290" s="3" t="s">
        <v>1788</v>
      </c>
    </row>
    <row r="291" spans="1:7" x14ac:dyDescent="0.3">
      <c r="A291" s="9"/>
      <c r="B291" s="2"/>
      <c r="C291" s="9"/>
      <c r="D291" s="3" t="s">
        <v>42</v>
      </c>
      <c r="E291" s="21" t="s">
        <v>1789</v>
      </c>
      <c r="F291" s="3" t="s">
        <v>235</v>
      </c>
      <c r="G291" s="3" t="s">
        <v>1790</v>
      </c>
    </row>
    <row r="292" spans="1:7" x14ac:dyDescent="0.3">
      <c r="A292" s="9"/>
      <c r="B292" s="2"/>
      <c r="C292" s="9"/>
      <c r="D292" s="3" t="s">
        <v>632</v>
      </c>
      <c r="E292" s="3" t="s">
        <v>1791</v>
      </c>
      <c r="F292" s="3" t="s">
        <v>1792</v>
      </c>
      <c r="G292" s="3" t="s">
        <v>1793</v>
      </c>
    </row>
    <row r="293" spans="1:7" x14ac:dyDescent="0.3">
      <c r="A293" s="9"/>
      <c r="B293" s="2"/>
      <c r="C293" s="9"/>
      <c r="D293" s="3" t="s">
        <v>646</v>
      </c>
      <c r="E293" s="21" t="s">
        <v>1789</v>
      </c>
      <c r="F293" s="3" t="s">
        <v>235</v>
      </c>
      <c r="G293" s="3" t="s">
        <v>1794</v>
      </c>
    </row>
    <row r="294" spans="1:7" x14ac:dyDescent="0.3">
      <c r="A294" s="9"/>
      <c r="B294" s="9"/>
      <c r="C294" s="9"/>
      <c r="D294" s="3" t="s">
        <v>22</v>
      </c>
      <c r="E294" s="21" t="s">
        <v>1789</v>
      </c>
      <c r="F294" s="3" t="s">
        <v>235</v>
      </c>
      <c r="G294" s="3" t="s">
        <v>1794</v>
      </c>
    </row>
    <row r="295" spans="1:7" x14ac:dyDescent="0.3">
      <c r="A295" s="9"/>
      <c r="B295" s="9"/>
      <c r="C295" s="9"/>
      <c r="D295" s="3" t="s">
        <v>20</v>
      </c>
      <c r="E295" s="21" t="s">
        <v>1789</v>
      </c>
      <c r="F295" s="3" t="s">
        <v>235</v>
      </c>
      <c r="G295" s="3" t="s">
        <v>1794</v>
      </c>
    </row>
    <row r="296" spans="1:7" x14ac:dyDescent="0.3">
      <c r="A296" s="9"/>
      <c r="B296" s="9"/>
      <c r="C296" s="9"/>
      <c r="D296" s="3" t="s">
        <v>1806</v>
      </c>
      <c r="E296" s="21" t="s">
        <v>1789</v>
      </c>
      <c r="F296" s="3" t="s">
        <v>235</v>
      </c>
      <c r="G296" s="3" t="s">
        <v>1794</v>
      </c>
    </row>
    <row r="297" spans="1:7" x14ac:dyDescent="0.3">
      <c r="A297" s="9"/>
      <c r="B297" s="9"/>
      <c r="C297" s="9"/>
      <c r="D297" s="3" t="s">
        <v>17</v>
      </c>
      <c r="E297" s="21" t="s">
        <v>1789</v>
      </c>
      <c r="F297" s="3" t="s">
        <v>235</v>
      </c>
      <c r="G297" s="3" t="s">
        <v>1794</v>
      </c>
    </row>
    <row r="298" spans="1:7" x14ac:dyDescent="0.3">
      <c r="A298" s="9"/>
      <c r="B298" s="9"/>
      <c r="C298" s="9"/>
      <c r="D298" s="3" t="s">
        <v>23</v>
      </c>
      <c r="E298" s="21" t="s">
        <v>1789</v>
      </c>
      <c r="F298" s="3" t="s">
        <v>235</v>
      </c>
      <c r="G298" s="3" t="s">
        <v>1794</v>
      </c>
    </row>
    <row r="299" spans="1:7" x14ac:dyDescent="0.3">
      <c r="A299" s="9"/>
      <c r="B299" s="9"/>
      <c r="C299" s="9"/>
      <c r="D299" s="3" t="s">
        <v>705</v>
      </c>
      <c r="E299" s="21" t="s">
        <v>1789</v>
      </c>
      <c r="F299" s="3" t="s">
        <v>235</v>
      </c>
      <c r="G299" s="3" t="s">
        <v>1794</v>
      </c>
    </row>
    <row r="300" spans="1:7" x14ac:dyDescent="0.3">
      <c r="A300" s="9"/>
      <c r="B300" s="9"/>
      <c r="C300" s="9"/>
      <c r="D300" s="3" t="s">
        <v>21</v>
      </c>
      <c r="E300" s="21" t="s">
        <v>1789</v>
      </c>
      <c r="F300" s="3" t="s">
        <v>235</v>
      </c>
      <c r="G300" s="3" t="s">
        <v>1794</v>
      </c>
    </row>
    <row r="301" spans="1:7" x14ac:dyDescent="0.3">
      <c r="A301" s="3" t="s">
        <v>1795</v>
      </c>
      <c r="B301" s="9"/>
      <c r="C301" s="9"/>
      <c r="D301" s="3" t="s">
        <v>13</v>
      </c>
      <c r="E301" s="21" t="s">
        <v>1744</v>
      </c>
      <c r="F301" s="3" t="s">
        <v>770</v>
      </c>
      <c r="G301" s="3" t="s">
        <v>1796</v>
      </c>
    </row>
    <row r="302" spans="1:7" x14ac:dyDescent="0.3">
      <c r="A302" s="9"/>
      <c r="B302" s="9"/>
      <c r="C302" s="9"/>
      <c r="D302" s="3" t="s">
        <v>1622</v>
      </c>
      <c r="E302" s="21" t="s">
        <v>1744</v>
      </c>
      <c r="F302" s="3" t="s">
        <v>770</v>
      </c>
      <c r="G302" s="3" t="s">
        <v>1796</v>
      </c>
    </row>
    <row r="303" spans="1:7" x14ac:dyDescent="0.3">
      <c r="A303" s="9"/>
      <c r="B303" s="3"/>
      <c r="C303" s="3"/>
      <c r="D303" s="3" t="s">
        <v>13</v>
      </c>
      <c r="E303" s="21" t="s">
        <v>1449</v>
      </c>
      <c r="F303" s="3" t="s">
        <v>235</v>
      </c>
      <c r="G303" s="3" t="s">
        <v>1790</v>
      </c>
    </row>
    <row r="304" spans="1:7" x14ac:dyDescent="0.3">
      <c r="A304" s="9"/>
      <c r="B304" s="3"/>
      <c r="C304" s="3"/>
      <c r="D304" s="3" t="s">
        <v>1622</v>
      </c>
      <c r="E304" s="21" t="s">
        <v>1449</v>
      </c>
      <c r="F304" s="3" t="s">
        <v>235</v>
      </c>
      <c r="G304" s="3" t="s">
        <v>1790</v>
      </c>
    </row>
    <row r="305" spans="1:10" x14ac:dyDescent="0.3">
      <c r="A305" s="9"/>
      <c r="B305" s="3"/>
      <c r="C305" s="3"/>
      <c r="D305" s="3" t="s">
        <v>1622</v>
      </c>
      <c r="E305" s="8" t="s">
        <v>1739</v>
      </c>
      <c r="F305" s="3" t="s">
        <v>1169</v>
      </c>
      <c r="G305" s="3" t="s">
        <v>1788</v>
      </c>
    </row>
    <row r="306" spans="1:10" x14ac:dyDescent="0.3">
      <c r="A306" s="9"/>
      <c r="B306" s="3"/>
      <c r="C306" s="3"/>
      <c r="D306" s="3" t="s">
        <v>646</v>
      </c>
      <c r="E306" s="8" t="s">
        <v>1739</v>
      </c>
      <c r="F306" s="3" t="s">
        <v>1169</v>
      </c>
      <c r="G306" s="3" t="s">
        <v>1788</v>
      </c>
    </row>
    <row r="307" spans="1:10" x14ac:dyDescent="0.3">
      <c r="A307" s="9"/>
      <c r="B307" s="3"/>
      <c r="C307" s="3"/>
      <c r="D307" s="3" t="s">
        <v>52</v>
      </c>
      <c r="E307" s="8" t="s">
        <v>1739</v>
      </c>
      <c r="F307" s="3" t="s">
        <v>1169</v>
      </c>
      <c r="G307" s="3" t="s">
        <v>1788</v>
      </c>
    </row>
    <row r="308" spans="1:10" x14ac:dyDescent="0.3">
      <c r="A308" s="9"/>
      <c r="B308" s="3"/>
      <c r="C308" s="3"/>
      <c r="D308" s="3" t="s">
        <v>50</v>
      </c>
      <c r="E308" s="8" t="s">
        <v>1739</v>
      </c>
      <c r="F308" s="3" t="s">
        <v>1169</v>
      </c>
      <c r="G308" s="3" t="s">
        <v>1788</v>
      </c>
    </row>
    <row r="309" spans="1:10" x14ac:dyDescent="0.3">
      <c r="A309" s="9"/>
      <c r="B309" s="3"/>
      <c r="C309" s="3"/>
      <c r="D309" s="3" t="s">
        <v>1806</v>
      </c>
      <c r="E309" s="8" t="s">
        <v>1739</v>
      </c>
      <c r="F309" s="3" t="s">
        <v>1169</v>
      </c>
      <c r="G309" s="3" t="s">
        <v>1788</v>
      </c>
    </row>
    <row r="310" spans="1:10" ht="32.25" x14ac:dyDescent="0.3">
      <c r="A310" s="9"/>
      <c r="B310" s="3"/>
      <c r="C310" s="3"/>
      <c r="D310" s="3" t="s">
        <v>13</v>
      </c>
      <c r="E310" s="21" t="s">
        <v>1808</v>
      </c>
      <c r="F310" s="3" t="s">
        <v>1809</v>
      </c>
      <c r="G310" s="17" t="s">
        <v>1810</v>
      </c>
    </row>
    <row r="311" spans="1:10" ht="32.25" x14ac:dyDescent="0.3">
      <c r="A311" s="9"/>
      <c r="B311" s="3"/>
      <c r="C311" s="3"/>
      <c r="D311" s="3" t="s">
        <v>42</v>
      </c>
      <c r="E311" s="21" t="s">
        <v>1808</v>
      </c>
      <c r="F311" s="3" t="s">
        <v>1809</v>
      </c>
      <c r="G311" s="17" t="s">
        <v>1810</v>
      </c>
    </row>
    <row r="312" spans="1:10" x14ac:dyDescent="0.3">
      <c r="A312" s="9"/>
      <c r="B312" s="21" t="s">
        <v>1847</v>
      </c>
      <c r="C312" s="3"/>
      <c r="D312" s="3" t="s">
        <v>100</v>
      </c>
      <c r="E312" s="21" t="s">
        <v>1808</v>
      </c>
      <c r="F312" s="3" t="s">
        <v>1848</v>
      </c>
      <c r="G312" s="3" t="s">
        <v>1849</v>
      </c>
    </row>
    <row r="313" spans="1:10" x14ac:dyDescent="0.3">
      <c r="A313" s="9"/>
      <c r="B313" s="3"/>
      <c r="C313" s="3"/>
      <c r="D313" s="3" t="s">
        <v>861</v>
      </c>
      <c r="E313" s="21" t="s">
        <v>1171</v>
      </c>
      <c r="F313" s="3" t="s">
        <v>1851</v>
      </c>
      <c r="G313" s="3" t="s">
        <v>1852</v>
      </c>
    </row>
    <row r="314" spans="1:10" ht="32.25" x14ac:dyDescent="0.3">
      <c r="A314" s="9"/>
      <c r="B314" s="74">
        <v>46177</v>
      </c>
      <c r="C314" s="3"/>
      <c r="D314" s="3" t="s">
        <v>46</v>
      </c>
      <c r="E314" s="21" t="s">
        <v>1860</v>
      </c>
      <c r="F314" s="3" t="s">
        <v>1861</v>
      </c>
      <c r="G314" s="17" t="s">
        <v>1862</v>
      </c>
    </row>
    <row r="315" spans="1:10" ht="32.25" x14ac:dyDescent="0.3">
      <c r="A315" s="9"/>
      <c r="B315" s="3"/>
      <c r="C315" s="3"/>
      <c r="D315" s="3" t="s">
        <v>58</v>
      </c>
      <c r="E315" s="21" t="s">
        <v>1860</v>
      </c>
      <c r="F315" s="3" t="s">
        <v>1863</v>
      </c>
      <c r="G315" s="17" t="s">
        <v>1864</v>
      </c>
      <c r="H315" s="75"/>
      <c r="I315" s="75"/>
      <c r="J315" s="75"/>
    </row>
    <row r="316" spans="1:10" ht="32.25" x14ac:dyDescent="0.3">
      <c r="A316" s="9"/>
      <c r="B316" s="3"/>
      <c r="C316" s="3"/>
      <c r="D316" s="3" t="s">
        <v>1865</v>
      </c>
      <c r="E316" s="21" t="s">
        <v>1860</v>
      </c>
      <c r="F316" s="3" t="s">
        <v>1863</v>
      </c>
      <c r="G316" s="17" t="s">
        <v>1864</v>
      </c>
    </row>
    <row r="317" spans="1:10" ht="32.25" x14ac:dyDescent="0.3">
      <c r="A317" s="9"/>
      <c r="B317" s="3"/>
      <c r="C317" s="3"/>
      <c r="D317" s="3" t="s">
        <v>15</v>
      </c>
      <c r="E317" s="21" t="s">
        <v>1860</v>
      </c>
      <c r="F317" s="3" t="s">
        <v>1863</v>
      </c>
      <c r="G317" s="17" t="s">
        <v>1864</v>
      </c>
    </row>
    <row r="318" spans="1:10" ht="32.25" x14ac:dyDescent="0.3">
      <c r="A318" s="9"/>
      <c r="B318" s="3"/>
      <c r="C318" s="3"/>
      <c r="D318" s="3" t="s">
        <v>15</v>
      </c>
      <c r="E318" s="21" t="s">
        <v>1867</v>
      </c>
      <c r="F318" s="3" t="s">
        <v>235</v>
      </c>
      <c r="G318" s="17" t="s">
        <v>1868</v>
      </c>
    </row>
    <row r="319" spans="1:10" ht="32.25" x14ac:dyDescent="0.3">
      <c r="A319" s="9"/>
      <c r="B319" s="3"/>
      <c r="C319" s="3"/>
      <c r="D319" s="3" t="s">
        <v>632</v>
      </c>
      <c r="E319" s="21" t="s">
        <v>1860</v>
      </c>
      <c r="F319" s="3" t="s">
        <v>1863</v>
      </c>
      <c r="G319" s="17" t="s">
        <v>1862</v>
      </c>
    </row>
    <row r="320" spans="1:10" x14ac:dyDescent="0.3">
      <c r="A320" s="9"/>
      <c r="B320" s="3"/>
      <c r="C320" s="3"/>
      <c r="D320" s="3" t="s">
        <v>1865</v>
      </c>
      <c r="E320" s="21" t="s">
        <v>1866</v>
      </c>
      <c r="F320" s="3" t="s">
        <v>1869</v>
      </c>
      <c r="G320" s="3" t="s">
        <v>1870</v>
      </c>
    </row>
    <row r="321" spans="1:7" x14ac:dyDescent="0.3">
      <c r="A321" s="9"/>
      <c r="B321" s="3"/>
      <c r="C321" s="3"/>
      <c r="D321" s="3" t="s">
        <v>21</v>
      </c>
      <c r="E321" s="21" t="s">
        <v>1860</v>
      </c>
      <c r="F321" s="3" t="s">
        <v>235</v>
      </c>
      <c r="G321" s="3" t="s">
        <v>1872</v>
      </c>
    </row>
    <row r="322" spans="1:7" x14ac:dyDescent="0.3">
      <c r="A322" s="9"/>
      <c r="B322" s="3"/>
      <c r="C322" s="3"/>
      <c r="D322" s="3" t="s">
        <v>144</v>
      </c>
      <c r="E322" s="21" t="s">
        <v>1860</v>
      </c>
      <c r="F322" s="3" t="s">
        <v>235</v>
      </c>
      <c r="G322" s="3" t="s">
        <v>1873</v>
      </c>
    </row>
    <row r="323" spans="1:7" x14ac:dyDescent="0.3">
      <c r="A323" s="9"/>
      <c r="B323" s="3"/>
      <c r="C323" s="3"/>
      <c r="D323" s="3" t="s">
        <v>51</v>
      </c>
      <c r="E323" s="21" t="s">
        <v>1879</v>
      </c>
      <c r="F323" s="3" t="s">
        <v>235</v>
      </c>
      <c r="G323" s="3" t="s">
        <v>1878</v>
      </c>
    </row>
    <row r="324" spans="1:7" x14ac:dyDescent="0.3">
      <c r="A324" s="9"/>
      <c r="B324" s="74">
        <v>46238</v>
      </c>
      <c r="C324" s="3"/>
      <c r="D324" s="3" t="s">
        <v>42</v>
      </c>
      <c r="E324" s="21" t="s">
        <v>1889</v>
      </c>
      <c r="F324" s="3" t="s">
        <v>1890</v>
      </c>
      <c r="G324" s="3" t="s">
        <v>1891</v>
      </c>
    </row>
    <row r="325" spans="1:7" x14ac:dyDescent="0.3">
      <c r="A325" s="9"/>
      <c r="B325" s="21" t="s">
        <v>1445</v>
      </c>
      <c r="C325" s="3"/>
      <c r="D325" s="3" t="s">
        <v>22</v>
      </c>
      <c r="E325" s="3"/>
      <c r="F325" s="3" t="s">
        <v>421</v>
      </c>
      <c r="G325" s="3"/>
    </row>
    <row r="326" spans="1:7" x14ac:dyDescent="0.3">
      <c r="A326" s="9"/>
      <c r="B326" s="3"/>
      <c r="C326" s="3"/>
      <c r="D326" s="3" t="s">
        <v>23</v>
      </c>
      <c r="E326" s="3"/>
      <c r="F326" s="3" t="s">
        <v>421</v>
      </c>
      <c r="G326" s="3"/>
    </row>
    <row r="327" spans="1:7" x14ac:dyDescent="0.3">
      <c r="A327" s="9"/>
      <c r="B327" s="3"/>
      <c r="C327" s="3"/>
      <c r="D327" s="3" t="s">
        <v>20</v>
      </c>
      <c r="E327" s="21" t="s">
        <v>1171</v>
      </c>
      <c r="F327" s="3" t="s">
        <v>235</v>
      </c>
      <c r="G327" s="3"/>
    </row>
    <row r="328" spans="1:7" x14ac:dyDescent="0.3">
      <c r="A328" s="9"/>
      <c r="B328" s="3"/>
      <c r="C328" s="3"/>
      <c r="D328" s="3" t="s">
        <v>21</v>
      </c>
      <c r="E328" s="21" t="s">
        <v>1171</v>
      </c>
      <c r="F328" s="3" t="s">
        <v>235</v>
      </c>
      <c r="G328" s="3"/>
    </row>
    <row r="329" spans="1:7" x14ac:dyDescent="0.3">
      <c r="A329" s="9"/>
      <c r="B329" s="3"/>
      <c r="C329" s="3"/>
      <c r="D329" s="3" t="s">
        <v>20</v>
      </c>
      <c r="E329" s="21" t="s">
        <v>1927</v>
      </c>
      <c r="F329" s="3" t="s">
        <v>451</v>
      </c>
      <c r="G329" s="3"/>
    </row>
    <row r="330" spans="1:7" x14ac:dyDescent="0.3">
      <c r="A330" s="9"/>
      <c r="B330" s="3"/>
      <c r="C330" s="3"/>
      <c r="D330" s="3" t="s">
        <v>15</v>
      </c>
      <c r="E330" s="21" t="s">
        <v>1927</v>
      </c>
      <c r="F330" s="3" t="s">
        <v>451</v>
      </c>
      <c r="G330" s="3"/>
    </row>
    <row r="331" spans="1:7" x14ac:dyDescent="0.3">
      <c r="A331" s="9"/>
      <c r="B331" s="3"/>
      <c r="C331" s="3"/>
      <c r="D331" s="3" t="s">
        <v>15</v>
      </c>
      <c r="E331" s="21" t="s">
        <v>1171</v>
      </c>
      <c r="F331" s="3" t="s">
        <v>235</v>
      </c>
      <c r="G331" s="3" t="s">
        <v>1928</v>
      </c>
    </row>
    <row r="332" spans="1:7" ht="32.25" x14ac:dyDescent="0.3">
      <c r="A332" s="9"/>
      <c r="B332" s="74">
        <v>46299</v>
      </c>
      <c r="C332" s="3"/>
      <c r="D332" s="3" t="s">
        <v>16</v>
      </c>
      <c r="E332" s="21" t="s">
        <v>1844</v>
      </c>
      <c r="F332" s="3" t="s">
        <v>766</v>
      </c>
      <c r="G332" s="17" t="s">
        <v>1309</v>
      </c>
    </row>
    <row r="333" spans="1:7" ht="32.25" x14ac:dyDescent="0.3">
      <c r="A333" s="9"/>
      <c r="B333" s="3"/>
      <c r="C333" s="3"/>
      <c r="D333" s="3" t="s">
        <v>15</v>
      </c>
      <c r="E333" s="21" t="s">
        <v>1844</v>
      </c>
      <c r="F333" s="3" t="s">
        <v>766</v>
      </c>
      <c r="G333" s="17" t="s">
        <v>1309</v>
      </c>
    </row>
    <row r="334" spans="1:7" ht="32.25" x14ac:dyDescent="0.3">
      <c r="A334" s="9"/>
      <c r="B334" s="3"/>
      <c r="C334" s="3"/>
      <c r="D334" s="3" t="s">
        <v>1303</v>
      </c>
      <c r="E334" s="21" t="s">
        <v>1844</v>
      </c>
      <c r="F334" s="3" t="s">
        <v>766</v>
      </c>
      <c r="G334" s="17" t="s">
        <v>1309</v>
      </c>
    </row>
    <row r="335" spans="1:7" ht="32.25" x14ac:dyDescent="0.3">
      <c r="A335" s="9"/>
      <c r="B335" s="3" t="s">
        <v>1979</v>
      </c>
      <c r="C335" s="3"/>
      <c r="D335" s="3" t="s">
        <v>13</v>
      </c>
      <c r="E335" s="21" t="s">
        <v>1980</v>
      </c>
      <c r="F335" s="3" t="s">
        <v>1981</v>
      </c>
      <c r="G335" s="17" t="s">
        <v>1982</v>
      </c>
    </row>
    <row r="336" spans="1:7" ht="32.25" x14ac:dyDescent="0.3">
      <c r="A336" s="9"/>
      <c r="B336" s="3"/>
      <c r="C336" s="3"/>
      <c r="D336" s="3" t="s">
        <v>705</v>
      </c>
      <c r="E336" s="21" t="s">
        <v>1980</v>
      </c>
      <c r="F336" s="3" t="s">
        <v>1981</v>
      </c>
      <c r="G336" s="17" t="s">
        <v>1982</v>
      </c>
    </row>
    <row r="337" spans="1:7" x14ac:dyDescent="0.3">
      <c r="A337" s="9"/>
      <c r="B337" s="3"/>
      <c r="C337" s="3"/>
      <c r="D337" s="3" t="s">
        <v>21</v>
      </c>
      <c r="E337" s="21" t="s">
        <v>1989</v>
      </c>
      <c r="F337" s="3" t="s">
        <v>235</v>
      </c>
      <c r="G337" s="3" t="s">
        <v>1873</v>
      </c>
    </row>
    <row r="338" spans="1:7" x14ac:dyDescent="0.3">
      <c r="A338" s="9"/>
      <c r="B338" s="3"/>
      <c r="C338" s="3"/>
      <c r="D338" s="3" t="s">
        <v>52</v>
      </c>
      <c r="E338" s="21" t="s">
        <v>1983</v>
      </c>
      <c r="F338" s="3" t="s">
        <v>2004</v>
      </c>
      <c r="G338" s="3" t="s">
        <v>2005</v>
      </c>
    </row>
    <row r="339" spans="1:7" x14ac:dyDescent="0.3">
      <c r="A339" s="9"/>
      <c r="B339" s="3"/>
      <c r="C339" s="3"/>
      <c r="D339" s="3" t="s">
        <v>50</v>
      </c>
      <c r="E339" s="21" t="s">
        <v>1983</v>
      </c>
      <c r="F339" s="3" t="s">
        <v>2004</v>
      </c>
      <c r="G339" s="3" t="s">
        <v>2005</v>
      </c>
    </row>
    <row r="340" spans="1:7" x14ac:dyDescent="0.3">
      <c r="A340" s="9"/>
      <c r="B340" s="3"/>
      <c r="C340" s="3"/>
      <c r="D340" s="3" t="s">
        <v>2003</v>
      </c>
      <c r="E340" s="21" t="s">
        <v>1983</v>
      </c>
      <c r="F340" s="3" t="s">
        <v>2004</v>
      </c>
      <c r="G340" s="3" t="s">
        <v>2005</v>
      </c>
    </row>
    <row r="341" spans="1:7" x14ac:dyDescent="0.3">
      <c r="A341" s="9"/>
      <c r="B341" s="3"/>
      <c r="C341" s="3"/>
      <c r="D341" s="3" t="s">
        <v>58</v>
      </c>
      <c r="E341" s="21" t="s">
        <v>1983</v>
      </c>
      <c r="F341" s="3" t="s">
        <v>2004</v>
      </c>
      <c r="G341" s="3" t="s">
        <v>2005</v>
      </c>
    </row>
    <row r="342" spans="1:7" x14ac:dyDescent="0.3">
      <c r="A342" s="9"/>
      <c r="B342" s="3"/>
      <c r="C342" s="3"/>
      <c r="D342" s="3" t="s">
        <v>53</v>
      </c>
      <c r="E342" s="21" t="s">
        <v>1983</v>
      </c>
      <c r="F342" s="3" t="s">
        <v>2004</v>
      </c>
      <c r="G342" s="3" t="s">
        <v>2005</v>
      </c>
    </row>
    <row r="343" spans="1:7" x14ac:dyDescent="0.3">
      <c r="A343" s="9"/>
      <c r="B343" s="3"/>
      <c r="C343" s="3"/>
      <c r="D343" s="3" t="s">
        <v>342</v>
      </c>
      <c r="E343" s="21" t="s">
        <v>1983</v>
      </c>
      <c r="F343" s="3" t="s">
        <v>2004</v>
      </c>
      <c r="G343" s="3" t="s">
        <v>682</v>
      </c>
    </row>
    <row r="344" spans="1:7" x14ac:dyDescent="0.3">
      <c r="A344" s="9"/>
      <c r="B344" s="3"/>
      <c r="C344" s="3"/>
      <c r="D344" s="3" t="s">
        <v>15</v>
      </c>
      <c r="E344" s="21" t="s">
        <v>1970</v>
      </c>
      <c r="F344" s="3" t="s">
        <v>235</v>
      </c>
      <c r="G344" s="17" t="s">
        <v>2019</v>
      </c>
    </row>
    <row r="345" spans="1:7" x14ac:dyDescent="0.3">
      <c r="A345" s="9"/>
      <c r="B345" s="3"/>
      <c r="C345" s="3"/>
      <c r="D345" s="3" t="s">
        <v>20</v>
      </c>
      <c r="E345" s="21" t="s">
        <v>2008</v>
      </c>
      <c r="F345" s="3" t="s">
        <v>766</v>
      </c>
      <c r="G345" s="3" t="s">
        <v>2030</v>
      </c>
    </row>
    <row r="346" spans="1:7" x14ac:dyDescent="0.3">
      <c r="A346" s="9"/>
      <c r="B346" s="3"/>
      <c r="C346" s="3"/>
      <c r="D346" s="3" t="s">
        <v>16</v>
      </c>
      <c r="E346" s="21" t="s">
        <v>2008</v>
      </c>
      <c r="F346" s="3" t="s">
        <v>766</v>
      </c>
      <c r="G346" s="3" t="s">
        <v>2030</v>
      </c>
    </row>
    <row r="347" spans="1:7" x14ac:dyDescent="0.3">
      <c r="A347" s="9"/>
      <c r="B347" s="3"/>
      <c r="C347" s="3"/>
      <c r="D347" s="3" t="s">
        <v>1622</v>
      </c>
      <c r="E347" s="21" t="s">
        <v>2008</v>
      </c>
      <c r="F347" s="3" t="s">
        <v>2038</v>
      </c>
      <c r="G347" s="3" t="s">
        <v>2039</v>
      </c>
    </row>
    <row r="348" spans="1:7" x14ac:dyDescent="0.3">
      <c r="A348" s="9"/>
      <c r="B348" s="3" t="s">
        <v>2073</v>
      </c>
      <c r="C348" s="3"/>
      <c r="D348" s="3" t="s">
        <v>46</v>
      </c>
      <c r="E348" s="21" t="s">
        <v>1980</v>
      </c>
      <c r="F348" s="3" t="s">
        <v>2074</v>
      </c>
      <c r="G348" s="3" t="s">
        <v>2075</v>
      </c>
    </row>
    <row r="349" spans="1:7" x14ac:dyDescent="0.3">
      <c r="A349" s="9"/>
      <c r="B349" s="3"/>
      <c r="C349" s="3"/>
      <c r="D349" s="3" t="s">
        <v>1459</v>
      </c>
      <c r="E349" s="21" t="s">
        <v>1980</v>
      </c>
      <c r="F349" s="3" t="s">
        <v>2074</v>
      </c>
      <c r="G349" s="3" t="s">
        <v>2075</v>
      </c>
    </row>
    <row r="350" spans="1:7" ht="32.25" x14ac:dyDescent="0.3">
      <c r="A350" s="9"/>
      <c r="B350" s="3"/>
      <c r="C350" s="3"/>
      <c r="D350" s="3" t="s">
        <v>20</v>
      </c>
      <c r="E350" s="25" t="s">
        <v>2011</v>
      </c>
      <c r="F350" s="3" t="s">
        <v>766</v>
      </c>
      <c r="G350" s="17" t="s">
        <v>1309</v>
      </c>
    </row>
    <row r="351" spans="1:7" ht="32.25" x14ac:dyDescent="0.3">
      <c r="A351" s="9"/>
      <c r="B351" s="3"/>
      <c r="C351" s="3"/>
      <c r="D351" s="3" t="s">
        <v>16</v>
      </c>
      <c r="E351" s="25" t="s">
        <v>2011</v>
      </c>
      <c r="F351" s="3" t="s">
        <v>766</v>
      </c>
      <c r="G351" s="17" t="s">
        <v>1309</v>
      </c>
    </row>
    <row r="352" spans="1:7" ht="32.25" x14ac:dyDescent="0.3">
      <c r="A352" s="9"/>
      <c r="B352" s="3"/>
      <c r="C352" s="3"/>
      <c r="D352" s="3" t="s">
        <v>15</v>
      </c>
      <c r="E352" s="25" t="s">
        <v>2011</v>
      </c>
      <c r="F352" s="3" t="s">
        <v>766</v>
      </c>
      <c r="G352" s="17" t="s">
        <v>1309</v>
      </c>
    </row>
    <row r="353" spans="1:7" ht="32.25" x14ac:dyDescent="0.3">
      <c r="A353" s="9"/>
      <c r="B353" s="3"/>
      <c r="C353" s="3"/>
      <c r="D353" s="3" t="s">
        <v>1303</v>
      </c>
      <c r="E353" s="25" t="s">
        <v>2011</v>
      </c>
      <c r="F353" s="3" t="s">
        <v>766</v>
      </c>
      <c r="G353" s="17" t="s">
        <v>1309</v>
      </c>
    </row>
    <row r="354" spans="1:7" ht="32.25" x14ac:dyDescent="0.3">
      <c r="A354" s="9"/>
      <c r="B354" s="3" t="s">
        <v>2118</v>
      </c>
      <c r="C354" s="3"/>
      <c r="D354" s="3" t="s">
        <v>13</v>
      </c>
      <c r="E354" s="25" t="s">
        <v>2011</v>
      </c>
      <c r="F354" s="3" t="s">
        <v>841</v>
      </c>
      <c r="G354" s="17" t="s">
        <v>1810</v>
      </c>
    </row>
    <row r="355" spans="1:7" ht="32.25" x14ac:dyDescent="0.3">
      <c r="A355" s="9"/>
      <c r="B355" s="3"/>
      <c r="C355" s="3"/>
      <c r="D355" s="3" t="s">
        <v>42</v>
      </c>
      <c r="E355" s="25" t="s">
        <v>2011</v>
      </c>
      <c r="F355" s="3" t="s">
        <v>841</v>
      </c>
      <c r="G355" s="17" t="s">
        <v>1810</v>
      </c>
    </row>
    <row r="356" spans="1:7" x14ac:dyDescent="0.3">
      <c r="A356" s="9"/>
      <c r="B356" s="3" t="s">
        <v>2166</v>
      </c>
      <c r="C356" s="3"/>
      <c r="D356" s="3" t="s">
        <v>461</v>
      </c>
      <c r="E356" s="21" t="s">
        <v>2153</v>
      </c>
      <c r="F356" s="3" t="s">
        <v>79</v>
      </c>
      <c r="G356" s="17" t="s">
        <v>2154</v>
      </c>
    </row>
    <row r="357" spans="1:7" x14ac:dyDescent="0.3">
      <c r="A357" s="9"/>
      <c r="B357" s="3"/>
      <c r="C357" s="3"/>
      <c r="D357" s="3" t="s">
        <v>1303</v>
      </c>
      <c r="E357" s="21" t="s">
        <v>2153</v>
      </c>
      <c r="F357" s="3" t="s">
        <v>79</v>
      </c>
      <c r="G357" s="17" t="s">
        <v>2154</v>
      </c>
    </row>
    <row r="358" spans="1:7" x14ac:dyDescent="0.3">
      <c r="A358" s="9"/>
      <c r="B358" s="3"/>
      <c r="C358" s="3"/>
      <c r="D358" s="3" t="s">
        <v>29</v>
      </c>
      <c r="E358" s="21" t="s">
        <v>2153</v>
      </c>
      <c r="F358" s="3" t="s">
        <v>79</v>
      </c>
      <c r="G358" s="17" t="s">
        <v>2154</v>
      </c>
    </row>
    <row r="359" spans="1:7" x14ac:dyDescent="0.3">
      <c r="A359" s="9"/>
      <c r="B359" s="3"/>
      <c r="C359" s="3"/>
      <c r="D359" s="3" t="s">
        <v>22</v>
      </c>
      <c r="E359" s="21" t="s">
        <v>2153</v>
      </c>
      <c r="F359" s="3" t="s">
        <v>79</v>
      </c>
      <c r="G359" s="17" t="s">
        <v>2154</v>
      </c>
    </row>
    <row r="360" spans="1:7" x14ac:dyDescent="0.3">
      <c r="A360" s="9"/>
      <c r="B360" s="3"/>
      <c r="C360" s="3"/>
      <c r="D360" s="3" t="s">
        <v>16</v>
      </c>
      <c r="E360" s="21" t="s">
        <v>2153</v>
      </c>
      <c r="F360" s="3" t="s">
        <v>79</v>
      </c>
      <c r="G360" s="17" t="s">
        <v>2154</v>
      </c>
    </row>
    <row r="361" spans="1:7" ht="32.25" x14ac:dyDescent="0.3">
      <c r="A361" s="9"/>
      <c r="B361" s="3"/>
      <c r="C361" s="3"/>
      <c r="D361" s="3" t="s">
        <v>20</v>
      </c>
      <c r="E361" s="21" t="s">
        <v>2155</v>
      </c>
      <c r="F361" s="3" t="s">
        <v>766</v>
      </c>
      <c r="G361" s="17" t="s">
        <v>1309</v>
      </c>
    </row>
    <row r="362" spans="1:7" ht="32.25" x14ac:dyDescent="0.3">
      <c r="A362" s="9"/>
      <c r="B362" s="3"/>
      <c r="C362" s="3"/>
      <c r="D362" s="3" t="s">
        <v>16</v>
      </c>
      <c r="E362" s="21" t="s">
        <v>2155</v>
      </c>
      <c r="F362" s="17" t="s">
        <v>766</v>
      </c>
      <c r="G362" s="17" t="s">
        <v>1309</v>
      </c>
    </row>
    <row r="363" spans="1:7" ht="32.25" x14ac:dyDescent="0.3">
      <c r="A363" s="9"/>
      <c r="B363" s="3"/>
      <c r="C363" s="3"/>
      <c r="D363" s="3" t="s">
        <v>15</v>
      </c>
      <c r="E363" s="21" t="s">
        <v>2029</v>
      </c>
      <c r="F363" s="3" t="s">
        <v>235</v>
      </c>
      <c r="G363" s="17" t="s">
        <v>2156</v>
      </c>
    </row>
    <row r="364" spans="1:7" x14ac:dyDescent="0.3">
      <c r="A364" s="9"/>
      <c r="B364" s="3"/>
      <c r="C364" s="3"/>
      <c r="D364" s="3" t="s">
        <v>17</v>
      </c>
      <c r="E364" s="21" t="s">
        <v>2155</v>
      </c>
      <c r="F364" s="3" t="s">
        <v>235</v>
      </c>
      <c r="G364" s="3" t="s">
        <v>2158</v>
      </c>
    </row>
    <row r="365" spans="1:7" x14ac:dyDescent="0.3">
      <c r="A365" s="9"/>
      <c r="B365" s="3"/>
      <c r="C365" s="3"/>
      <c r="D365" s="3" t="s">
        <v>1622</v>
      </c>
      <c r="E365" s="21" t="s">
        <v>2157</v>
      </c>
      <c r="F365" s="3" t="s">
        <v>235</v>
      </c>
      <c r="G365" s="3" t="s">
        <v>2158</v>
      </c>
    </row>
    <row r="366" spans="1:7" x14ac:dyDescent="0.3">
      <c r="A366" s="9"/>
      <c r="B366" s="3"/>
      <c r="C366" s="3"/>
      <c r="D366" s="3" t="s">
        <v>49</v>
      </c>
      <c r="E366" s="21" t="s">
        <v>2069</v>
      </c>
      <c r="F366" s="3" t="s">
        <v>2165</v>
      </c>
      <c r="G366" s="3" t="s">
        <v>2167</v>
      </c>
    </row>
    <row r="367" spans="1:7" x14ac:dyDescent="0.3">
      <c r="A367" s="9"/>
      <c r="B367" s="3"/>
      <c r="C367" s="3"/>
      <c r="D367" s="3" t="s">
        <v>23</v>
      </c>
      <c r="E367" s="21" t="s">
        <v>2155</v>
      </c>
      <c r="F367" s="3" t="s">
        <v>235</v>
      </c>
      <c r="G367" s="3" t="s">
        <v>2176</v>
      </c>
    </row>
    <row r="368" spans="1:7" x14ac:dyDescent="0.3">
      <c r="A368" s="9"/>
      <c r="B368" s="3"/>
      <c r="C368" s="3"/>
      <c r="D368" s="3" t="s">
        <v>49</v>
      </c>
      <c r="E368" s="21" t="s">
        <v>2155</v>
      </c>
      <c r="F368" s="3" t="s">
        <v>235</v>
      </c>
      <c r="G368" s="3" t="s">
        <v>2184</v>
      </c>
    </row>
    <row r="369" spans="1:7" x14ac:dyDescent="0.3">
      <c r="A369" s="9"/>
      <c r="B369" s="3"/>
      <c r="C369" s="3"/>
      <c r="D369" s="3" t="s">
        <v>53</v>
      </c>
      <c r="E369" s="21" t="s">
        <v>2155</v>
      </c>
      <c r="F369" s="3" t="s">
        <v>235</v>
      </c>
      <c r="G369" s="3" t="s">
        <v>2184</v>
      </c>
    </row>
    <row r="370" spans="1:7" x14ac:dyDescent="0.3">
      <c r="A370" s="9"/>
      <c r="B370" s="3"/>
      <c r="C370" s="3"/>
      <c r="D370" s="3" t="s">
        <v>182</v>
      </c>
      <c r="E370" s="21" t="s">
        <v>2155</v>
      </c>
      <c r="F370" s="3" t="s">
        <v>235</v>
      </c>
      <c r="G370" s="3" t="s">
        <v>2184</v>
      </c>
    </row>
    <row r="371" spans="1:7" x14ac:dyDescent="0.3">
      <c r="A371" s="9"/>
      <c r="B371" s="3"/>
      <c r="C371" s="3"/>
      <c r="D371" s="3" t="s">
        <v>50</v>
      </c>
      <c r="E371" s="21" t="s">
        <v>2155</v>
      </c>
      <c r="F371" s="3" t="s">
        <v>235</v>
      </c>
      <c r="G371" s="3" t="s">
        <v>2184</v>
      </c>
    </row>
    <row r="372" spans="1:7" x14ac:dyDescent="0.3">
      <c r="A372" s="9"/>
      <c r="B372" s="3"/>
      <c r="C372" s="3"/>
      <c r="D372" s="3" t="s">
        <v>51</v>
      </c>
      <c r="E372" s="21" t="s">
        <v>2155</v>
      </c>
      <c r="F372" s="3" t="s">
        <v>235</v>
      </c>
      <c r="G372" s="3" t="s">
        <v>2184</v>
      </c>
    </row>
    <row r="373" spans="1:7" x14ac:dyDescent="0.3">
      <c r="A373" s="9"/>
      <c r="B373" s="3"/>
      <c r="C373" s="3"/>
      <c r="D373" s="3" t="s">
        <v>52</v>
      </c>
      <c r="E373" s="21" t="s">
        <v>2155</v>
      </c>
      <c r="F373" s="3" t="s">
        <v>235</v>
      </c>
      <c r="G373" s="3" t="s">
        <v>2184</v>
      </c>
    </row>
    <row r="374" spans="1:7" x14ac:dyDescent="0.3">
      <c r="A374" s="9"/>
      <c r="B374" s="3"/>
      <c r="C374" s="3"/>
      <c r="D374" s="3" t="s">
        <v>46</v>
      </c>
      <c r="E374" s="21" t="s">
        <v>2081</v>
      </c>
      <c r="F374" s="3" t="s">
        <v>2187</v>
      </c>
      <c r="G374" s="3" t="s">
        <v>2188</v>
      </c>
    </row>
    <row r="375" spans="1:7" x14ac:dyDescent="0.3">
      <c r="A375" s="9"/>
      <c r="B375" s="3"/>
      <c r="C375" s="3"/>
      <c r="D375" s="3" t="s">
        <v>632</v>
      </c>
      <c r="E375" s="21" t="s">
        <v>2069</v>
      </c>
      <c r="F375" s="3" t="s">
        <v>235</v>
      </c>
      <c r="G375" s="3" t="s">
        <v>2205</v>
      </c>
    </row>
    <row r="376" spans="1:7" x14ac:dyDescent="0.3">
      <c r="A376" s="9"/>
      <c r="B376" s="3" t="s">
        <v>2210</v>
      </c>
      <c r="C376" s="3"/>
      <c r="D376" s="3" t="s">
        <v>59</v>
      </c>
      <c r="E376" s="21" t="s">
        <v>2069</v>
      </c>
      <c r="F376" s="3" t="s">
        <v>1169</v>
      </c>
      <c r="G376" s="3" t="s">
        <v>2211</v>
      </c>
    </row>
    <row r="377" spans="1:7" x14ac:dyDescent="0.3">
      <c r="A377" s="9"/>
      <c r="B377" s="3"/>
      <c r="C377" s="3"/>
      <c r="D377" s="3" t="s">
        <v>30</v>
      </c>
      <c r="E377" s="21" t="s">
        <v>2069</v>
      </c>
      <c r="F377" s="3" t="s">
        <v>1169</v>
      </c>
      <c r="G377" s="3" t="s">
        <v>2211</v>
      </c>
    </row>
    <row r="378" spans="1:7" x14ac:dyDescent="0.3">
      <c r="A378" s="9"/>
      <c r="B378" s="3"/>
      <c r="C378" s="3"/>
      <c r="D378" s="3" t="s">
        <v>635</v>
      </c>
      <c r="E378" s="21" t="s">
        <v>2217</v>
      </c>
      <c r="F378" s="3" t="s">
        <v>2218</v>
      </c>
      <c r="G378" s="3" t="s">
        <v>2219</v>
      </c>
    </row>
    <row r="379" spans="1:7" ht="32.25" x14ac:dyDescent="0.3">
      <c r="A379" s="9"/>
      <c r="B379" s="3"/>
      <c r="C379" s="3"/>
      <c r="D379" s="3" t="s">
        <v>2220</v>
      </c>
      <c r="E379" s="21" t="s">
        <v>2221</v>
      </c>
      <c r="F379" s="3" t="s">
        <v>2222</v>
      </c>
      <c r="G379" s="17" t="s">
        <v>1810</v>
      </c>
    </row>
    <row r="380" spans="1:7" ht="32.25" x14ac:dyDescent="0.3">
      <c r="A380" s="9"/>
      <c r="B380" s="3"/>
      <c r="C380" s="3"/>
      <c r="D380" s="3" t="s">
        <v>16</v>
      </c>
      <c r="E380" s="21" t="s">
        <v>2221</v>
      </c>
      <c r="F380" s="3" t="s">
        <v>2222</v>
      </c>
      <c r="G380" s="17" t="s">
        <v>1810</v>
      </c>
    </row>
    <row r="381" spans="1:7" ht="32.25" x14ac:dyDescent="0.3">
      <c r="A381" s="9"/>
      <c r="B381" s="3"/>
      <c r="C381" s="3"/>
      <c r="D381" s="3" t="s">
        <v>15</v>
      </c>
      <c r="E381" s="21" t="s">
        <v>2221</v>
      </c>
      <c r="F381" s="3" t="s">
        <v>2222</v>
      </c>
      <c r="G381" s="17" t="s">
        <v>1810</v>
      </c>
    </row>
    <row r="382" spans="1:7" ht="32.25" x14ac:dyDescent="0.3">
      <c r="A382" s="9"/>
      <c r="B382" s="3"/>
      <c r="C382" s="3"/>
      <c r="D382" s="3" t="s">
        <v>1303</v>
      </c>
      <c r="E382" s="21" t="s">
        <v>2221</v>
      </c>
      <c r="F382" s="3" t="s">
        <v>2222</v>
      </c>
      <c r="G382" s="17" t="s">
        <v>1810</v>
      </c>
    </row>
    <row r="383" spans="1:7" x14ac:dyDescent="0.3">
      <c r="A383" s="9"/>
      <c r="B383" s="3"/>
      <c r="C383" s="3"/>
      <c r="D383" s="3" t="s">
        <v>13</v>
      </c>
      <c r="E383" s="25" t="s">
        <v>2224</v>
      </c>
      <c r="F383" s="17" t="s">
        <v>2223</v>
      </c>
      <c r="G383" s="3" t="s">
        <v>2225</v>
      </c>
    </row>
    <row r="384" spans="1:7" x14ac:dyDescent="0.3">
      <c r="A384" s="9"/>
      <c r="B384" s="3"/>
      <c r="C384" s="3"/>
      <c r="D384" s="3" t="s">
        <v>705</v>
      </c>
      <c r="E384" s="25" t="s">
        <v>2224</v>
      </c>
      <c r="F384" s="17" t="s">
        <v>2223</v>
      </c>
      <c r="G384" s="3" t="s">
        <v>2225</v>
      </c>
    </row>
    <row r="385" spans="1:7" x14ac:dyDescent="0.3">
      <c r="A385" s="9"/>
      <c r="B385" s="3"/>
      <c r="C385" s="3"/>
      <c r="D385" s="3" t="s">
        <v>51</v>
      </c>
      <c r="E385" s="21" t="s">
        <v>2231</v>
      </c>
      <c r="F385" s="3" t="s">
        <v>2232</v>
      </c>
      <c r="G385" s="3" t="s">
        <v>1878</v>
      </c>
    </row>
    <row r="386" spans="1:7" x14ac:dyDescent="0.3">
      <c r="A386" s="9"/>
      <c r="B386" s="3"/>
      <c r="C386" s="3"/>
      <c r="D386" s="3" t="s">
        <v>17</v>
      </c>
      <c r="E386" s="21" t="s">
        <v>2069</v>
      </c>
      <c r="F386" s="3" t="s">
        <v>1169</v>
      </c>
      <c r="G386" s="3" t="s">
        <v>2211</v>
      </c>
    </row>
    <row r="387" spans="1:7" x14ac:dyDescent="0.3">
      <c r="A387" s="9"/>
      <c r="B387" s="3"/>
      <c r="C387" s="3"/>
      <c r="D387" s="3" t="s">
        <v>53</v>
      </c>
      <c r="E387" s="21" t="s">
        <v>2069</v>
      </c>
      <c r="F387" s="3" t="s">
        <v>1169</v>
      </c>
      <c r="G387" s="3" t="s">
        <v>2211</v>
      </c>
    </row>
    <row r="388" spans="1:7" x14ac:dyDescent="0.3">
      <c r="A388" s="9"/>
      <c r="B388" s="3" t="s">
        <v>2238</v>
      </c>
      <c r="C388" s="3"/>
      <c r="D388" s="3" t="s">
        <v>27</v>
      </c>
      <c r="E388" s="21" t="s">
        <v>2221</v>
      </c>
      <c r="F388" s="3" t="s">
        <v>2089</v>
      </c>
      <c r="G388" s="3" t="s">
        <v>2280</v>
      </c>
    </row>
    <row r="389" spans="1:7" x14ac:dyDescent="0.3">
      <c r="A389" s="9"/>
      <c r="B389" s="3"/>
      <c r="C389" s="3"/>
      <c r="D389" s="3" t="s">
        <v>634</v>
      </c>
      <c r="E389" s="21" t="s">
        <v>2221</v>
      </c>
      <c r="F389" s="3" t="s">
        <v>235</v>
      </c>
      <c r="G389" s="3" t="s">
        <v>2281</v>
      </c>
    </row>
    <row r="390" spans="1:7" x14ac:dyDescent="0.3">
      <c r="A390" s="9"/>
      <c r="B390" s="3" t="s">
        <v>2307</v>
      </c>
      <c r="C390" s="3"/>
      <c r="D390" s="3" t="s">
        <v>646</v>
      </c>
      <c r="E390" s="21" t="s">
        <v>2007</v>
      </c>
      <c r="F390" s="3" t="s">
        <v>235</v>
      </c>
      <c r="G390" s="3" t="s">
        <v>2308</v>
      </c>
    </row>
    <row r="391" spans="1:7" x14ac:dyDescent="0.3">
      <c r="A391" s="9"/>
      <c r="B391" s="3"/>
      <c r="C391" s="3"/>
      <c r="D391" s="3" t="s">
        <v>58</v>
      </c>
      <c r="E391" s="21" t="s">
        <v>2007</v>
      </c>
      <c r="F391" s="3" t="s">
        <v>235</v>
      </c>
      <c r="G391" s="3" t="s">
        <v>2308</v>
      </c>
    </row>
    <row r="392" spans="1:7" x14ac:dyDescent="0.3">
      <c r="A392" s="9"/>
      <c r="B392" s="3"/>
      <c r="C392" s="3"/>
      <c r="D392" s="3" t="s">
        <v>29</v>
      </c>
      <c r="E392" s="21" t="s">
        <v>2007</v>
      </c>
      <c r="F392" s="3" t="s">
        <v>235</v>
      </c>
      <c r="G392" s="3" t="s">
        <v>2308</v>
      </c>
    </row>
    <row r="393" spans="1:7" x14ac:dyDescent="0.3">
      <c r="A393" s="9"/>
      <c r="B393" s="3"/>
      <c r="C393" s="3"/>
      <c r="D393" s="3" t="s">
        <v>21</v>
      </c>
      <c r="E393" s="21" t="s">
        <v>2311</v>
      </c>
      <c r="F393" s="3" t="s">
        <v>235</v>
      </c>
      <c r="G393" s="3" t="s">
        <v>1873</v>
      </c>
    </row>
    <row r="394" spans="1:7" x14ac:dyDescent="0.3">
      <c r="A394" s="9"/>
      <c r="B394" s="3"/>
      <c r="C394" s="3"/>
      <c r="D394" s="3" t="s">
        <v>20</v>
      </c>
      <c r="E394" s="21" t="s">
        <v>2311</v>
      </c>
      <c r="F394" s="3" t="s">
        <v>235</v>
      </c>
      <c r="G394" s="3" t="s">
        <v>1873</v>
      </c>
    </row>
    <row r="395" spans="1:7" x14ac:dyDescent="0.3">
      <c r="A395" s="9"/>
      <c r="B395" s="3"/>
      <c r="C395" s="3"/>
      <c r="D395" s="3" t="s">
        <v>49</v>
      </c>
      <c r="E395" s="21" t="s">
        <v>2009</v>
      </c>
      <c r="F395" s="3" t="s">
        <v>235</v>
      </c>
      <c r="G395" s="3" t="s">
        <v>2324</v>
      </c>
    </row>
    <row r="396" spans="1:7" x14ac:dyDescent="0.3">
      <c r="A396" s="9"/>
      <c r="B396" s="3"/>
      <c r="C396" s="3"/>
      <c r="D396" s="3" t="s">
        <v>1622</v>
      </c>
      <c r="E396" s="21" t="s">
        <v>2009</v>
      </c>
      <c r="F396" s="3" t="s">
        <v>2325</v>
      </c>
      <c r="G396" s="3" t="s">
        <v>2326</v>
      </c>
    </row>
    <row r="397" spans="1:7" x14ac:dyDescent="0.3">
      <c r="A397" s="9"/>
      <c r="B397" s="3"/>
      <c r="C397" s="3"/>
      <c r="D397" s="3" t="s">
        <v>13</v>
      </c>
      <c r="E397" s="21" t="s">
        <v>2009</v>
      </c>
      <c r="F397" s="3" t="s">
        <v>2325</v>
      </c>
      <c r="G397" s="3" t="s">
        <v>2326</v>
      </c>
    </row>
    <row r="398" spans="1:7" x14ac:dyDescent="0.3">
      <c r="A398" s="9"/>
      <c r="B398" s="3"/>
      <c r="C398" s="3"/>
      <c r="D398" s="3" t="s">
        <v>42</v>
      </c>
      <c r="E398" s="21" t="s">
        <v>2009</v>
      </c>
      <c r="F398" s="3" t="s">
        <v>2325</v>
      </c>
      <c r="G398" s="3" t="s">
        <v>2326</v>
      </c>
    </row>
    <row r="399" spans="1:7" x14ac:dyDescent="0.3">
      <c r="A399" s="9"/>
      <c r="B399" s="3"/>
      <c r="C399" s="3"/>
      <c r="D399" s="3" t="s">
        <v>2327</v>
      </c>
      <c r="E399" s="21" t="s">
        <v>2007</v>
      </c>
      <c r="F399" s="3" t="s">
        <v>2328</v>
      </c>
      <c r="G399" s="3" t="s">
        <v>2329</v>
      </c>
    </row>
    <row r="400" spans="1:7" x14ac:dyDescent="0.3">
      <c r="A400" s="9"/>
      <c r="B400" s="3"/>
      <c r="C400" s="3"/>
      <c r="D400" s="3" t="s">
        <v>15</v>
      </c>
      <c r="E400" s="21" t="s">
        <v>2330</v>
      </c>
      <c r="F400" s="3" t="s">
        <v>235</v>
      </c>
      <c r="G400" s="17" t="s">
        <v>2331</v>
      </c>
    </row>
    <row r="401" spans="1:7" x14ac:dyDescent="0.3">
      <c r="A401" s="9"/>
      <c r="B401" s="3"/>
      <c r="C401" s="3"/>
      <c r="D401" s="3" t="s">
        <v>646</v>
      </c>
      <c r="E401" s="21" t="s">
        <v>2009</v>
      </c>
      <c r="F401" s="3" t="s">
        <v>235</v>
      </c>
      <c r="G401" s="3" t="s">
        <v>2332</v>
      </c>
    </row>
    <row r="402" spans="1:7" x14ac:dyDescent="0.3">
      <c r="A402" s="9"/>
      <c r="B402" s="3"/>
      <c r="C402" s="3"/>
      <c r="D402" s="3" t="s">
        <v>58</v>
      </c>
      <c r="E402" s="21" t="s">
        <v>2009</v>
      </c>
      <c r="F402" s="3" t="s">
        <v>235</v>
      </c>
      <c r="G402" s="3" t="s">
        <v>2332</v>
      </c>
    </row>
    <row r="403" spans="1:7" ht="32.25" x14ac:dyDescent="0.3">
      <c r="A403" s="9"/>
      <c r="B403" s="3"/>
      <c r="C403" s="3"/>
      <c r="D403" s="3" t="s">
        <v>58</v>
      </c>
      <c r="E403" s="21" t="s">
        <v>2190</v>
      </c>
      <c r="F403" s="3" t="s">
        <v>1169</v>
      </c>
      <c r="G403" s="17" t="s">
        <v>2333</v>
      </c>
    </row>
    <row r="404" spans="1:7" x14ac:dyDescent="0.3">
      <c r="A404" s="9"/>
      <c r="B404" s="3" t="s">
        <v>2352</v>
      </c>
      <c r="C404" s="3"/>
      <c r="D404" s="3" t="s">
        <v>51</v>
      </c>
      <c r="E404" s="21" t="s">
        <v>2006</v>
      </c>
      <c r="F404" s="3" t="s">
        <v>2232</v>
      </c>
      <c r="G404" s="3" t="s">
        <v>2353</v>
      </c>
    </row>
    <row r="405" spans="1:7" ht="32.25" x14ac:dyDescent="0.3">
      <c r="A405" s="9"/>
      <c r="B405" s="3"/>
      <c r="C405" s="3"/>
      <c r="D405" s="3" t="s">
        <v>646</v>
      </c>
      <c r="E405" s="21" t="s">
        <v>2190</v>
      </c>
      <c r="F405" s="3" t="s">
        <v>1169</v>
      </c>
      <c r="G405" s="17" t="s">
        <v>2333</v>
      </c>
    </row>
    <row r="406" spans="1:7" ht="32.25" x14ac:dyDescent="0.3">
      <c r="A406" s="9"/>
      <c r="B406" s="3"/>
      <c r="C406" s="3"/>
      <c r="D406" s="3" t="s">
        <v>20</v>
      </c>
      <c r="E406" s="21" t="s">
        <v>2006</v>
      </c>
      <c r="F406" s="3" t="s">
        <v>2355</v>
      </c>
      <c r="G406" s="17" t="s">
        <v>1309</v>
      </c>
    </row>
    <row r="407" spans="1:7" ht="32.25" x14ac:dyDescent="0.3">
      <c r="A407" s="9"/>
      <c r="B407" s="3"/>
      <c r="C407" s="3"/>
      <c r="D407" s="3" t="s">
        <v>16</v>
      </c>
      <c r="E407" s="21" t="s">
        <v>2006</v>
      </c>
      <c r="F407" s="3" t="s">
        <v>2355</v>
      </c>
      <c r="G407" s="17" t="s">
        <v>1309</v>
      </c>
    </row>
    <row r="408" spans="1:7" ht="32.25" x14ac:dyDescent="0.3">
      <c r="A408" s="9"/>
      <c r="B408" s="3"/>
      <c r="C408" s="3"/>
      <c r="D408" s="3" t="s">
        <v>1303</v>
      </c>
      <c r="E408" s="21" t="s">
        <v>2006</v>
      </c>
      <c r="F408" s="3" t="s">
        <v>2355</v>
      </c>
      <c r="G408" s="17" t="s">
        <v>1309</v>
      </c>
    </row>
    <row r="409" spans="1:7" ht="32.25" x14ac:dyDescent="0.3">
      <c r="A409" s="9"/>
      <c r="B409" s="3"/>
      <c r="C409" s="3"/>
      <c r="D409" s="3" t="s">
        <v>15</v>
      </c>
      <c r="E409" s="21" t="s">
        <v>2006</v>
      </c>
      <c r="F409" s="3" t="s">
        <v>2355</v>
      </c>
      <c r="G409" s="17" t="s">
        <v>1309</v>
      </c>
    </row>
    <row r="410" spans="1:7" x14ac:dyDescent="0.3">
      <c r="A410" s="9"/>
      <c r="B410" s="3"/>
      <c r="C410" s="3"/>
      <c r="D410" s="3" t="s">
        <v>49</v>
      </c>
      <c r="E410" s="25" t="s">
        <v>2006</v>
      </c>
      <c r="F410" s="3" t="s">
        <v>235</v>
      </c>
      <c r="G410" s="3" t="s">
        <v>2324</v>
      </c>
    </row>
    <row r="411" spans="1:7" x14ac:dyDescent="0.3">
      <c r="A411" s="9"/>
      <c r="B411" s="3"/>
      <c r="C411" s="3"/>
      <c r="D411" s="3" t="s">
        <v>25</v>
      </c>
      <c r="E411" s="3" t="s">
        <v>2364</v>
      </c>
      <c r="F411" s="3" t="s">
        <v>2365</v>
      </c>
      <c r="G411" s="3" t="s">
        <v>2366</v>
      </c>
    </row>
    <row r="412" spans="1:7" x14ac:dyDescent="0.3">
      <c r="A412" s="9"/>
      <c r="B412" s="3"/>
      <c r="C412" s="3"/>
      <c r="D412" s="3" t="s">
        <v>2363</v>
      </c>
      <c r="E412" s="3" t="s">
        <v>2364</v>
      </c>
      <c r="F412" s="3" t="s">
        <v>2365</v>
      </c>
      <c r="G412" s="3" t="s">
        <v>2366</v>
      </c>
    </row>
    <row r="413" spans="1:7" x14ac:dyDescent="0.3">
      <c r="A413" s="9"/>
      <c r="B413" s="3"/>
      <c r="C413" s="3"/>
      <c r="D413" s="3" t="s">
        <v>42</v>
      </c>
      <c r="E413" s="3" t="s">
        <v>2364</v>
      </c>
      <c r="F413" s="3" t="s">
        <v>2365</v>
      </c>
      <c r="G413" s="3" t="s">
        <v>2366</v>
      </c>
    </row>
    <row r="414" spans="1:7" x14ac:dyDescent="0.3">
      <c r="A414" s="9"/>
      <c r="B414" s="3"/>
      <c r="C414" s="3"/>
      <c r="D414" s="3" t="s">
        <v>1622</v>
      </c>
      <c r="E414" s="3" t="s">
        <v>2364</v>
      </c>
      <c r="F414" s="3" t="s">
        <v>2365</v>
      </c>
      <c r="G414" s="3" t="s">
        <v>2366</v>
      </c>
    </row>
    <row r="415" spans="1:7" x14ac:dyDescent="0.3">
      <c r="A415" s="9"/>
      <c r="B415" s="3"/>
      <c r="C415" s="3"/>
      <c r="D415" s="3" t="s">
        <v>22</v>
      </c>
      <c r="E415" s="3" t="s">
        <v>2364</v>
      </c>
      <c r="F415" s="3" t="s">
        <v>2365</v>
      </c>
      <c r="G415" s="3" t="s">
        <v>2366</v>
      </c>
    </row>
    <row r="416" spans="1:7" x14ac:dyDescent="0.3">
      <c r="A416" s="9"/>
      <c r="B416" s="3"/>
      <c r="C416" s="3"/>
      <c r="D416" s="3" t="s">
        <v>23</v>
      </c>
      <c r="E416" s="3" t="s">
        <v>2364</v>
      </c>
      <c r="F416" s="3" t="s">
        <v>2365</v>
      </c>
      <c r="G416" s="3" t="s">
        <v>2366</v>
      </c>
    </row>
    <row r="417" spans="1:7" x14ac:dyDescent="0.3">
      <c r="A417" s="9"/>
      <c r="B417" s="77">
        <v>46117</v>
      </c>
      <c r="C417" s="3"/>
      <c r="D417" s="3" t="s">
        <v>21</v>
      </c>
      <c r="E417" s="21" t="s">
        <v>2373</v>
      </c>
      <c r="F417" s="3" t="s">
        <v>235</v>
      </c>
      <c r="G417" s="3" t="s">
        <v>2374</v>
      </c>
    </row>
    <row r="418" spans="1:7" x14ac:dyDescent="0.3">
      <c r="A418" s="9"/>
      <c r="B418" s="3"/>
      <c r="C418" s="3"/>
      <c r="D418" s="3" t="s">
        <v>20</v>
      </c>
      <c r="E418" s="21" t="s">
        <v>2373</v>
      </c>
      <c r="F418" s="3" t="s">
        <v>235</v>
      </c>
      <c r="G418" s="3" t="s">
        <v>2374</v>
      </c>
    </row>
    <row r="419" spans="1:7" x14ac:dyDescent="0.3">
      <c r="A419" s="9"/>
      <c r="B419" s="3"/>
      <c r="C419" s="3"/>
      <c r="D419" s="3" t="s">
        <v>53</v>
      </c>
      <c r="E419" s="21" t="s">
        <v>2344</v>
      </c>
      <c r="F419" s="3" t="s">
        <v>1169</v>
      </c>
      <c r="G419" s="3" t="s">
        <v>2377</v>
      </c>
    </row>
    <row r="420" spans="1:7" x14ac:dyDescent="0.3">
      <c r="A420" s="9"/>
      <c r="B420" s="3"/>
      <c r="C420" s="3"/>
      <c r="D420" s="3" t="s">
        <v>1787</v>
      </c>
      <c r="E420" s="21" t="s">
        <v>2375</v>
      </c>
      <c r="F420" s="3" t="s">
        <v>1169</v>
      </c>
      <c r="G420" s="3" t="s">
        <v>2377</v>
      </c>
    </row>
    <row r="421" spans="1:7" x14ac:dyDescent="0.3">
      <c r="A421" s="9"/>
      <c r="B421" s="3"/>
      <c r="C421" s="3"/>
      <c r="D421" s="3" t="s">
        <v>24</v>
      </c>
      <c r="E421" s="21" t="s">
        <v>2376</v>
      </c>
      <c r="F421" s="3" t="s">
        <v>1169</v>
      </c>
      <c r="G421" s="3" t="s">
        <v>2385</v>
      </c>
    </row>
    <row r="422" spans="1:7" x14ac:dyDescent="0.3">
      <c r="A422" s="9"/>
      <c r="B422" s="3"/>
      <c r="C422" s="3"/>
      <c r="D422" s="3" t="s">
        <v>15</v>
      </c>
      <c r="E422" s="21" t="s">
        <v>2384</v>
      </c>
      <c r="F422" s="3" t="s">
        <v>235</v>
      </c>
      <c r="G422" s="3" t="s">
        <v>2385</v>
      </c>
    </row>
    <row r="423" spans="1:7" x14ac:dyDescent="0.3">
      <c r="A423" s="9"/>
      <c r="B423" s="3"/>
      <c r="C423" s="3"/>
      <c r="D423" s="3" t="s">
        <v>13</v>
      </c>
      <c r="E423" s="21" t="s">
        <v>2386</v>
      </c>
      <c r="F423" s="3" t="s">
        <v>770</v>
      </c>
      <c r="G423" s="3" t="s">
        <v>2387</v>
      </c>
    </row>
    <row r="424" spans="1:7" x14ac:dyDescent="0.3">
      <c r="A424" s="9"/>
      <c r="B424" s="3"/>
      <c r="C424" s="3"/>
      <c r="D424" s="3" t="s">
        <v>42</v>
      </c>
      <c r="E424" s="21" t="s">
        <v>2386</v>
      </c>
      <c r="F424" s="3" t="s">
        <v>770</v>
      </c>
      <c r="G424" s="3" t="s">
        <v>2387</v>
      </c>
    </row>
    <row r="425" spans="1:7" x14ac:dyDescent="0.3">
      <c r="A425" s="9"/>
      <c r="B425" s="3"/>
      <c r="C425" s="3"/>
      <c r="D425" s="3" t="s">
        <v>51</v>
      </c>
      <c r="E425" s="21" t="s">
        <v>2435</v>
      </c>
      <c r="F425" s="3" t="s">
        <v>2232</v>
      </c>
      <c r="G425" s="3" t="s">
        <v>1878</v>
      </c>
    </row>
    <row r="426" spans="1:7" x14ac:dyDescent="0.3">
      <c r="A426" s="9"/>
      <c r="B426" s="3"/>
      <c r="C426" s="3"/>
      <c r="D426" s="3" t="s">
        <v>30</v>
      </c>
      <c r="E426" s="21" t="s">
        <v>2304</v>
      </c>
      <c r="F426" s="3" t="s">
        <v>2439</v>
      </c>
      <c r="G426" s="3"/>
    </row>
    <row r="427" spans="1:7" ht="32.25" x14ac:dyDescent="0.3">
      <c r="A427" s="9"/>
      <c r="B427" s="3"/>
      <c r="C427" s="3"/>
      <c r="D427" s="3" t="s">
        <v>16</v>
      </c>
      <c r="E427" s="21" t="s">
        <v>2440</v>
      </c>
      <c r="F427" s="3" t="s">
        <v>687</v>
      </c>
      <c r="G427" s="17" t="s">
        <v>1309</v>
      </c>
    </row>
    <row r="428" spans="1:7" ht="32.25" x14ac:dyDescent="0.3">
      <c r="A428" s="9"/>
      <c r="B428" s="3"/>
      <c r="C428" s="3"/>
      <c r="D428" s="3" t="s">
        <v>1303</v>
      </c>
      <c r="E428" s="21" t="s">
        <v>2440</v>
      </c>
      <c r="F428" s="3" t="s">
        <v>687</v>
      </c>
      <c r="G428" s="17" t="s">
        <v>1309</v>
      </c>
    </row>
    <row r="429" spans="1:7" ht="32.25" x14ac:dyDescent="0.3">
      <c r="A429" s="9"/>
      <c r="B429" s="3"/>
      <c r="C429" s="3"/>
      <c r="D429" s="3" t="s">
        <v>15</v>
      </c>
      <c r="E429" s="21" t="s">
        <v>2440</v>
      </c>
      <c r="F429" s="3" t="s">
        <v>687</v>
      </c>
      <c r="G429" s="17" t="s">
        <v>1309</v>
      </c>
    </row>
    <row r="430" spans="1:7" ht="32.25" x14ac:dyDescent="0.3">
      <c r="A430" s="9"/>
      <c r="B430" s="3"/>
      <c r="C430" s="3"/>
      <c r="D430" s="3" t="s">
        <v>20</v>
      </c>
      <c r="E430" s="21" t="s">
        <v>2440</v>
      </c>
      <c r="F430" s="3" t="s">
        <v>687</v>
      </c>
      <c r="G430" s="17" t="s">
        <v>1309</v>
      </c>
    </row>
    <row r="431" spans="1:7" x14ac:dyDescent="0.3">
      <c r="A431" s="9"/>
      <c r="B431" s="77">
        <v>46178</v>
      </c>
      <c r="C431" s="3"/>
      <c r="D431" s="3" t="s">
        <v>635</v>
      </c>
      <c r="E431" s="21" t="s">
        <v>2465</v>
      </c>
      <c r="F431" s="3" t="s">
        <v>1169</v>
      </c>
      <c r="G431" s="3" t="s">
        <v>2466</v>
      </c>
    </row>
    <row r="432" spans="1:7" x14ac:dyDescent="0.3">
      <c r="A432" s="9"/>
      <c r="B432" s="3"/>
      <c r="C432" s="3"/>
      <c r="D432" s="3" t="s">
        <v>634</v>
      </c>
      <c r="E432" s="21" t="s">
        <v>2440</v>
      </c>
      <c r="F432" s="3" t="s">
        <v>2328</v>
      </c>
      <c r="G432" s="3" t="s">
        <v>2329</v>
      </c>
    </row>
    <row r="433" spans="1:7" x14ac:dyDescent="0.3">
      <c r="A433" s="9"/>
      <c r="B433" s="3"/>
      <c r="C433" s="3"/>
      <c r="D433" s="3" t="s">
        <v>17</v>
      </c>
      <c r="E433" s="21" t="s">
        <v>2465</v>
      </c>
      <c r="F433" s="3" t="s">
        <v>1169</v>
      </c>
      <c r="G433" s="3" t="s">
        <v>2466</v>
      </c>
    </row>
    <row r="434" spans="1:7" x14ac:dyDescent="0.3">
      <c r="A434" s="9"/>
      <c r="B434" s="77">
        <v>46331</v>
      </c>
      <c r="C434" s="3"/>
      <c r="D434" s="3" t="s">
        <v>2487</v>
      </c>
      <c r="E434" s="21" t="s">
        <v>2488</v>
      </c>
      <c r="F434" s="3" t="s">
        <v>2489</v>
      </c>
      <c r="G434" s="3" t="s">
        <v>2490</v>
      </c>
    </row>
    <row r="435" spans="1:7" x14ac:dyDescent="0.3">
      <c r="A435" s="9"/>
      <c r="B435" s="3"/>
      <c r="C435" s="3"/>
      <c r="D435" s="3" t="s">
        <v>20</v>
      </c>
      <c r="E435" s="21" t="s">
        <v>2496</v>
      </c>
      <c r="F435" s="3" t="s">
        <v>687</v>
      </c>
      <c r="G435" s="3" t="s">
        <v>2497</v>
      </c>
    </row>
    <row r="436" spans="1:7" x14ac:dyDescent="0.3">
      <c r="A436" s="9"/>
      <c r="B436" s="3"/>
      <c r="C436" s="3"/>
      <c r="D436" s="3" t="s">
        <v>16</v>
      </c>
      <c r="E436" s="21" t="s">
        <v>2496</v>
      </c>
      <c r="F436" s="3" t="s">
        <v>687</v>
      </c>
      <c r="G436" s="3" t="s">
        <v>2497</v>
      </c>
    </row>
    <row r="437" spans="1:7" ht="32.25" x14ac:dyDescent="0.3">
      <c r="A437" s="9"/>
      <c r="B437" s="3"/>
      <c r="C437" s="3"/>
      <c r="D437" s="3" t="s">
        <v>20</v>
      </c>
      <c r="E437" s="21" t="s">
        <v>2398</v>
      </c>
      <c r="F437" s="3" t="s">
        <v>687</v>
      </c>
      <c r="G437" s="17" t="s">
        <v>1309</v>
      </c>
    </row>
    <row r="438" spans="1:7" ht="32.25" x14ac:dyDescent="0.3">
      <c r="A438" s="9"/>
      <c r="B438" s="3"/>
      <c r="C438" s="3"/>
      <c r="D438" s="3" t="s">
        <v>16</v>
      </c>
      <c r="E438" s="21" t="s">
        <v>2398</v>
      </c>
      <c r="F438" s="3" t="s">
        <v>687</v>
      </c>
      <c r="G438" s="17" t="s">
        <v>1309</v>
      </c>
    </row>
    <row r="439" spans="1:7" ht="32.25" x14ac:dyDescent="0.3">
      <c r="A439" s="9"/>
      <c r="B439" s="3"/>
      <c r="C439" s="3"/>
      <c r="D439" s="3" t="s">
        <v>1303</v>
      </c>
      <c r="E439" s="21" t="s">
        <v>2398</v>
      </c>
      <c r="F439" s="3" t="s">
        <v>687</v>
      </c>
      <c r="G439" s="17" t="s">
        <v>1309</v>
      </c>
    </row>
    <row r="440" spans="1:7" ht="32.25" x14ac:dyDescent="0.3">
      <c r="A440" s="9"/>
      <c r="B440" s="3"/>
      <c r="C440" s="3"/>
      <c r="D440" s="3" t="s">
        <v>15</v>
      </c>
      <c r="E440" s="21" t="s">
        <v>2398</v>
      </c>
      <c r="F440" s="3" t="s">
        <v>687</v>
      </c>
      <c r="G440" s="17" t="s">
        <v>1309</v>
      </c>
    </row>
    <row r="441" spans="1:7" x14ac:dyDescent="0.3">
      <c r="A441" s="9"/>
      <c r="B441" s="3"/>
      <c r="C441" s="3"/>
      <c r="D441" s="3" t="s">
        <v>15</v>
      </c>
      <c r="E441" s="21" t="s">
        <v>2488</v>
      </c>
      <c r="F441" s="3" t="s">
        <v>235</v>
      </c>
      <c r="G441" s="3" t="s">
        <v>2501</v>
      </c>
    </row>
    <row r="442" spans="1:7" ht="32.25" x14ac:dyDescent="0.3">
      <c r="A442" s="9"/>
      <c r="B442" s="3"/>
      <c r="C442" s="3"/>
      <c r="D442" s="3" t="s">
        <v>53</v>
      </c>
      <c r="E442" s="21" t="s">
        <v>2526</v>
      </c>
      <c r="F442" s="3" t="s">
        <v>2514</v>
      </c>
      <c r="G442" s="25" t="s">
        <v>2515</v>
      </c>
    </row>
    <row r="443" spans="1:7" ht="32.25" x14ac:dyDescent="0.3">
      <c r="A443" s="9"/>
      <c r="B443" s="3"/>
      <c r="C443" s="3"/>
      <c r="D443" s="3" t="s">
        <v>635</v>
      </c>
      <c r="E443" s="21" t="s">
        <v>2526</v>
      </c>
      <c r="F443" s="3" t="s">
        <v>2514</v>
      </c>
      <c r="G443" s="25" t="s">
        <v>2515</v>
      </c>
    </row>
    <row r="444" spans="1:7" ht="32.25" x14ac:dyDescent="0.3">
      <c r="A444" s="9"/>
      <c r="B444" s="3"/>
      <c r="C444" s="3"/>
      <c r="D444" s="3" t="s">
        <v>30</v>
      </c>
      <c r="E444" s="21" t="s">
        <v>2526</v>
      </c>
      <c r="F444" s="3" t="s">
        <v>2514</v>
      </c>
      <c r="G444" s="25" t="s">
        <v>2515</v>
      </c>
    </row>
    <row r="445" spans="1:7" ht="32.25" x14ac:dyDescent="0.3">
      <c r="A445" s="9"/>
      <c r="B445" s="3"/>
      <c r="C445" s="3"/>
      <c r="D445" s="3" t="s">
        <v>634</v>
      </c>
      <c r="E445" s="21" t="s">
        <v>2526</v>
      </c>
      <c r="F445" s="3" t="s">
        <v>2514</v>
      </c>
      <c r="G445" s="25" t="s">
        <v>2515</v>
      </c>
    </row>
    <row r="446" spans="1:7" ht="32.25" x14ac:dyDescent="0.3">
      <c r="A446" s="9"/>
      <c r="B446" s="3"/>
      <c r="C446" s="3"/>
      <c r="D446" s="3" t="s">
        <v>1787</v>
      </c>
      <c r="E446" s="21" t="s">
        <v>2526</v>
      </c>
      <c r="F446" s="3" t="s">
        <v>2514</v>
      </c>
      <c r="G446" s="25" t="s">
        <v>2515</v>
      </c>
    </row>
    <row r="447" spans="1:7" ht="32.25" x14ac:dyDescent="0.3">
      <c r="A447" s="9"/>
      <c r="B447" s="3"/>
      <c r="C447" s="3"/>
      <c r="D447" s="3" t="s">
        <v>29</v>
      </c>
      <c r="E447" s="21" t="s">
        <v>2526</v>
      </c>
      <c r="F447" s="3" t="s">
        <v>2514</v>
      </c>
      <c r="G447" s="25" t="s">
        <v>2515</v>
      </c>
    </row>
    <row r="448" spans="1:7" x14ac:dyDescent="0.3">
      <c r="A448" s="9"/>
      <c r="B448" s="77">
        <v>46361</v>
      </c>
      <c r="C448" s="3"/>
      <c r="D448" s="3" t="s">
        <v>23</v>
      </c>
      <c r="E448" s="21" t="s">
        <v>2526</v>
      </c>
      <c r="F448" s="3" t="s">
        <v>2527</v>
      </c>
      <c r="G448" s="3" t="s">
        <v>2528</v>
      </c>
    </row>
    <row r="449" spans="1:7" x14ac:dyDescent="0.3">
      <c r="A449" s="9"/>
      <c r="B449" s="3"/>
      <c r="C449" s="3"/>
      <c r="D449" s="3" t="s">
        <v>22</v>
      </c>
      <c r="E449" s="21" t="s">
        <v>2526</v>
      </c>
      <c r="F449" s="3" t="s">
        <v>2527</v>
      </c>
      <c r="G449" s="3" t="s">
        <v>2528</v>
      </c>
    </row>
    <row r="450" spans="1:7" x14ac:dyDescent="0.3">
      <c r="A450" s="9"/>
      <c r="B450" s="3"/>
      <c r="C450" s="3"/>
      <c r="D450" s="3" t="s">
        <v>13</v>
      </c>
      <c r="E450" s="21" t="s">
        <v>2529</v>
      </c>
      <c r="F450" s="3" t="s">
        <v>421</v>
      </c>
      <c r="G450" s="3" t="s">
        <v>2531</v>
      </c>
    </row>
    <row r="451" spans="1:7" x14ac:dyDescent="0.3">
      <c r="A451" s="9"/>
      <c r="B451" s="3"/>
      <c r="C451" s="3"/>
      <c r="D451" s="3" t="s">
        <v>913</v>
      </c>
      <c r="E451" s="21" t="s">
        <v>2530</v>
      </c>
      <c r="F451" s="3" t="s">
        <v>421</v>
      </c>
      <c r="G451" s="3" t="s">
        <v>2531</v>
      </c>
    </row>
    <row r="452" spans="1:7" ht="32.25" x14ac:dyDescent="0.3">
      <c r="A452" s="9"/>
      <c r="B452" s="3"/>
      <c r="C452" s="3"/>
      <c r="D452" s="3" t="s">
        <v>634</v>
      </c>
      <c r="E452" s="21" t="s">
        <v>2496</v>
      </c>
      <c r="F452" s="3" t="s">
        <v>235</v>
      </c>
      <c r="G452" s="17" t="s">
        <v>2532</v>
      </c>
    </row>
    <row r="453" spans="1:7" ht="32.25" x14ac:dyDescent="0.3">
      <c r="A453" s="9"/>
      <c r="B453" s="3"/>
      <c r="C453" s="3"/>
      <c r="D453" s="3" t="s">
        <v>53</v>
      </c>
      <c r="E453" s="21" t="s">
        <v>2496</v>
      </c>
      <c r="F453" s="3" t="s">
        <v>235</v>
      </c>
      <c r="G453" s="17" t="s">
        <v>2532</v>
      </c>
    </row>
    <row r="454" spans="1:7" ht="32.25" x14ac:dyDescent="0.3">
      <c r="A454" s="9"/>
      <c r="B454" s="3"/>
      <c r="C454" s="3"/>
      <c r="D454" s="3" t="s">
        <v>17</v>
      </c>
      <c r="E454" s="21" t="s">
        <v>2496</v>
      </c>
      <c r="F454" s="3" t="s">
        <v>235</v>
      </c>
      <c r="G454" s="17" t="s">
        <v>2532</v>
      </c>
    </row>
    <row r="455" spans="1:7" ht="32.25" x14ac:dyDescent="0.3">
      <c r="A455" s="9"/>
      <c r="B455" s="3"/>
      <c r="C455" s="3"/>
      <c r="D455" s="3" t="s">
        <v>24</v>
      </c>
      <c r="E455" s="21" t="s">
        <v>2496</v>
      </c>
      <c r="F455" s="3" t="s">
        <v>235</v>
      </c>
      <c r="G455" s="17" t="s">
        <v>2532</v>
      </c>
    </row>
    <row r="456" spans="1:7" ht="32.25" x14ac:dyDescent="0.3">
      <c r="A456" s="9"/>
      <c r="B456" s="3"/>
      <c r="C456" s="3"/>
      <c r="D456" s="3" t="s">
        <v>1787</v>
      </c>
      <c r="E456" s="21" t="s">
        <v>2496</v>
      </c>
      <c r="F456" s="3" t="s">
        <v>235</v>
      </c>
      <c r="G456" s="17" t="s">
        <v>2532</v>
      </c>
    </row>
    <row r="457" spans="1:7" x14ac:dyDescent="0.3">
      <c r="A457" s="9"/>
      <c r="B457" s="77">
        <v>46361</v>
      </c>
      <c r="C457" s="3"/>
      <c r="D457" s="3" t="s">
        <v>632</v>
      </c>
      <c r="E457" s="21" t="s">
        <v>2552</v>
      </c>
      <c r="F457" s="3" t="s">
        <v>1004</v>
      </c>
      <c r="G457" s="3" t="s">
        <v>2553</v>
      </c>
    </row>
    <row r="458" spans="1:7" x14ac:dyDescent="0.3">
      <c r="A458" s="9"/>
      <c r="B458" s="3"/>
      <c r="C458" s="3"/>
      <c r="D458" s="3" t="s">
        <v>13</v>
      </c>
      <c r="E458" s="21" t="s">
        <v>2552</v>
      </c>
      <c r="F458" s="3" t="s">
        <v>1004</v>
      </c>
      <c r="G458" s="3" t="s">
        <v>2553</v>
      </c>
    </row>
    <row r="459" spans="1:7" x14ac:dyDescent="0.3">
      <c r="A459" s="9"/>
      <c r="B459" s="3"/>
      <c r="C459" s="3"/>
      <c r="D459" s="3" t="s">
        <v>42</v>
      </c>
      <c r="E459" s="21" t="s">
        <v>2552</v>
      </c>
      <c r="F459" s="3" t="s">
        <v>1004</v>
      </c>
      <c r="G459" s="3" t="s">
        <v>2553</v>
      </c>
    </row>
    <row r="460" spans="1:7" x14ac:dyDescent="0.3">
      <c r="A460" s="9"/>
      <c r="B460" s="3"/>
      <c r="C460" s="3"/>
      <c r="D460" s="3" t="s">
        <v>46</v>
      </c>
      <c r="E460" s="21" t="s">
        <v>2552</v>
      </c>
      <c r="F460" s="3" t="s">
        <v>1004</v>
      </c>
      <c r="G460" s="3" t="s">
        <v>2553</v>
      </c>
    </row>
    <row r="461" spans="1:7" x14ac:dyDescent="0.3">
      <c r="A461" s="9"/>
      <c r="B461" s="3" t="s">
        <v>2571</v>
      </c>
      <c r="C461" s="3"/>
      <c r="D461" s="3" t="s">
        <v>22</v>
      </c>
      <c r="E461" s="21" t="s">
        <v>2552</v>
      </c>
      <c r="F461" s="3" t="s">
        <v>2576</v>
      </c>
      <c r="G461" s="3" t="s">
        <v>2577</v>
      </c>
    </row>
    <row r="462" spans="1:7" x14ac:dyDescent="0.3">
      <c r="A462" s="9"/>
      <c r="B462" s="3"/>
      <c r="C462" s="3"/>
      <c r="D462" s="3" t="s">
        <v>23</v>
      </c>
      <c r="E462" s="21" t="s">
        <v>2552</v>
      </c>
      <c r="F462" s="3" t="s">
        <v>2576</v>
      </c>
      <c r="G462" s="3" t="s">
        <v>2577</v>
      </c>
    </row>
    <row r="463" spans="1:7" x14ac:dyDescent="0.3">
      <c r="A463" s="9"/>
      <c r="B463" s="3"/>
      <c r="C463" s="3"/>
      <c r="D463" s="3" t="s">
        <v>342</v>
      </c>
      <c r="E463" s="21" t="s">
        <v>2552</v>
      </c>
      <c r="F463" s="3" t="s">
        <v>2576</v>
      </c>
      <c r="G463" s="3" t="s">
        <v>2577</v>
      </c>
    </row>
    <row r="464" spans="1:7" x14ac:dyDescent="0.3">
      <c r="A464" s="9"/>
      <c r="B464" s="3"/>
      <c r="C464" s="3"/>
      <c r="D464" s="3" t="s">
        <v>15</v>
      </c>
      <c r="E464" s="21" t="s">
        <v>2585</v>
      </c>
      <c r="F464" s="3" t="s">
        <v>2586</v>
      </c>
      <c r="G464" s="3" t="s">
        <v>2587</v>
      </c>
    </row>
    <row r="465" spans="1:7" x14ac:dyDescent="0.3">
      <c r="A465" s="9"/>
      <c r="B465" s="3"/>
      <c r="C465" s="3"/>
      <c r="D465" s="3" t="s">
        <v>21</v>
      </c>
      <c r="E465" s="21" t="s">
        <v>2588</v>
      </c>
      <c r="F465" s="3" t="s">
        <v>235</v>
      </c>
      <c r="G465" s="3" t="s">
        <v>2591</v>
      </c>
    </row>
    <row r="466" spans="1:7" x14ac:dyDescent="0.3">
      <c r="A466" s="9"/>
      <c r="B466" s="3"/>
      <c r="C466" s="3"/>
      <c r="D466" s="3" t="s">
        <v>20</v>
      </c>
      <c r="E466" s="21" t="s">
        <v>2589</v>
      </c>
      <c r="F466" s="3" t="s">
        <v>235</v>
      </c>
      <c r="G466" s="3" t="s">
        <v>2592</v>
      </c>
    </row>
    <row r="467" spans="1:7" x14ac:dyDescent="0.3">
      <c r="A467" s="9"/>
      <c r="B467" s="3"/>
      <c r="C467" s="3"/>
      <c r="D467" s="3" t="s">
        <v>1459</v>
      </c>
      <c r="E467" s="21" t="s">
        <v>2552</v>
      </c>
      <c r="F467" s="3" t="s">
        <v>2590</v>
      </c>
      <c r="G467" s="3" t="s">
        <v>682</v>
      </c>
    </row>
    <row r="468" spans="1:7" ht="32.25" x14ac:dyDescent="0.3">
      <c r="A468" s="9"/>
      <c r="B468" s="3" t="s">
        <v>2617</v>
      </c>
      <c r="C468" s="3"/>
      <c r="D468" s="3" t="s">
        <v>20</v>
      </c>
      <c r="E468" s="21" t="s">
        <v>2518</v>
      </c>
      <c r="F468" s="3" t="s">
        <v>451</v>
      </c>
      <c r="G468" s="17" t="s">
        <v>1309</v>
      </c>
    </row>
    <row r="469" spans="1:7" ht="32.25" x14ac:dyDescent="0.3">
      <c r="A469" s="9"/>
      <c r="B469" s="3"/>
      <c r="C469" s="3"/>
      <c r="D469" s="3" t="s">
        <v>16</v>
      </c>
      <c r="E469" s="21" t="s">
        <v>2618</v>
      </c>
      <c r="F469" s="3" t="s">
        <v>451</v>
      </c>
      <c r="G469" s="17" t="s">
        <v>1309</v>
      </c>
    </row>
    <row r="470" spans="1:7" ht="32.25" x14ac:dyDescent="0.3">
      <c r="A470" s="9"/>
      <c r="B470" s="3"/>
      <c r="C470" s="3"/>
      <c r="D470" s="3" t="s">
        <v>15</v>
      </c>
      <c r="E470" s="21" t="s">
        <v>2619</v>
      </c>
      <c r="F470" s="3" t="s">
        <v>451</v>
      </c>
      <c r="G470" s="17" t="s">
        <v>1309</v>
      </c>
    </row>
    <row r="471" spans="1:7" ht="32.25" x14ac:dyDescent="0.3">
      <c r="A471" s="9"/>
      <c r="B471" s="3"/>
      <c r="C471" s="3"/>
      <c r="D471" s="3" t="s">
        <v>1303</v>
      </c>
      <c r="E471" s="21" t="s">
        <v>2620</v>
      </c>
      <c r="F471" s="3" t="s">
        <v>451</v>
      </c>
      <c r="G471" s="17" t="s">
        <v>1309</v>
      </c>
    </row>
    <row r="472" spans="1:7" x14ac:dyDescent="0.3">
      <c r="A472" s="9"/>
      <c r="B472" s="3"/>
      <c r="C472" s="3"/>
      <c r="D472" s="3" t="s">
        <v>635</v>
      </c>
      <c r="E472" s="21" t="s">
        <v>2551</v>
      </c>
      <c r="F472" s="3" t="s">
        <v>421</v>
      </c>
      <c r="G472" s="3" t="s">
        <v>2623</v>
      </c>
    </row>
    <row r="473" spans="1:7" x14ac:dyDescent="0.3">
      <c r="A473" s="9"/>
      <c r="B473" s="3"/>
      <c r="C473" s="3"/>
      <c r="D473" s="3" t="s">
        <v>58</v>
      </c>
      <c r="E473" s="21" t="s">
        <v>2518</v>
      </c>
      <c r="F473" s="3" t="s">
        <v>1169</v>
      </c>
      <c r="G473" s="3" t="s">
        <v>2628</v>
      </c>
    </row>
    <row r="474" spans="1:7" x14ac:dyDescent="0.3">
      <c r="A474" s="9"/>
      <c r="B474" s="3"/>
      <c r="C474" s="3"/>
      <c r="D474" s="3" t="s">
        <v>646</v>
      </c>
      <c r="E474" s="21" t="s">
        <v>2518</v>
      </c>
      <c r="F474" s="3" t="s">
        <v>1169</v>
      </c>
      <c r="G474" s="3" t="s">
        <v>2628</v>
      </c>
    </row>
    <row r="475" spans="1:7" x14ac:dyDescent="0.3">
      <c r="A475" s="9"/>
      <c r="B475" s="3"/>
      <c r="C475" s="3"/>
      <c r="D475" s="3" t="s">
        <v>913</v>
      </c>
      <c r="E475" s="21" t="s">
        <v>2518</v>
      </c>
      <c r="F475" s="3" t="s">
        <v>1169</v>
      </c>
      <c r="G475" s="3" t="s">
        <v>2628</v>
      </c>
    </row>
    <row r="476" spans="1:7" x14ac:dyDescent="0.3">
      <c r="A476" s="9"/>
      <c r="B476" s="3"/>
      <c r="C476" s="3"/>
      <c r="D476" s="3" t="s">
        <v>634</v>
      </c>
      <c r="E476" s="21" t="s">
        <v>2518</v>
      </c>
      <c r="F476" s="3" t="s">
        <v>1169</v>
      </c>
      <c r="G476" s="3" t="s">
        <v>2628</v>
      </c>
    </row>
    <row r="477" spans="1:7" x14ac:dyDescent="0.3">
      <c r="A477" s="9"/>
      <c r="B477" s="3"/>
      <c r="C477" s="3"/>
      <c r="D477" s="3" t="s">
        <v>30</v>
      </c>
      <c r="E477" s="21" t="s">
        <v>2518</v>
      </c>
      <c r="F477" s="3" t="s">
        <v>1169</v>
      </c>
      <c r="G477" s="3" t="s">
        <v>2628</v>
      </c>
    </row>
    <row r="478" spans="1:7" x14ac:dyDescent="0.3">
      <c r="A478" s="9"/>
      <c r="B478" s="3"/>
      <c r="C478" s="3"/>
      <c r="D478" s="3" t="s">
        <v>53</v>
      </c>
      <c r="E478" s="21" t="s">
        <v>2518</v>
      </c>
      <c r="F478" s="3" t="s">
        <v>1169</v>
      </c>
      <c r="G478" s="3" t="s">
        <v>2628</v>
      </c>
    </row>
    <row r="479" spans="1:7" x14ac:dyDescent="0.3">
      <c r="A479" s="9"/>
      <c r="B479" s="3"/>
      <c r="C479" s="3"/>
      <c r="D479" s="3" t="s">
        <v>59</v>
      </c>
      <c r="E479" s="21" t="s">
        <v>2518</v>
      </c>
      <c r="F479" s="3" t="s">
        <v>1169</v>
      </c>
      <c r="G479" s="3" t="s">
        <v>2628</v>
      </c>
    </row>
    <row r="480" spans="1:7" x14ac:dyDescent="0.3">
      <c r="A480" s="9"/>
      <c r="B480" s="3"/>
      <c r="C480" s="3"/>
      <c r="D480" s="3" t="s">
        <v>24</v>
      </c>
      <c r="E480" s="21" t="s">
        <v>2518</v>
      </c>
      <c r="F480" s="3" t="s">
        <v>1169</v>
      </c>
      <c r="G480" s="3" t="s">
        <v>2628</v>
      </c>
    </row>
    <row r="481" spans="1:7" x14ac:dyDescent="0.3">
      <c r="A481" s="3" t="s">
        <v>2629</v>
      </c>
      <c r="B481" s="3"/>
      <c r="C481" s="3"/>
      <c r="D481" s="3" t="s">
        <v>635</v>
      </c>
      <c r="E481" s="21" t="s">
        <v>2518</v>
      </c>
      <c r="F481" s="3" t="s">
        <v>1169</v>
      </c>
      <c r="G481" s="3" t="s">
        <v>2628</v>
      </c>
    </row>
    <row r="482" spans="1:7" x14ac:dyDescent="0.3">
      <c r="A482" s="9"/>
      <c r="B482" s="3"/>
      <c r="C482" s="3"/>
      <c r="D482" s="3" t="s">
        <v>2630</v>
      </c>
      <c r="E482" s="21" t="s">
        <v>2518</v>
      </c>
      <c r="F482" s="3" t="s">
        <v>1169</v>
      </c>
      <c r="G482" s="3" t="s">
        <v>2628</v>
      </c>
    </row>
    <row r="483" spans="1:7" x14ac:dyDescent="0.3">
      <c r="A483" s="9"/>
      <c r="B483" s="3"/>
      <c r="C483" s="3"/>
      <c r="D483" s="3" t="s">
        <v>750</v>
      </c>
      <c r="E483" s="21" t="s">
        <v>2518</v>
      </c>
      <c r="F483" s="3" t="s">
        <v>1169</v>
      </c>
      <c r="G483" s="3" t="s">
        <v>2628</v>
      </c>
    </row>
    <row r="484" spans="1:7" x14ac:dyDescent="0.3">
      <c r="A484" s="9"/>
      <c r="B484" s="3"/>
      <c r="C484" s="3"/>
      <c r="D484" s="3" t="s">
        <v>18</v>
      </c>
      <c r="E484" s="21" t="s">
        <v>2518</v>
      </c>
      <c r="F484" s="3" t="s">
        <v>1169</v>
      </c>
      <c r="G484" s="3" t="s">
        <v>2628</v>
      </c>
    </row>
    <row r="485" spans="1:7" x14ac:dyDescent="0.3">
      <c r="A485" s="9"/>
      <c r="B485" s="3"/>
      <c r="C485" s="3"/>
      <c r="D485" s="3" t="s">
        <v>23</v>
      </c>
      <c r="E485" s="21" t="s">
        <v>2533</v>
      </c>
      <c r="F485" s="3" t="s">
        <v>2631</v>
      </c>
      <c r="G485" s="3" t="s">
        <v>2632</v>
      </c>
    </row>
    <row r="486" spans="1:7" x14ac:dyDescent="0.3">
      <c r="A486" s="9"/>
      <c r="B486" s="3"/>
      <c r="C486" s="3"/>
      <c r="D486" s="3" t="s">
        <v>22</v>
      </c>
      <c r="E486" s="21" t="s">
        <v>2533</v>
      </c>
      <c r="F486" s="3" t="s">
        <v>2631</v>
      </c>
      <c r="G486" s="3" t="s">
        <v>2632</v>
      </c>
    </row>
    <row r="487" spans="1:7" x14ac:dyDescent="0.3">
      <c r="A487" s="9"/>
      <c r="B487" s="3"/>
      <c r="C487" s="3"/>
      <c r="D487" s="3" t="s">
        <v>42</v>
      </c>
      <c r="E487" s="21" t="s">
        <v>2518</v>
      </c>
      <c r="F487" s="3" t="s">
        <v>1169</v>
      </c>
      <c r="G487" s="3" t="s">
        <v>2633</v>
      </c>
    </row>
    <row r="488" spans="1:7" x14ac:dyDescent="0.3">
      <c r="A488" s="9"/>
      <c r="B488" s="3"/>
      <c r="C488" s="3"/>
      <c r="D488" s="3" t="s">
        <v>632</v>
      </c>
      <c r="E488" s="21" t="s">
        <v>2518</v>
      </c>
      <c r="F488" s="3" t="s">
        <v>1169</v>
      </c>
      <c r="G488" s="3" t="s">
        <v>2633</v>
      </c>
    </row>
    <row r="489" spans="1:7" x14ac:dyDescent="0.3">
      <c r="A489" s="9"/>
      <c r="B489" s="3"/>
      <c r="C489" s="3"/>
      <c r="D489" s="3" t="s">
        <v>13</v>
      </c>
      <c r="E489" s="21" t="s">
        <v>2518</v>
      </c>
      <c r="F489" s="3" t="s">
        <v>1169</v>
      </c>
      <c r="G489" s="3" t="s">
        <v>2633</v>
      </c>
    </row>
    <row r="490" spans="1:7" x14ac:dyDescent="0.3">
      <c r="A490" s="9"/>
      <c r="B490" s="9"/>
      <c r="C490" s="9"/>
      <c r="D490" s="3" t="s">
        <v>13</v>
      </c>
      <c r="E490" s="21" t="s">
        <v>2574</v>
      </c>
      <c r="F490" s="3" t="s">
        <v>2635</v>
      </c>
      <c r="G490" s="3" t="s">
        <v>2636</v>
      </c>
    </row>
    <row r="491" spans="1:7" x14ac:dyDescent="0.3">
      <c r="A491" s="9"/>
      <c r="B491" s="9"/>
      <c r="C491" s="9"/>
      <c r="D491" s="3" t="s">
        <v>42</v>
      </c>
      <c r="E491" s="21" t="s">
        <v>2574</v>
      </c>
      <c r="F491" s="3" t="s">
        <v>1004</v>
      </c>
      <c r="G491" s="3" t="s">
        <v>2636</v>
      </c>
    </row>
    <row r="492" spans="1:7" x14ac:dyDescent="0.3">
      <c r="A492" s="9"/>
      <c r="B492" s="9"/>
      <c r="C492" s="9"/>
      <c r="D492" s="3" t="s">
        <v>2634</v>
      </c>
      <c r="E492" s="21" t="s">
        <v>2574</v>
      </c>
      <c r="F492" s="3" t="s">
        <v>1004</v>
      </c>
      <c r="G492" s="3" t="s">
        <v>2636</v>
      </c>
    </row>
    <row r="493" spans="1:7" ht="32.25" x14ac:dyDescent="0.3">
      <c r="A493" s="9"/>
      <c r="B493" s="9"/>
      <c r="C493" s="9"/>
      <c r="D493" s="3" t="s">
        <v>2637</v>
      </c>
      <c r="E493" s="21" t="s">
        <v>2518</v>
      </c>
      <c r="F493" s="3" t="s">
        <v>766</v>
      </c>
      <c r="G493" s="17" t="s">
        <v>1309</v>
      </c>
    </row>
    <row r="494" spans="1:7" x14ac:dyDescent="0.3">
      <c r="A494" s="9"/>
      <c r="B494" s="9"/>
      <c r="C494" s="9"/>
      <c r="D494" s="3" t="s">
        <v>635</v>
      </c>
      <c r="E494" s="21" t="s">
        <v>2533</v>
      </c>
      <c r="F494" s="3" t="s">
        <v>1371</v>
      </c>
      <c r="G494" s="17" t="s">
        <v>2673</v>
      </c>
    </row>
    <row r="495" spans="1:7" x14ac:dyDescent="0.3">
      <c r="A495" s="3" t="s">
        <v>2681</v>
      </c>
      <c r="B495" s="9"/>
      <c r="C495" s="9"/>
      <c r="D495" s="3" t="s">
        <v>21</v>
      </c>
      <c r="E495" s="21" t="s">
        <v>2686</v>
      </c>
      <c r="F495" s="3" t="s">
        <v>235</v>
      </c>
      <c r="G495" s="3" t="s">
        <v>2591</v>
      </c>
    </row>
    <row r="496" spans="1:7" x14ac:dyDescent="0.3">
      <c r="A496" s="9"/>
      <c r="B496" s="9"/>
      <c r="C496" s="9"/>
      <c r="D496" s="3" t="s">
        <v>51</v>
      </c>
      <c r="E496" s="21" t="s">
        <v>2687</v>
      </c>
      <c r="F496" s="3" t="s">
        <v>2688</v>
      </c>
      <c r="G496" s="3" t="s">
        <v>1878</v>
      </c>
    </row>
    <row r="497" spans="1:7" ht="32.25" x14ac:dyDescent="0.3">
      <c r="A497" s="9"/>
      <c r="B497" s="9"/>
      <c r="C497" s="9"/>
      <c r="D497" s="3" t="s">
        <v>20</v>
      </c>
      <c r="E497" s="21" t="s">
        <v>1932</v>
      </c>
      <c r="F497" s="3" t="s">
        <v>687</v>
      </c>
      <c r="G497" s="17" t="s">
        <v>1309</v>
      </c>
    </row>
    <row r="498" spans="1:7" ht="32.25" x14ac:dyDescent="0.3">
      <c r="A498" s="9"/>
      <c r="B498" s="9"/>
      <c r="C498" s="9"/>
      <c r="D498" s="3" t="s">
        <v>15</v>
      </c>
      <c r="E498" s="21" t="s">
        <v>1932</v>
      </c>
      <c r="F498" s="3" t="s">
        <v>687</v>
      </c>
      <c r="G498" s="17" t="s">
        <v>1309</v>
      </c>
    </row>
    <row r="499" spans="1:7" ht="32.25" x14ac:dyDescent="0.3">
      <c r="A499" s="9"/>
      <c r="B499" s="9"/>
      <c r="C499" s="9"/>
      <c r="D499" s="3" t="s">
        <v>16</v>
      </c>
      <c r="E499" s="21" t="s">
        <v>1932</v>
      </c>
      <c r="F499" s="3" t="s">
        <v>687</v>
      </c>
      <c r="G499" s="17" t="s">
        <v>1309</v>
      </c>
    </row>
    <row r="500" spans="1:7" x14ac:dyDescent="0.3">
      <c r="A500" s="9"/>
      <c r="B500" s="9"/>
      <c r="C500" s="9"/>
      <c r="D500" s="3" t="s">
        <v>632</v>
      </c>
      <c r="E500" s="21" t="s">
        <v>2402</v>
      </c>
      <c r="F500" s="3" t="s">
        <v>2692</v>
      </c>
      <c r="G500" s="3" t="s">
        <v>2693</v>
      </c>
    </row>
    <row r="501" spans="1:7" x14ac:dyDescent="0.3">
      <c r="A501" s="9"/>
      <c r="B501" s="9"/>
      <c r="C501" s="9"/>
      <c r="D501" s="3" t="s">
        <v>42</v>
      </c>
      <c r="E501" s="21" t="s">
        <v>2689</v>
      </c>
      <c r="F501" s="3" t="s">
        <v>2692</v>
      </c>
      <c r="G501" s="3" t="s">
        <v>2693</v>
      </c>
    </row>
    <row r="502" spans="1:7" x14ac:dyDescent="0.3">
      <c r="A502" s="9"/>
      <c r="B502" s="9"/>
      <c r="C502" s="9"/>
      <c r="D502" s="3" t="s">
        <v>13</v>
      </c>
      <c r="E502" s="21" t="s">
        <v>2690</v>
      </c>
      <c r="F502" s="3" t="s">
        <v>2692</v>
      </c>
      <c r="G502" s="3" t="s">
        <v>2693</v>
      </c>
    </row>
    <row r="503" spans="1:7" x14ac:dyDescent="0.3">
      <c r="A503" s="9"/>
      <c r="B503" s="9"/>
      <c r="C503" s="9"/>
      <c r="D503" s="3" t="s">
        <v>1459</v>
      </c>
      <c r="E503" s="21" t="s">
        <v>2691</v>
      </c>
      <c r="F503" s="3" t="s">
        <v>2692</v>
      </c>
      <c r="G503" s="3" t="s">
        <v>682</v>
      </c>
    </row>
    <row r="504" spans="1:7" x14ac:dyDescent="0.3">
      <c r="A504" s="9"/>
      <c r="B504" s="9"/>
      <c r="C504" s="9"/>
      <c r="D504" s="3" t="s">
        <v>13</v>
      </c>
      <c r="E504" s="21" t="s">
        <v>2694</v>
      </c>
      <c r="F504" s="3" t="s">
        <v>2695</v>
      </c>
      <c r="G504" s="3" t="s">
        <v>2696</v>
      </c>
    </row>
    <row r="505" spans="1:7" ht="32.25" x14ac:dyDescent="0.3">
      <c r="A505" s="9"/>
      <c r="B505" s="9"/>
      <c r="C505" s="9"/>
      <c r="D505" s="3" t="s">
        <v>635</v>
      </c>
      <c r="E505" s="25" t="s">
        <v>2694</v>
      </c>
      <c r="F505" s="17" t="s">
        <v>2697</v>
      </c>
      <c r="G505" s="17" t="s">
        <v>2698</v>
      </c>
    </row>
    <row r="506" spans="1:7" x14ac:dyDescent="0.3">
      <c r="A506" s="9"/>
      <c r="B506" s="9"/>
      <c r="C506" s="9"/>
      <c r="D506" s="3" t="s">
        <v>17</v>
      </c>
      <c r="E506" s="21" t="s">
        <v>2583</v>
      </c>
      <c r="F506" s="3" t="s">
        <v>2703</v>
      </c>
      <c r="G506" s="3" t="s">
        <v>2704</v>
      </c>
    </row>
    <row r="507" spans="1:7" x14ac:dyDescent="0.3">
      <c r="A507" s="91">
        <v>46028</v>
      </c>
      <c r="B507" s="9"/>
      <c r="C507" s="9"/>
      <c r="D507" s="3" t="s">
        <v>15</v>
      </c>
      <c r="E507" s="21" t="s">
        <v>2771</v>
      </c>
      <c r="F507" s="3" t="s">
        <v>235</v>
      </c>
      <c r="G507" s="3" t="s">
        <v>2772</v>
      </c>
    </row>
    <row r="508" spans="1:7" x14ac:dyDescent="0.3">
      <c r="A508" s="91"/>
      <c r="B508" s="9"/>
      <c r="C508" s="9"/>
      <c r="D508" s="3" t="s">
        <v>21</v>
      </c>
      <c r="E508" s="21" t="s">
        <v>2773</v>
      </c>
      <c r="F508" s="3" t="s">
        <v>2774</v>
      </c>
      <c r="G508" s="3" t="s">
        <v>2775</v>
      </c>
    </row>
    <row r="509" spans="1:7" x14ac:dyDescent="0.3">
      <c r="A509" s="9"/>
      <c r="B509" s="9"/>
      <c r="C509" s="9"/>
      <c r="D509" s="3" t="s">
        <v>23</v>
      </c>
      <c r="E509" s="21" t="s">
        <v>2771</v>
      </c>
      <c r="F509" s="3" t="s">
        <v>2776</v>
      </c>
      <c r="G509" s="3" t="s">
        <v>2777</v>
      </c>
    </row>
    <row r="510" spans="1:7" x14ac:dyDescent="0.3">
      <c r="A510" s="9"/>
      <c r="B510" s="9"/>
      <c r="C510" s="9"/>
      <c r="D510" s="3" t="s">
        <v>22</v>
      </c>
      <c r="E510" s="21" t="s">
        <v>2771</v>
      </c>
      <c r="F510" s="3" t="s">
        <v>2776</v>
      </c>
      <c r="G510" s="3" t="s">
        <v>2777</v>
      </c>
    </row>
    <row r="511" spans="1:7" x14ac:dyDescent="0.3">
      <c r="A511" s="9"/>
      <c r="B511" s="9"/>
      <c r="C511" s="9"/>
      <c r="D511" s="3" t="s">
        <v>461</v>
      </c>
      <c r="E511" s="21" t="s">
        <v>2771</v>
      </c>
      <c r="F511" s="3" t="s">
        <v>2776</v>
      </c>
      <c r="G511" s="3" t="s">
        <v>2777</v>
      </c>
    </row>
    <row r="512" spans="1:7" ht="32.25" x14ac:dyDescent="0.3">
      <c r="A512" s="9"/>
      <c r="B512" s="9"/>
      <c r="C512" s="9"/>
      <c r="D512" s="3" t="s">
        <v>16</v>
      </c>
      <c r="E512" s="21" t="s">
        <v>2771</v>
      </c>
      <c r="F512" s="3" t="s">
        <v>766</v>
      </c>
      <c r="G512" s="17" t="s">
        <v>1309</v>
      </c>
    </row>
    <row r="513" spans="1:7" ht="32.25" x14ac:dyDescent="0.3">
      <c r="A513" s="9"/>
      <c r="B513" s="9"/>
      <c r="C513" s="9"/>
      <c r="D513" s="3" t="s">
        <v>20</v>
      </c>
      <c r="E513" s="21" t="s">
        <v>2771</v>
      </c>
      <c r="F513" s="3" t="s">
        <v>766</v>
      </c>
      <c r="G513" s="17" t="s">
        <v>1309</v>
      </c>
    </row>
    <row r="514" spans="1:7" x14ac:dyDescent="0.3">
      <c r="A514" s="9"/>
      <c r="B514" s="9"/>
      <c r="C514" s="9"/>
      <c r="D514" s="3" t="s">
        <v>18</v>
      </c>
      <c r="E514" s="21" t="s">
        <v>2771</v>
      </c>
      <c r="F514" s="3" t="s">
        <v>2778</v>
      </c>
      <c r="G514" s="3" t="s">
        <v>2779</v>
      </c>
    </row>
    <row r="515" spans="1:7" x14ac:dyDescent="0.3">
      <c r="A515" s="9"/>
      <c r="B515" s="9"/>
      <c r="C515" s="9"/>
      <c r="D515" s="3" t="s">
        <v>635</v>
      </c>
      <c r="E515" s="21" t="s">
        <v>2771</v>
      </c>
      <c r="F515" s="3" t="s">
        <v>2778</v>
      </c>
      <c r="G515" s="3" t="s">
        <v>2779</v>
      </c>
    </row>
    <row r="516" spans="1:7" x14ac:dyDescent="0.3">
      <c r="A516" s="9"/>
      <c r="B516" s="9"/>
      <c r="C516" s="9"/>
      <c r="D516" s="3" t="s">
        <v>646</v>
      </c>
      <c r="E516" s="8" t="s">
        <v>2788</v>
      </c>
      <c r="F516" s="3" t="s">
        <v>1371</v>
      </c>
      <c r="G516" s="3" t="s">
        <v>2789</v>
      </c>
    </row>
    <row r="517" spans="1:7" x14ac:dyDescent="0.3">
      <c r="A517" s="9"/>
      <c r="B517" s="9"/>
      <c r="C517" s="9"/>
      <c r="D517" s="3" t="s">
        <v>913</v>
      </c>
      <c r="E517" s="8" t="s">
        <v>2788</v>
      </c>
      <c r="F517" s="3" t="s">
        <v>1371</v>
      </c>
      <c r="G517" s="3" t="s">
        <v>2789</v>
      </c>
    </row>
    <row r="518" spans="1:7" x14ac:dyDescent="0.3">
      <c r="A518" s="9"/>
      <c r="B518" s="9"/>
      <c r="C518" s="9"/>
      <c r="D518" s="3" t="s">
        <v>51</v>
      </c>
      <c r="E518" s="21" t="s">
        <v>1823</v>
      </c>
      <c r="F518" s="3" t="s">
        <v>2802</v>
      </c>
      <c r="G518" s="3" t="s">
        <v>1878</v>
      </c>
    </row>
    <row r="519" spans="1:7" x14ac:dyDescent="0.3">
      <c r="A519" s="91">
        <v>46059</v>
      </c>
      <c r="B519" s="9"/>
      <c r="C519" s="9"/>
      <c r="D519" s="3" t="s">
        <v>16</v>
      </c>
      <c r="E519" s="21" t="s">
        <v>2710</v>
      </c>
      <c r="F519" s="3" t="s">
        <v>687</v>
      </c>
      <c r="G519" s="3" t="s">
        <v>2806</v>
      </c>
    </row>
    <row r="520" spans="1:7" x14ac:dyDescent="0.3">
      <c r="A520" s="9"/>
      <c r="B520" s="9"/>
      <c r="C520" s="9"/>
      <c r="D520" s="3" t="s">
        <v>635</v>
      </c>
      <c r="E520" s="8" t="s">
        <v>2616</v>
      </c>
      <c r="F520" s="3" t="s">
        <v>2809</v>
      </c>
      <c r="G520" s="3" t="s">
        <v>2810</v>
      </c>
    </row>
    <row r="521" spans="1:7" x14ac:dyDescent="0.3">
      <c r="A521" s="9"/>
      <c r="B521" s="9"/>
      <c r="C521" s="9"/>
      <c r="D521" s="3" t="s">
        <v>18</v>
      </c>
      <c r="E521" s="8" t="s">
        <v>2616</v>
      </c>
      <c r="F521" s="3" t="s">
        <v>2809</v>
      </c>
      <c r="G521" s="3" t="s">
        <v>2810</v>
      </c>
    </row>
    <row r="522" spans="1:7" x14ac:dyDescent="0.3">
      <c r="A522" s="9"/>
      <c r="B522" s="9"/>
      <c r="C522" s="9"/>
      <c r="D522" s="3" t="s">
        <v>49</v>
      </c>
      <c r="E522" s="21" t="s">
        <v>2847</v>
      </c>
      <c r="F522" s="3" t="s">
        <v>235</v>
      </c>
      <c r="G522" s="3" t="s">
        <v>2848</v>
      </c>
    </row>
    <row r="523" spans="1:7" x14ac:dyDescent="0.3">
      <c r="A523" s="91">
        <v>46087</v>
      </c>
      <c r="B523" s="9"/>
      <c r="C523" s="9"/>
      <c r="D523" s="3" t="s">
        <v>51</v>
      </c>
      <c r="E523" s="21" t="s">
        <v>2616</v>
      </c>
      <c r="F523" s="6" t="s">
        <v>2858</v>
      </c>
      <c r="G523" s="3" t="s">
        <v>2859</v>
      </c>
    </row>
    <row r="524" spans="1:7" x14ac:dyDescent="0.3">
      <c r="A524" s="9"/>
      <c r="B524" s="9"/>
      <c r="C524" s="9"/>
      <c r="D524" s="3" t="s">
        <v>50</v>
      </c>
      <c r="E524" s="21" t="s">
        <v>2616</v>
      </c>
      <c r="F524" s="6" t="s">
        <v>2858</v>
      </c>
      <c r="G524" s="3" t="s">
        <v>2859</v>
      </c>
    </row>
    <row r="525" spans="1:7" x14ac:dyDescent="0.3">
      <c r="A525" s="9"/>
      <c r="B525" s="9"/>
      <c r="C525" s="9"/>
      <c r="D525" s="3" t="s">
        <v>182</v>
      </c>
      <c r="E525" s="21" t="s">
        <v>2616</v>
      </c>
      <c r="F525" s="6" t="s">
        <v>2858</v>
      </c>
      <c r="G525" s="3" t="s">
        <v>2859</v>
      </c>
    </row>
    <row r="526" spans="1:7" x14ac:dyDescent="0.3">
      <c r="A526" s="9"/>
      <c r="B526" s="9"/>
      <c r="C526" s="9"/>
      <c r="D526" s="3" t="s">
        <v>22</v>
      </c>
      <c r="E526" s="21" t="s">
        <v>2616</v>
      </c>
      <c r="F526" s="3" t="s">
        <v>2864</v>
      </c>
      <c r="G526" s="3" t="s">
        <v>2777</v>
      </c>
    </row>
    <row r="527" spans="1:7" x14ac:dyDescent="0.3">
      <c r="A527" s="9"/>
      <c r="B527" s="9"/>
      <c r="C527" s="9"/>
      <c r="D527" s="3" t="s">
        <v>23</v>
      </c>
      <c r="E527" s="21" t="s">
        <v>2616</v>
      </c>
      <c r="F527" s="3" t="s">
        <v>2864</v>
      </c>
      <c r="G527" s="3" t="s">
        <v>2777</v>
      </c>
    </row>
    <row r="528" spans="1:7" x14ac:dyDescent="0.3">
      <c r="A528" s="9"/>
      <c r="B528" s="9"/>
      <c r="C528" s="9"/>
      <c r="D528" s="3" t="s">
        <v>634</v>
      </c>
      <c r="E528" s="21" t="s">
        <v>2610</v>
      </c>
      <c r="F528" s="3" t="s">
        <v>235</v>
      </c>
      <c r="G528" s="3" t="s">
        <v>2867</v>
      </c>
    </row>
    <row r="529" spans="1:7" x14ac:dyDescent="0.3">
      <c r="A529" s="91">
        <v>46240</v>
      </c>
      <c r="B529" s="9"/>
      <c r="C529" s="9"/>
      <c r="D529" s="3" t="s">
        <v>15</v>
      </c>
      <c r="E529" s="21" t="s">
        <v>2876</v>
      </c>
      <c r="F529" s="3" t="s">
        <v>235</v>
      </c>
      <c r="G529" s="17" t="s">
        <v>1790</v>
      </c>
    </row>
    <row r="530" spans="1:7" x14ac:dyDescent="0.3">
      <c r="A530" s="9"/>
      <c r="B530" s="9"/>
      <c r="C530" s="9"/>
      <c r="D530" s="3" t="s">
        <v>21</v>
      </c>
      <c r="E530" s="21" t="s">
        <v>2816</v>
      </c>
      <c r="F530" s="3" t="s">
        <v>235</v>
      </c>
      <c r="G530" s="3" t="s">
        <v>2877</v>
      </c>
    </row>
    <row r="531" spans="1:7" x14ac:dyDescent="0.3">
      <c r="A531" s="9"/>
      <c r="B531" s="9"/>
      <c r="C531" s="9"/>
      <c r="D531" s="3" t="s">
        <v>50</v>
      </c>
      <c r="E531" s="21" t="s">
        <v>2799</v>
      </c>
      <c r="F531" s="3" t="s">
        <v>2882</v>
      </c>
      <c r="G531" s="3" t="s">
        <v>2883</v>
      </c>
    </row>
    <row r="532" spans="1:7" x14ac:dyDescent="0.3">
      <c r="A532" s="9"/>
      <c r="B532" s="9"/>
      <c r="C532" s="9"/>
      <c r="D532" s="3" t="s">
        <v>635</v>
      </c>
      <c r="E532" s="21" t="s">
        <v>2887</v>
      </c>
      <c r="F532" s="3" t="s">
        <v>2888</v>
      </c>
      <c r="G532" s="3" t="s">
        <v>2889</v>
      </c>
    </row>
    <row r="533" spans="1:7" x14ac:dyDescent="0.3">
      <c r="A533" s="9"/>
      <c r="B533" s="9"/>
      <c r="C533" s="9"/>
      <c r="D533" s="3" t="s">
        <v>18</v>
      </c>
      <c r="E533" s="21" t="s">
        <v>2887</v>
      </c>
      <c r="F533" s="3" t="s">
        <v>2888</v>
      </c>
      <c r="G533" s="3" t="s">
        <v>2890</v>
      </c>
    </row>
    <row r="534" spans="1:7" x14ac:dyDescent="0.3">
      <c r="A534" s="9"/>
      <c r="B534" s="9"/>
      <c r="C534" s="9"/>
      <c r="D534" s="3" t="s">
        <v>46</v>
      </c>
      <c r="E534" s="21" t="s">
        <v>2906</v>
      </c>
      <c r="F534" s="3" t="s">
        <v>2907</v>
      </c>
      <c r="G534" s="3" t="s">
        <v>2908</v>
      </c>
    </row>
    <row r="535" spans="1:7" x14ac:dyDescent="0.3">
      <c r="A535" s="9"/>
      <c r="B535" s="9"/>
      <c r="C535" s="9"/>
      <c r="D535" s="3" t="s">
        <v>20</v>
      </c>
      <c r="E535" s="21" t="s">
        <v>2905</v>
      </c>
      <c r="F535" s="3" t="s">
        <v>235</v>
      </c>
      <c r="G535" s="3" t="s">
        <v>2877</v>
      </c>
    </row>
    <row r="536" spans="1:7" x14ac:dyDescent="0.3">
      <c r="A536" s="9"/>
      <c r="B536" s="9"/>
      <c r="C536" s="9"/>
      <c r="D536" s="3" t="s">
        <v>20</v>
      </c>
      <c r="E536" s="21" t="s">
        <v>2909</v>
      </c>
      <c r="F536" s="3" t="s">
        <v>2910</v>
      </c>
      <c r="G536" s="3" t="s">
        <v>2908</v>
      </c>
    </row>
    <row r="537" spans="1:7" x14ac:dyDescent="0.3">
      <c r="A537" s="9"/>
      <c r="B537" s="9"/>
      <c r="C537" s="9"/>
      <c r="D537" s="3" t="s">
        <v>20</v>
      </c>
      <c r="E537" s="21" t="s">
        <v>2911</v>
      </c>
      <c r="F537" s="3" t="s">
        <v>2910</v>
      </c>
      <c r="G537" s="3" t="s">
        <v>2908</v>
      </c>
    </row>
    <row r="538" spans="1:7" x14ac:dyDescent="0.3">
      <c r="A538" s="9"/>
      <c r="B538" s="9"/>
      <c r="C538" s="9"/>
      <c r="D538" s="3" t="s">
        <v>16</v>
      </c>
      <c r="E538" s="21" t="s">
        <v>2912</v>
      </c>
      <c r="F538" s="3" t="s">
        <v>2914</v>
      </c>
      <c r="G538" s="3" t="s">
        <v>2908</v>
      </c>
    </row>
    <row r="539" spans="1:7" x14ac:dyDescent="0.3">
      <c r="A539" s="9"/>
      <c r="B539" s="9"/>
      <c r="C539" s="9"/>
      <c r="D539" s="3" t="s">
        <v>16</v>
      </c>
      <c r="E539" s="21" t="s">
        <v>2913</v>
      </c>
      <c r="F539" s="3" t="s">
        <v>2915</v>
      </c>
      <c r="G539" s="3" t="s">
        <v>2908</v>
      </c>
    </row>
    <row r="540" spans="1:7" x14ac:dyDescent="0.3">
      <c r="A540" s="91">
        <v>46271</v>
      </c>
      <c r="B540" s="9"/>
      <c r="C540" s="9"/>
      <c r="D540" s="3" t="s">
        <v>89</v>
      </c>
      <c r="E540" s="21" t="s">
        <v>2682</v>
      </c>
      <c r="F540" s="3" t="s">
        <v>2439</v>
      </c>
      <c r="G540" s="3" t="s">
        <v>2937</v>
      </c>
    </row>
    <row r="541" spans="1:7" ht="32.25" x14ac:dyDescent="0.3">
      <c r="A541" s="91">
        <v>46301</v>
      </c>
      <c r="B541" s="9"/>
      <c r="C541" s="9"/>
      <c r="D541" s="3" t="s">
        <v>23</v>
      </c>
      <c r="E541" s="21" t="s">
        <v>2874</v>
      </c>
      <c r="F541" s="3" t="s">
        <v>235</v>
      </c>
      <c r="G541" s="17" t="s">
        <v>2975</v>
      </c>
    </row>
    <row r="542" spans="1:7" ht="32.25" x14ac:dyDescent="0.3">
      <c r="A542" s="9"/>
      <c r="B542" s="9"/>
      <c r="C542" s="9"/>
      <c r="D542" s="3" t="s">
        <v>22</v>
      </c>
      <c r="E542" s="21" t="s">
        <v>2874</v>
      </c>
      <c r="F542" s="3" t="s">
        <v>235</v>
      </c>
      <c r="G542" s="17" t="s">
        <v>2975</v>
      </c>
    </row>
    <row r="543" spans="1:7" x14ac:dyDescent="0.3">
      <c r="A543" s="9"/>
      <c r="B543" s="9"/>
      <c r="C543" s="9"/>
      <c r="D543" s="3" t="s">
        <v>1622</v>
      </c>
      <c r="E543" s="21" t="s">
        <v>2874</v>
      </c>
      <c r="F543" s="3" t="s">
        <v>2985</v>
      </c>
      <c r="G543" s="3" t="s">
        <v>2986</v>
      </c>
    </row>
    <row r="544" spans="1:7" x14ac:dyDescent="0.3">
      <c r="A544" s="9"/>
      <c r="B544" s="9"/>
      <c r="C544" s="9"/>
      <c r="D544" s="3" t="s">
        <v>13</v>
      </c>
      <c r="E544" s="21" t="s">
        <v>2874</v>
      </c>
      <c r="F544" s="3" t="s">
        <v>2985</v>
      </c>
      <c r="G544" s="3" t="s">
        <v>2986</v>
      </c>
    </row>
    <row r="545" spans="1:7" x14ac:dyDescent="0.3">
      <c r="A545" s="91">
        <v>46332</v>
      </c>
      <c r="B545" s="9"/>
      <c r="C545" s="9"/>
      <c r="D545" s="3" t="s">
        <v>635</v>
      </c>
      <c r="E545" s="21" t="s">
        <v>2874</v>
      </c>
      <c r="F545" s="3" t="s">
        <v>2991</v>
      </c>
      <c r="G545" s="3" t="s">
        <v>2992</v>
      </c>
    </row>
    <row r="546" spans="1:7" x14ac:dyDescent="0.3">
      <c r="A546" s="96" t="s">
        <v>3000</v>
      </c>
      <c r="B546" s="9"/>
      <c r="C546" s="9"/>
      <c r="D546" s="3" t="s">
        <v>461</v>
      </c>
      <c r="E546" s="21" t="s">
        <v>3009</v>
      </c>
      <c r="F546" s="3" t="s">
        <v>3010</v>
      </c>
      <c r="G546" s="3" t="s">
        <v>3011</v>
      </c>
    </row>
    <row r="547" spans="1:7" x14ac:dyDescent="0.3">
      <c r="A547" s="9"/>
      <c r="B547" s="9"/>
      <c r="C547" s="9"/>
      <c r="D547" s="3" t="s">
        <v>13</v>
      </c>
      <c r="E547" s="21" t="s">
        <v>2796</v>
      </c>
      <c r="F547" s="3" t="s">
        <v>421</v>
      </c>
      <c r="G547" s="3" t="s">
        <v>3012</v>
      </c>
    </row>
    <row r="548" spans="1:7" x14ac:dyDescent="0.3">
      <c r="A548" s="9"/>
      <c r="B548" s="9"/>
      <c r="C548" s="9"/>
      <c r="D548" s="3" t="s">
        <v>53</v>
      </c>
      <c r="E548" s="21" t="s">
        <v>2912</v>
      </c>
      <c r="F548" s="3" t="s">
        <v>421</v>
      </c>
      <c r="G548" s="3" t="s">
        <v>3013</v>
      </c>
    </row>
    <row r="549" spans="1:7" x14ac:dyDescent="0.3">
      <c r="A549" s="9"/>
      <c r="B549" s="9"/>
      <c r="C549" s="9"/>
      <c r="D549" s="3" t="s">
        <v>24</v>
      </c>
      <c r="E549" s="21" t="s">
        <v>2912</v>
      </c>
      <c r="F549" s="3" t="s">
        <v>421</v>
      </c>
      <c r="G549" s="3" t="s">
        <v>3013</v>
      </c>
    </row>
    <row r="550" spans="1:7" x14ac:dyDescent="0.3">
      <c r="A550" s="9"/>
      <c r="B550" s="9"/>
      <c r="C550" s="9"/>
      <c r="D550" s="3" t="s">
        <v>15</v>
      </c>
      <c r="E550" s="21" t="s">
        <v>2912</v>
      </c>
      <c r="F550" s="3" t="s">
        <v>421</v>
      </c>
      <c r="G550" s="3" t="s">
        <v>3013</v>
      </c>
    </row>
    <row r="551" spans="1:7" x14ac:dyDescent="0.3">
      <c r="A551" s="9"/>
      <c r="B551" s="9"/>
      <c r="C551" s="9"/>
      <c r="D551" s="3" t="s">
        <v>632</v>
      </c>
      <c r="E551" s="21" t="s">
        <v>3014</v>
      </c>
      <c r="F551" s="3" t="s">
        <v>2907</v>
      </c>
      <c r="G551" s="3" t="s">
        <v>3013</v>
      </c>
    </row>
    <row r="552" spans="1:7" x14ac:dyDescent="0.3">
      <c r="A552" s="9"/>
      <c r="B552" s="9"/>
      <c r="C552" s="9"/>
      <c r="D552" s="3" t="s">
        <v>2634</v>
      </c>
      <c r="E552" s="21" t="s">
        <v>2912</v>
      </c>
      <c r="F552" s="3" t="s">
        <v>841</v>
      </c>
      <c r="G552" s="3" t="s">
        <v>3013</v>
      </c>
    </row>
    <row r="553" spans="1:7" x14ac:dyDescent="0.3">
      <c r="A553" s="9"/>
      <c r="B553" s="9"/>
      <c r="C553" s="9"/>
      <c r="D553" s="3" t="s">
        <v>635</v>
      </c>
      <c r="E553" s="21" t="s">
        <v>3015</v>
      </c>
      <c r="F553" s="3" t="s">
        <v>3016</v>
      </c>
      <c r="G553" s="3" t="s">
        <v>3017</v>
      </c>
    </row>
    <row r="554" spans="1:7" x14ac:dyDescent="0.3">
      <c r="A554" s="9"/>
      <c r="B554" s="9"/>
      <c r="C554" s="9"/>
      <c r="D554" s="3" t="s">
        <v>21</v>
      </c>
      <c r="E554" s="21" t="s">
        <v>3015</v>
      </c>
      <c r="F554" s="3" t="s">
        <v>235</v>
      </c>
      <c r="G554" s="3" t="s">
        <v>2877</v>
      </c>
    </row>
    <row r="555" spans="1:7" x14ac:dyDescent="0.3">
      <c r="A555" s="9"/>
      <c r="B555" s="9"/>
      <c r="C555" s="9"/>
      <c r="D555" s="3" t="s">
        <v>913</v>
      </c>
      <c r="E555" s="21" t="s">
        <v>2912</v>
      </c>
      <c r="F555" s="3" t="s">
        <v>3022</v>
      </c>
      <c r="G555" s="3" t="s">
        <v>3023</v>
      </c>
    </row>
    <row r="556" spans="1:7" x14ac:dyDescent="0.3">
      <c r="A556" s="9"/>
      <c r="B556" s="9"/>
      <c r="C556" s="9"/>
      <c r="D556" s="3" t="s">
        <v>13</v>
      </c>
      <c r="E556" s="21" t="s">
        <v>2912</v>
      </c>
      <c r="F556" s="3" t="s">
        <v>3022</v>
      </c>
      <c r="G556" s="3" t="s">
        <v>3023</v>
      </c>
    </row>
    <row r="557" spans="1:7" x14ac:dyDescent="0.3">
      <c r="A557" s="9"/>
      <c r="B557" s="9"/>
      <c r="C557" s="9"/>
      <c r="D557" s="3" t="s">
        <v>1459</v>
      </c>
      <c r="E557" s="21" t="s">
        <v>3014</v>
      </c>
      <c r="F557" s="3" t="s">
        <v>2907</v>
      </c>
      <c r="G557" s="3" t="s">
        <v>3013</v>
      </c>
    </row>
    <row r="558" spans="1:7" x14ac:dyDescent="0.3">
      <c r="A558" s="9"/>
      <c r="B558" s="9"/>
      <c r="C558" s="9"/>
      <c r="D558" s="3" t="s">
        <v>342</v>
      </c>
      <c r="E558" s="3" t="s">
        <v>2912</v>
      </c>
      <c r="F558" s="3" t="s">
        <v>3024</v>
      </c>
      <c r="G558" s="3" t="s">
        <v>3013</v>
      </c>
    </row>
    <row r="559" spans="1:7" x14ac:dyDescent="0.3">
      <c r="A559" s="9"/>
      <c r="B559" s="9"/>
      <c r="C559" s="9"/>
      <c r="D559" s="3" t="s">
        <v>646</v>
      </c>
      <c r="E559" s="21" t="s">
        <v>2912</v>
      </c>
      <c r="F559" s="3" t="s">
        <v>3022</v>
      </c>
      <c r="G559" s="3" t="s">
        <v>3023</v>
      </c>
    </row>
    <row r="560" spans="1:7" x14ac:dyDescent="0.3">
      <c r="A560" s="9"/>
      <c r="B560" s="9"/>
      <c r="C560" s="9"/>
      <c r="D560" s="3" t="s">
        <v>59</v>
      </c>
      <c r="E560" s="21" t="s">
        <v>3038</v>
      </c>
      <c r="F560" s="3" t="s">
        <v>841</v>
      </c>
      <c r="G560" s="3" t="s">
        <v>3013</v>
      </c>
    </row>
    <row r="561" spans="1:16" ht="32.25" x14ac:dyDescent="0.3">
      <c r="A561" s="9"/>
      <c r="B561" s="9"/>
      <c r="C561" s="9"/>
      <c r="D561" s="3" t="s">
        <v>15</v>
      </c>
      <c r="E561" s="21" t="s">
        <v>3036</v>
      </c>
      <c r="F561" s="3" t="s">
        <v>235</v>
      </c>
      <c r="G561" s="17" t="s">
        <v>3037</v>
      </c>
    </row>
    <row r="562" spans="1:16" x14ac:dyDescent="0.3">
      <c r="A562" s="96" t="s">
        <v>3039</v>
      </c>
      <c r="B562" s="9"/>
      <c r="C562" s="9"/>
      <c r="D562" s="3" t="s">
        <v>634</v>
      </c>
      <c r="E562" s="21" t="s">
        <v>3040</v>
      </c>
      <c r="F562" s="3" t="s">
        <v>235</v>
      </c>
      <c r="G562" s="3" t="s">
        <v>3041</v>
      </c>
    </row>
    <row r="563" spans="1:16" x14ac:dyDescent="0.3">
      <c r="A563" s="9"/>
      <c r="B563" s="9"/>
      <c r="C563" s="9"/>
      <c r="D563" s="3" t="s">
        <v>30</v>
      </c>
      <c r="E563" s="21" t="s">
        <v>2913</v>
      </c>
      <c r="F563" s="3" t="s">
        <v>841</v>
      </c>
      <c r="G563" s="3" t="s">
        <v>3013</v>
      </c>
    </row>
    <row r="564" spans="1:16" x14ac:dyDescent="0.3">
      <c r="A564" s="9"/>
      <c r="B564" s="9"/>
      <c r="C564" s="9"/>
      <c r="D564" s="3" t="s">
        <v>342</v>
      </c>
      <c r="E564" s="21" t="s">
        <v>2909</v>
      </c>
      <c r="F564" s="3" t="s">
        <v>3050</v>
      </c>
      <c r="G564" s="3" t="s">
        <v>682</v>
      </c>
    </row>
    <row r="565" spans="1:16" x14ac:dyDescent="0.3">
      <c r="A565" s="9"/>
      <c r="B565" s="9"/>
      <c r="C565" s="9"/>
      <c r="D565" s="3" t="s">
        <v>2637</v>
      </c>
      <c r="E565" s="21" t="s">
        <v>3038</v>
      </c>
      <c r="F565" s="3" t="s">
        <v>3051</v>
      </c>
      <c r="G565" s="3" t="s">
        <v>3052</v>
      </c>
    </row>
    <row r="566" spans="1:16" x14ac:dyDescent="0.3">
      <c r="A566" s="9"/>
      <c r="B566" s="9"/>
      <c r="C566" s="9"/>
      <c r="D566" s="3" t="s">
        <v>50</v>
      </c>
      <c r="E566" s="21" t="s">
        <v>2909</v>
      </c>
      <c r="F566" s="3" t="s">
        <v>3063</v>
      </c>
      <c r="G566" s="3" t="s">
        <v>3064</v>
      </c>
    </row>
    <row r="567" spans="1:16" x14ac:dyDescent="0.3">
      <c r="A567" s="9"/>
      <c r="B567" s="9"/>
      <c r="C567" s="9"/>
      <c r="D567" s="3" t="s">
        <v>52</v>
      </c>
      <c r="E567" s="21" t="s">
        <v>2909</v>
      </c>
      <c r="F567" s="3" t="s">
        <v>3063</v>
      </c>
      <c r="G567" s="3" t="s">
        <v>3064</v>
      </c>
    </row>
    <row r="568" spans="1:16" x14ac:dyDescent="0.3">
      <c r="A568" s="9"/>
      <c r="B568" s="9"/>
      <c r="C568" s="9"/>
      <c r="D568" s="3" t="s">
        <v>3062</v>
      </c>
      <c r="E568" s="21" t="s">
        <v>2909</v>
      </c>
      <c r="F568" s="3" t="s">
        <v>3063</v>
      </c>
      <c r="G568" s="3" t="s">
        <v>3064</v>
      </c>
    </row>
    <row r="569" spans="1:16" x14ac:dyDescent="0.3">
      <c r="A569" s="9"/>
      <c r="B569" s="9"/>
      <c r="C569" s="9"/>
      <c r="D569" s="3" t="s">
        <v>750</v>
      </c>
      <c r="E569" s="21" t="s">
        <v>2909</v>
      </c>
      <c r="F569" s="3" t="s">
        <v>3063</v>
      </c>
      <c r="G569" s="3" t="s">
        <v>3064</v>
      </c>
    </row>
    <row r="570" spans="1:16" x14ac:dyDescent="0.3">
      <c r="A570" s="9"/>
      <c r="B570" s="9"/>
      <c r="C570" s="9"/>
      <c r="D570" s="3" t="s">
        <v>750</v>
      </c>
      <c r="E570" s="21" t="s">
        <v>2913</v>
      </c>
      <c r="F570" s="3" t="s">
        <v>766</v>
      </c>
      <c r="G570" s="3" t="s">
        <v>3065</v>
      </c>
      <c r="P570" s="1" t="s">
        <v>407</v>
      </c>
    </row>
    <row r="571" spans="1:16" x14ac:dyDescent="0.3">
      <c r="A571" s="97" t="s">
        <v>3075</v>
      </c>
      <c r="B571" s="9"/>
      <c r="C571" s="9"/>
      <c r="D571" s="3" t="s">
        <v>1459</v>
      </c>
      <c r="E571" s="21" t="s">
        <v>2913</v>
      </c>
      <c r="F571" s="3" t="s">
        <v>3078</v>
      </c>
      <c r="G571" s="3" t="s">
        <v>3079</v>
      </c>
    </row>
    <row r="572" spans="1:16" x14ac:dyDescent="0.3">
      <c r="A572" s="9"/>
      <c r="B572" s="9"/>
      <c r="C572" s="9"/>
      <c r="D572" s="3" t="s">
        <v>42</v>
      </c>
      <c r="E572" s="21" t="s">
        <v>2913</v>
      </c>
      <c r="F572" s="3" t="s">
        <v>3078</v>
      </c>
      <c r="G572" s="3" t="s">
        <v>3079</v>
      </c>
    </row>
    <row r="573" spans="1:16" x14ac:dyDescent="0.3">
      <c r="A573" s="9"/>
      <c r="B573" s="9"/>
      <c r="C573" s="9"/>
      <c r="D573" s="3" t="s">
        <v>13</v>
      </c>
      <c r="E573" s="21" t="s">
        <v>2913</v>
      </c>
      <c r="F573" s="3" t="s">
        <v>3078</v>
      </c>
      <c r="G573" s="3" t="s">
        <v>3079</v>
      </c>
    </row>
    <row r="574" spans="1:16" x14ac:dyDescent="0.3">
      <c r="A574" s="9"/>
      <c r="B574" s="9"/>
      <c r="C574" s="9"/>
      <c r="D574" s="3" t="s">
        <v>632</v>
      </c>
      <c r="E574" s="21" t="s">
        <v>2913</v>
      </c>
      <c r="F574" s="3" t="s">
        <v>3078</v>
      </c>
      <c r="G574" s="3" t="s">
        <v>3079</v>
      </c>
    </row>
    <row r="575" spans="1:16" x14ac:dyDescent="0.3">
      <c r="A575" s="9" t="s">
        <v>3103</v>
      </c>
      <c r="B575" s="9"/>
      <c r="C575" s="9"/>
      <c r="D575" s="3" t="s">
        <v>15</v>
      </c>
      <c r="E575" s="21" t="s">
        <v>3104</v>
      </c>
      <c r="F575" s="3" t="s">
        <v>235</v>
      </c>
      <c r="G575" s="3" t="s">
        <v>3105</v>
      </c>
    </row>
    <row r="576" spans="1:16" x14ac:dyDescent="0.3">
      <c r="A576" s="9"/>
      <c r="B576" s="9"/>
      <c r="C576" s="9"/>
      <c r="D576" s="3" t="s">
        <v>21</v>
      </c>
      <c r="E576" s="21" t="s">
        <v>3104</v>
      </c>
      <c r="F576" s="3" t="s">
        <v>235</v>
      </c>
      <c r="G576" s="3" t="s">
        <v>3106</v>
      </c>
    </row>
    <row r="577" spans="1:7" x14ac:dyDescent="0.3">
      <c r="A577" s="9" t="s">
        <v>3113</v>
      </c>
      <c r="B577" s="9"/>
      <c r="C577" s="9"/>
      <c r="D577" s="3" t="s">
        <v>634</v>
      </c>
      <c r="E577" s="21" t="s">
        <v>3114</v>
      </c>
      <c r="F577" s="3" t="s">
        <v>235</v>
      </c>
      <c r="G577" s="3" t="s">
        <v>3115</v>
      </c>
    </row>
    <row r="578" spans="1:7" x14ac:dyDescent="0.3">
      <c r="A578" s="9"/>
      <c r="B578" s="9"/>
      <c r="C578" s="9"/>
      <c r="D578" s="3" t="s">
        <v>58</v>
      </c>
      <c r="E578" s="21" t="s">
        <v>3116</v>
      </c>
      <c r="F578" s="3" t="s">
        <v>235</v>
      </c>
      <c r="G578" s="3" t="s">
        <v>3119</v>
      </c>
    </row>
    <row r="579" spans="1:7" x14ac:dyDescent="0.3">
      <c r="A579" s="9"/>
      <c r="B579" s="9"/>
      <c r="C579" s="9"/>
      <c r="D579" s="3" t="s">
        <v>58</v>
      </c>
      <c r="E579" s="21" t="s">
        <v>3117</v>
      </c>
      <c r="F579" s="3" t="s">
        <v>3118</v>
      </c>
      <c r="G579" s="3" t="s">
        <v>3120</v>
      </c>
    </row>
    <row r="580" spans="1:7" x14ac:dyDescent="0.3">
      <c r="A580" s="9"/>
      <c r="B580" s="9"/>
      <c r="C580" s="9"/>
      <c r="D580" s="3" t="s">
        <v>50</v>
      </c>
      <c r="E580" s="21" t="s">
        <v>3128</v>
      </c>
      <c r="F580" s="3" t="s">
        <v>3129</v>
      </c>
      <c r="G580" s="3" t="s">
        <v>3130</v>
      </c>
    </row>
    <row r="581" spans="1:7" x14ac:dyDescent="0.3">
      <c r="A581" s="9" t="s">
        <v>3131</v>
      </c>
      <c r="B581" s="9"/>
      <c r="C581" s="9"/>
      <c r="D581" s="3" t="s">
        <v>705</v>
      </c>
      <c r="E581" s="21" t="s">
        <v>3121</v>
      </c>
      <c r="F581" s="3" t="s">
        <v>3157</v>
      </c>
      <c r="G581" s="3" t="s">
        <v>3158</v>
      </c>
    </row>
    <row r="582" spans="1:7" x14ac:dyDescent="0.3">
      <c r="A582" s="9" t="s">
        <v>3164</v>
      </c>
      <c r="B582" s="9"/>
      <c r="C582" s="9"/>
      <c r="D582" s="3" t="s">
        <v>23</v>
      </c>
      <c r="E582" s="21" t="s">
        <v>3034</v>
      </c>
      <c r="F582" s="5" t="s">
        <v>235</v>
      </c>
      <c r="G582" s="3" t="s">
        <v>3165</v>
      </c>
    </row>
    <row r="583" spans="1:7" x14ac:dyDescent="0.3">
      <c r="A583" s="9"/>
      <c r="B583" s="9"/>
      <c r="C583" s="9"/>
      <c r="D583" s="3" t="s">
        <v>22</v>
      </c>
      <c r="E583" s="21" t="s">
        <v>3034</v>
      </c>
      <c r="F583" s="5" t="s">
        <v>235</v>
      </c>
      <c r="G583" s="3" t="s">
        <v>3165</v>
      </c>
    </row>
    <row r="584" spans="1:7" x14ac:dyDescent="0.3">
      <c r="A584" s="9"/>
      <c r="B584" s="9"/>
      <c r="C584" s="9"/>
      <c r="D584" s="3" t="s">
        <v>632</v>
      </c>
      <c r="E584" s="21" t="s">
        <v>3166</v>
      </c>
      <c r="F584" s="5" t="s">
        <v>235</v>
      </c>
      <c r="G584" s="3" t="s">
        <v>3165</v>
      </c>
    </row>
    <row r="585" spans="1:7" x14ac:dyDescent="0.3">
      <c r="A585" s="9"/>
      <c r="B585" s="9"/>
      <c r="C585" s="9"/>
      <c r="D585" s="3" t="s">
        <v>42</v>
      </c>
      <c r="E585" s="21" t="s">
        <v>3167</v>
      </c>
      <c r="F585" s="5" t="s">
        <v>235</v>
      </c>
      <c r="G585" s="3" t="s">
        <v>3165</v>
      </c>
    </row>
    <row r="586" spans="1:7" x14ac:dyDescent="0.3">
      <c r="A586" s="9"/>
      <c r="B586" s="9"/>
      <c r="C586" s="9"/>
      <c r="D586" s="3" t="s">
        <v>2634</v>
      </c>
      <c r="E586" s="21" t="s">
        <v>3168</v>
      </c>
      <c r="F586" s="5" t="s">
        <v>235</v>
      </c>
      <c r="G586" s="3" t="s">
        <v>3165</v>
      </c>
    </row>
    <row r="587" spans="1:7" x14ac:dyDescent="0.3">
      <c r="A587" s="9"/>
      <c r="B587" s="9"/>
      <c r="C587" s="9"/>
      <c r="D587" s="3" t="s">
        <v>1622</v>
      </c>
      <c r="E587" s="21" t="s">
        <v>3169</v>
      </c>
      <c r="F587" s="5" t="s">
        <v>235</v>
      </c>
      <c r="G587" s="3" t="s">
        <v>3165</v>
      </c>
    </row>
    <row r="588" spans="1:7" x14ac:dyDescent="0.3">
      <c r="A588" s="9"/>
      <c r="B588" s="9"/>
      <c r="C588" s="9"/>
      <c r="D588" s="3" t="s">
        <v>913</v>
      </c>
      <c r="E588" s="21" t="s">
        <v>3170</v>
      </c>
      <c r="F588" s="5" t="s">
        <v>235</v>
      </c>
      <c r="G588" s="3" t="s">
        <v>3165</v>
      </c>
    </row>
    <row r="589" spans="1:7" x14ac:dyDescent="0.3">
      <c r="A589" s="9"/>
      <c r="B589" s="9"/>
      <c r="C589" s="9"/>
      <c r="D589" s="3" t="s">
        <v>646</v>
      </c>
      <c r="E589" s="21" t="s">
        <v>3171</v>
      </c>
      <c r="F589" s="5" t="s">
        <v>235</v>
      </c>
      <c r="G589" s="3" t="s">
        <v>3165</v>
      </c>
    </row>
    <row r="590" spans="1:7" x14ac:dyDescent="0.3">
      <c r="A590" s="9"/>
      <c r="B590" s="9"/>
      <c r="C590" s="9"/>
      <c r="D590" s="3" t="s">
        <v>705</v>
      </c>
      <c r="E590" s="21" t="s">
        <v>3172</v>
      </c>
      <c r="F590" s="5" t="s">
        <v>235</v>
      </c>
      <c r="G590" s="3" t="s">
        <v>3165</v>
      </c>
    </row>
    <row r="591" spans="1:7" x14ac:dyDescent="0.3">
      <c r="A591" s="9"/>
      <c r="B591" s="9"/>
      <c r="C591" s="9"/>
      <c r="D591" s="3" t="s">
        <v>17</v>
      </c>
      <c r="E591" s="21" t="s">
        <v>3173</v>
      </c>
      <c r="F591" s="5" t="s">
        <v>235</v>
      </c>
      <c r="G591" s="3" t="s">
        <v>3165</v>
      </c>
    </row>
    <row r="592" spans="1:7" x14ac:dyDescent="0.3">
      <c r="A592" s="9"/>
      <c r="B592" s="9"/>
      <c r="C592" s="9"/>
      <c r="D592" s="3" t="s">
        <v>20</v>
      </c>
      <c r="E592" s="21" t="s">
        <v>3174</v>
      </c>
      <c r="F592" s="5" t="s">
        <v>235</v>
      </c>
      <c r="G592" s="3" t="s">
        <v>3165</v>
      </c>
    </row>
    <row r="593" spans="1:7" x14ac:dyDescent="0.3">
      <c r="A593" s="9"/>
      <c r="B593" s="9"/>
      <c r="C593" s="9"/>
      <c r="D593" s="3" t="s">
        <v>13</v>
      </c>
      <c r="E593" s="21" t="s">
        <v>3175</v>
      </c>
      <c r="F593" s="5" t="s">
        <v>235</v>
      </c>
      <c r="G593" s="3" t="s">
        <v>3165</v>
      </c>
    </row>
    <row r="594" spans="1:7" ht="32.25" x14ac:dyDescent="0.3">
      <c r="A594" s="9"/>
      <c r="B594" s="9"/>
      <c r="C594" s="9"/>
      <c r="D594" s="3" t="s">
        <v>21</v>
      </c>
      <c r="E594" s="21" t="s">
        <v>3176</v>
      </c>
      <c r="F594" s="5" t="s">
        <v>235</v>
      </c>
      <c r="G594" s="17" t="s">
        <v>3177</v>
      </c>
    </row>
    <row r="595" spans="1:7" x14ac:dyDescent="0.3">
      <c r="A595" s="9"/>
      <c r="B595" s="9"/>
      <c r="C595" s="9"/>
      <c r="D595" s="3" t="s">
        <v>29</v>
      </c>
      <c r="E595" s="21" t="s">
        <v>2881</v>
      </c>
      <c r="F595" s="3"/>
      <c r="G595" s="3"/>
    </row>
    <row r="596" spans="1:7" x14ac:dyDescent="0.3">
      <c r="A596" s="9"/>
      <c r="B596" s="9"/>
      <c r="C596" s="9"/>
      <c r="D596" s="3" t="s">
        <v>18</v>
      </c>
      <c r="E596" s="21" t="s">
        <v>3184</v>
      </c>
      <c r="F596" s="3" t="s">
        <v>1371</v>
      </c>
      <c r="G596" s="3" t="s">
        <v>2779</v>
      </c>
    </row>
    <row r="597" spans="1:7" x14ac:dyDescent="0.3">
      <c r="A597" s="9"/>
      <c r="B597" s="9"/>
      <c r="C597" s="9"/>
      <c r="D597" s="3" t="s">
        <v>635</v>
      </c>
      <c r="E597" s="21" t="s">
        <v>3184</v>
      </c>
      <c r="F597" s="3" t="s">
        <v>1371</v>
      </c>
      <c r="G597" s="3" t="s">
        <v>3185</v>
      </c>
    </row>
    <row r="598" spans="1:7" x14ac:dyDescent="0.3">
      <c r="A598" s="9"/>
      <c r="B598" s="9"/>
      <c r="C598" s="9"/>
      <c r="D598" s="3" t="s">
        <v>634</v>
      </c>
      <c r="E598" s="21" t="s">
        <v>3218</v>
      </c>
      <c r="F598" s="3" t="s">
        <v>235</v>
      </c>
      <c r="G598" s="3" t="s">
        <v>3219</v>
      </c>
    </row>
    <row r="599" spans="1:7" x14ac:dyDescent="0.3">
      <c r="A599" s="9"/>
      <c r="B599" s="9"/>
      <c r="C599" s="9"/>
      <c r="D599" s="3" t="s">
        <v>20</v>
      </c>
      <c r="E599" s="21" t="s">
        <v>3241</v>
      </c>
      <c r="F599" s="3" t="s">
        <v>235</v>
      </c>
      <c r="G599" s="3" t="s">
        <v>654</v>
      </c>
    </row>
    <row r="600" spans="1:7" x14ac:dyDescent="0.3">
      <c r="A600" s="9"/>
      <c r="B600" s="9"/>
      <c r="C600" s="9"/>
      <c r="D600" s="3" t="s">
        <v>28</v>
      </c>
      <c r="E600" s="21" t="s">
        <v>3241</v>
      </c>
      <c r="F600" s="3" t="s">
        <v>235</v>
      </c>
      <c r="G600" s="3" t="s">
        <v>3242</v>
      </c>
    </row>
    <row r="601" spans="1:7" x14ac:dyDescent="0.3">
      <c r="A601" s="9"/>
      <c r="B601" s="9"/>
      <c r="C601" s="9"/>
      <c r="D601" s="3" t="s">
        <v>16</v>
      </c>
      <c r="E601" s="21" t="s">
        <v>3241</v>
      </c>
      <c r="F601" s="3" t="s">
        <v>235</v>
      </c>
      <c r="G601" s="3" t="s">
        <v>3242</v>
      </c>
    </row>
    <row r="602" spans="1:7" x14ac:dyDescent="0.3">
      <c r="A602" s="9"/>
      <c r="B602" s="9"/>
      <c r="C602" s="9"/>
      <c r="D602" s="3" t="s">
        <v>58</v>
      </c>
      <c r="E602" s="21" t="s">
        <v>3241</v>
      </c>
      <c r="F602" s="3" t="s">
        <v>235</v>
      </c>
      <c r="G602" s="3" t="s">
        <v>3242</v>
      </c>
    </row>
    <row r="603" spans="1:7" x14ac:dyDescent="0.3">
      <c r="A603" s="91">
        <v>46029</v>
      </c>
      <c r="B603" s="9"/>
      <c r="C603" s="9"/>
      <c r="D603" s="3" t="s">
        <v>24</v>
      </c>
      <c r="E603" s="21" t="s">
        <v>3241</v>
      </c>
      <c r="F603" s="3" t="s">
        <v>235</v>
      </c>
      <c r="G603" s="3" t="s">
        <v>3248</v>
      </c>
    </row>
    <row r="604" spans="1:7" x14ac:dyDescent="0.3">
      <c r="A604" s="9"/>
      <c r="B604" s="9"/>
      <c r="C604" s="9"/>
      <c r="D604" s="3" t="s">
        <v>59</v>
      </c>
      <c r="E604" s="21" t="s">
        <v>3241</v>
      </c>
      <c r="F604" s="3" t="s">
        <v>235</v>
      </c>
      <c r="G604" s="3" t="s">
        <v>3248</v>
      </c>
    </row>
    <row r="605" spans="1:7" x14ac:dyDescent="0.3">
      <c r="A605" s="9"/>
      <c r="B605" s="9"/>
      <c r="C605" s="9"/>
      <c r="D605" s="3" t="s">
        <v>30</v>
      </c>
      <c r="E605" s="21" t="s">
        <v>3241</v>
      </c>
      <c r="F605" s="3" t="s">
        <v>235</v>
      </c>
      <c r="G605" s="3" t="s">
        <v>3248</v>
      </c>
    </row>
    <row r="606" spans="1:7" x14ac:dyDescent="0.3">
      <c r="A606" s="9"/>
      <c r="B606" s="9"/>
      <c r="C606" s="9"/>
      <c r="D606" s="3" t="s">
        <v>53</v>
      </c>
      <c r="E606" s="21" t="s">
        <v>3241</v>
      </c>
      <c r="F606" s="3" t="s">
        <v>235</v>
      </c>
      <c r="G606" s="3" t="s">
        <v>3248</v>
      </c>
    </row>
    <row r="607" spans="1:7" x14ac:dyDescent="0.3">
      <c r="A607" s="9"/>
      <c r="B607" s="9"/>
      <c r="C607" s="9"/>
      <c r="D607" s="3" t="s">
        <v>17</v>
      </c>
      <c r="E607" s="21" t="s">
        <v>3241</v>
      </c>
      <c r="F607" s="3" t="s">
        <v>235</v>
      </c>
      <c r="G607" s="3" t="s">
        <v>3248</v>
      </c>
    </row>
    <row r="608" spans="1:7" x14ac:dyDescent="0.3">
      <c r="A608" s="9"/>
      <c r="B608" s="9"/>
      <c r="C608" s="9"/>
      <c r="D608" s="3" t="s">
        <v>15</v>
      </c>
      <c r="E608" s="21" t="s">
        <v>3251</v>
      </c>
      <c r="F608" s="3" t="s">
        <v>235</v>
      </c>
      <c r="G608" s="3" t="s">
        <v>3252</v>
      </c>
    </row>
    <row r="609" spans="1:8" x14ac:dyDescent="0.3">
      <c r="A609" s="9"/>
      <c r="B609" s="9"/>
      <c r="C609" s="9"/>
      <c r="D609" s="3" t="s">
        <v>632</v>
      </c>
      <c r="E609" s="21" t="s">
        <v>3241</v>
      </c>
      <c r="F609" s="3" t="s">
        <v>235</v>
      </c>
      <c r="G609" s="3" t="s">
        <v>3254</v>
      </c>
    </row>
    <row r="610" spans="1:8" x14ac:dyDescent="0.3">
      <c r="A610" s="9"/>
      <c r="B610" s="9"/>
      <c r="C610" s="9"/>
      <c r="D610" s="3" t="s">
        <v>20</v>
      </c>
      <c r="E610" s="21" t="s">
        <v>3256</v>
      </c>
      <c r="F610" s="3" t="s">
        <v>3258</v>
      </c>
      <c r="G610" s="3" t="s">
        <v>3259</v>
      </c>
    </row>
    <row r="611" spans="1:8" x14ac:dyDescent="0.3">
      <c r="A611" s="9"/>
      <c r="B611" s="9"/>
      <c r="C611" s="9"/>
      <c r="D611" s="3" t="s">
        <v>16</v>
      </c>
      <c r="E611" s="21" t="s">
        <v>3257</v>
      </c>
      <c r="F611" s="3" t="s">
        <v>3258</v>
      </c>
      <c r="G611" s="3" t="s">
        <v>3259</v>
      </c>
    </row>
    <row r="612" spans="1:8" x14ac:dyDescent="0.3">
      <c r="A612" s="91">
        <v>46060</v>
      </c>
      <c r="B612" s="9"/>
      <c r="C612" s="9"/>
      <c r="D612" s="3" t="s">
        <v>635</v>
      </c>
      <c r="E612" s="21" t="s">
        <v>3241</v>
      </c>
      <c r="F612" s="3" t="s">
        <v>3118</v>
      </c>
      <c r="G612" s="3" t="s">
        <v>3261</v>
      </c>
    </row>
    <row r="613" spans="1:8" x14ac:dyDescent="0.3">
      <c r="A613" s="9"/>
      <c r="B613" s="9"/>
      <c r="C613" s="9"/>
      <c r="D613" s="3" t="s">
        <v>1459</v>
      </c>
      <c r="E613" s="21" t="s">
        <v>3218</v>
      </c>
      <c r="F613" s="3" t="s">
        <v>3161</v>
      </c>
      <c r="G613" s="3" t="s">
        <v>3275</v>
      </c>
    </row>
    <row r="614" spans="1:8" ht="32.25" x14ac:dyDescent="0.3">
      <c r="A614" s="91">
        <v>46180</v>
      </c>
      <c r="B614" s="9"/>
      <c r="C614" s="9"/>
      <c r="D614" s="3" t="s">
        <v>13</v>
      </c>
      <c r="E614" s="21" t="s">
        <v>3285</v>
      </c>
      <c r="F614" s="3" t="s">
        <v>3286</v>
      </c>
      <c r="G614" s="17" t="s">
        <v>3287</v>
      </c>
      <c r="H614" s="75"/>
    </row>
    <row r="615" spans="1:8" ht="32.25" x14ac:dyDescent="0.3">
      <c r="A615" s="91">
        <v>46180</v>
      </c>
      <c r="B615" s="9"/>
      <c r="C615" s="9"/>
      <c r="D615" s="3" t="s">
        <v>1622</v>
      </c>
      <c r="E615" s="21" t="s">
        <v>3285</v>
      </c>
      <c r="F615" s="3" t="s">
        <v>3286</v>
      </c>
      <c r="G615" s="17" t="s">
        <v>3287</v>
      </c>
    </row>
    <row r="616" spans="1:8" ht="32.25" x14ac:dyDescent="0.3">
      <c r="A616" s="91">
        <v>46180</v>
      </c>
      <c r="B616" s="9"/>
      <c r="C616" s="9"/>
      <c r="D616" s="3" t="s">
        <v>21</v>
      </c>
      <c r="E616" s="21" t="s">
        <v>3294</v>
      </c>
      <c r="F616" s="3" t="s">
        <v>3295</v>
      </c>
      <c r="G616" s="17" t="s">
        <v>3177</v>
      </c>
    </row>
    <row r="617" spans="1:8" x14ac:dyDescent="0.3">
      <c r="A617" s="9"/>
      <c r="B617" s="9"/>
      <c r="C617" s="9"/>
      <c r="D617" s="3" t="s">
        <v>15</v>
      </c>
      <c r="E617" s="21" t="s">
        <v>3312</v>
      </c>
      <c r="F617" s="3" t="s">
        <v>3313</v>
      </c>
      <c r="G617" s="3" t="s">
        <v>3317</v>
      </c>
    </row>
    <row r="618" spans="1:8" ht="32.25" x14ac:dyDescent="0.3">
      <c r="A618" s="9"/>
      <c r="B618" s="9"/>
      <c r="C618" s="9"/>
      <c r="D618" s="3" t="s">
        <v>42</v>
      </c>
      <c r="E618" s="21" t="s">
        <v>3314</v>
      </c>
      <c r="F618" s="3" t="s">
        <v>3315</v>
      </c>
      <c r="G618" s="17" t="s">
        <v>3316</v>
      </c>
    </row>
    <row r="619" spans="1:8" ht="21" thickBot="1" x14ac:dyDescent="0.35">
      <c r="A619" s="91">
        <v>46180</v>
      </c>
      <c r="B619" s="9"/>
      <c r="C619" s="9"/>
      <c r="D619" s="3" t="s">
        <v>20</v>
      </c>
      <c r="E619" s="21" t="s">
        <v>3329</v>
      </c>
      <c r="F619" s="3" t="s">
        <v>3330</v>
      </c>
      <c r="G619" s="3" t="s">
        <v>3331</v>
      </c>
    </row>
    <row r="620" spans="1:8" ht="21.75" thickTop="1" thickBot="1" x14ac:dyDescent="0.35">
      <c r="A620" s="91">
        <v>46180</v>
      </c>
      <c r="B620" s="9"/>
      <c r="C620" s="9"/>
      <c r="D620" s="3" t="s">
        <v>16</v>
      </c>
      <c r="E620" s="21" t="s">
        <v>3329</v>
      </c>
      <c r="F620" s="3" t="s">
        <v>3330</v>
      </c>
      <c r="G620" s="107" t="s">
        <v>3331</v>
      </c>
    </row>
    <row r="621" spans="1:8" ht="21" thickTop="1" x14ac:dyDescent="0.3">
      <c r="A621" s="91">
        <v>46210</v>
      </c>
      <c r="B621" s="9"/>
      <c r="C621" s="9"/>
      <c r="D621" s="3" t="s">
        <v>17</v>
      </c>
      <c r="E621" s="21" t="s">
        <v>3189</v>
      </c>
      <c r="F621" s="3" t="s">
        <v>1371</v>
      </c>
      <c r="G621" s="3" t="s">
        <v>3337</v>
      </c>
    </row>
    <row r="622" spans="1:8" x14ac:dyDescent="0.3">
      <c r="A622" s="9"/>
      <c r="B622" s="9"/>
      <c r="C622" s="9"/>
      <c r="D622" s="3" t="s">
        <v>17</v>
      </c>
      <c r="E622" s="21" t="s">
        <v>3335</v>
      </c>
      <c r="F622" s="3" t="s">
        <v>3336</v>
      </c>
      <c r="G622" s="3" t="s">
        <v>3338</v>
      </c>
    </row>
    <row r="623" spans="1:8" x14ac:dyDescent="0.3">
      <c r="A623" s="9"/>
      <c r="B623" s="9"/>
      <c r="C623" s="9"/>
      <c r="D623" s="3" t="s">
        <v>51</v>
      </c>
      <c r="E623" s="21" t="s">
        <v>3340</v>
      </c>
      <c r="F623" s="3" t="s">
        <v>235</v>
      </c>
      <c r="G623" s="3" t="s">
        <v>1878</v>
      </c>
    </row>
    <row r="624" spans="1:8" x14ac:dyDescent="0.3">
      <c r="A624" s="9"/>
      <c r="B624" s="9"/>
      <c r="C624" s="9"/>
      <c r="D624" s="3" t="s">
        <v>50</v>
      </c>
      <c r="E624" s="21" t="s">
        <v>3189</v>
      </c>
      <c r="F624" s="3" t="s">
        <v>3341</v>
      </c>
      <c r="G624" s="3" t="s">
        <v>3342</v>
      </c>
    </row>
    <row r="625" spans="1:7" ht="32.25" x14ac:dyDescent="0.3">
      <c r="A625" s="9"/>
      <c r="B625" s="9"/>
      <c r="C625" s="9"/>
      <c r="D625" s="3" t="s">
        <v>1459</v>
      </c>
      <c r="E625" s="21" t="s">
        <v>3314</v>
      </c>
      <c r="F625" s="3" t="s">
        <v>3315</v>
      </c>
      <c r="G625" s="17" t="s">
        <v>3316</v>
      </c>
    </row>
    <row r="626" spans="1:7" ht="32.25" x14ac:dyDescent="0.3">
      <c r="A626" s="9"/>
      <c r="B626" s="9"/>
      <c r="C626" s="9"/>
      <c r="D626" s="3" t="s">
        <v>632</v>
      </c>
      <c r="E626" s="21" t="s">
        <v>3314</v>
      </c>
      <c r="F626" s="3" t="s">
        <v>3315</v>
      </c>
      <c r="G626" s="17" t="s">
        <v>3316</v>
      </c>
    </row>
    <row r="627" spans="1:7" x14ac:dyDescent="0.3">
      <c r="A627" s="91">
        <v>46241</v>
      </c>
      <c r="B627" s="9"/>
      <c r="C627" s="9"/>
      <c r="D627" s="3" t="s">
        <v>22</v>
      </c>
      <c r="E627" s="21" t="s">
        <v>3189</v>
      </c>
      <c r="F627" s="3" t="s">
        <v>3355</v>
      </c>
      <c r="G627" s="3" t="s">
        <v>3356</v>
      </c>
    </row>
    <row r="628" spans="1:7" x14ac:dyDescent="0.3">
      <c r="A628" s="9"/>
      <c r="B628" s="9"/>
      <c r="C628" s="50"/>
      <c r="D628" s="3" t="s">
        <v>20</v>
      </c>
      <c r="E628" s="21" t="s">
        <v>3314</v>
      </c>
      <c r="F628" s="3" t="s">
        <v>3383</v>
      </c>
      <c r="G628" s="3" t="s">
        <v>3384</v>
      </c>
    </row>
    <row r="629" spans="1:7" x14ac:dyDescent="0.3">
      <c r="A629" s="9"/>
      <c r="B629" s="9"/>
      <c r="C629" s="9"/>
      <c r="D629" s="3" t="s">
        <v>16</v>
      </c>
      <c r="E629" s="21" t="s">
        <v>3314</v>
      </c>
      <c r="F629" s="3" t="s">
        <v>3383</v>
      </c>
      <c r="G629" s="3" t="s">
        <v>3384</v>
      </c>
    </row>
    <row r="630" spans="1:7" x14ac:dyDescent="0.3">
      <c r="A630" s="96" t="s">
        <v>3403</v>
      </c>
      <c r="B630" s="9"/>
      <c r="C630" s="9"/>
      <c r="D630" s="3" t="s">
        <v>3411</v>
      </c>
      <c r="E630" s="21" t="s">
        <v>3226</v>
      </c>
      <c r="F630" s="3" t="s">
        <v>3412</v>
      </c>
      <c r="G630" s="3" t="s">
        <v>3413</v>
      </c>
    </row>
    <row r="631" spans="1:7" x14ac:dyDescent="0.3">
      <c r="A631" s="9"/>
      <c r="B631" s="9"/>
      <c r="C631" s="9"/>
      <c r="D631" s="3" t="s">
        <v>29</v>
      </c>
      <c r="E631" s="21" t="s">
        <v>3226</v>
      </c>
      <c r="F631" s="3" t="s">
        <v>3412</v>
      </c>
      <c r="G631" s="3" t="s">
        <v>3413</v>
      </c>
    </row>
    <row r="632" spans="1:7" x14ac:dyDescent="0.3">
      <c r="A632" s="9"/>
      <c r="B632" s="9"/>
      <c r="C632" s="9"/>
      <c r="D632" s="3" t="s">
        <v>635</v>
      </c>
      <c r="E632" s="21" t="s">
        <v>3378</v>
      </c>
      <c r="F632" s="3" t="s">
        <v>3414</v>
      </c>
      <c r="G632" s="3" t="s">
        <v>3415</v>
      </c>
    </row>
    <row r="633" spans="1:7" x14ac:dyDescent="0.3">
      <c r="A633" s="9"/>
      <c r="B633" s="9"/>
      <c r="C633" s="9"/>
      <c r="D633" s="3" t="s">
        <v>18</v>
      </c>
      <c r="E633" s="21" t="s">
        <v>3378</v>
      </c>
      <c r="F633" s="3" t="s">
        <v>3414</v>
      </c>
      <c r="G633" s="3" t="s">
        <v>3415</v>
      </c>
    </row>
    <row r="634" spans="1:7" x14ac:dyDescent="0.3">
      <c r="A634" s="9"/>
      <c r="B634" s="9"/>
      <c r="C634" s="9"/>
      <c r="D634" s="3" t="s">
        <v>16</v>
      </c>
      <c r="E634" s="21" t="s">
        <v>3378</v>
      </c>
      <c r="F634" s="3" t="s">
        <v>3420</v>
      </c>
      <c r="G634" s="3" t="s">
        <v>3421</v>
      </c>
    </row>
    <row r="635" spans="1:7" x14ac:dyDescent="0.3">
      <c r="A635" s="9"/>
      <c r="B635" s="9"/>
      <c r="C635" s="9"/>
      <c r="D635" s="3" t="s">
        <v>15</v>
      </c>
      <c r="E635" s="21" t="s">
        <v>3354</v>
      </c>
      <c r="F635" s="3" t="s">
        <v>235</v>
      </c>
      <c r="G635" s="3" t="s">
        <v>3422</v>
      </c>
    </row>
    <row r="636" spans="1:7" x14ac:dyDescent="0.3">
      <c r="A636" s="9"/>
      <c r="B636" s="9"/>
      <c r="C636" s="9"/>
      <c r="D636" s="3" t="s">
        <v>634</v>
      </c>
      <c r="E636" s="21" t="s">
        <v>3378</v>
      </c>
      <c r="F636" s="3" t="s">
        <v>235</v>
      </c>
      <c r="G636" s="3" t="s">
        <v>3423</v>
      </c>
    </row>
    <row r="637" spans="1:7" x14ac:dyDescent="0.3">
      <c r="A637" s="9"/>
      <c r="B637" s="9"/>
      <c r="C637" s="9"/>
      <c r="D637" s="3" t="s">
        <v>1301</v>
      </c>
      <c r="E637" s="21" t="s">
        <v>3226</v>
      </c>
      <c r="F637" s="3" t="s">
        <v>3412</v>
      </c>
      <c r="G637" s="3" t="s">
        <v>3413</v>
      </c>
    </row>
    <row r="638" spans="1:7" x14ac:dyDescent="0.3">
      <c r="A638" s="9"/>
      <c r="B638" s="9"/>
      <c r="C638" s="9"/>
      <c r="D638" s="3" t="s">
        <v>1299</v>
      </c>
      <c r="E638" s="21" t="s">
        <v>3226</v>
      </c>
      <c r="F638" s="3" t="s">
        <v>3412</v>
      </c>
      <c r="G638" s="3" t="s">
        <v>3413</v>
      </c>
    </row>
    <row r="639" spans="1:7" x14ac:dyDescent="0.3">
      <c r="A639" s="9"/>
      <c r="B639" s="9"/>
      <c r="C639" s="9"/>
      <c r="D639" s="3" t="s">
        <v>3437</v>
      </c>
      <c r="E639" s="21" t="s">
        <v>3163</v>
      </c>
      <c r="F639" s="3" t="s">
        <v>235</v>
      </c>
      <c r="G639" s="3" t="s">
        <v>3439</v>
      </c>
    </row>
    <row r="640" spans="1:7" x14ac:dyDescent="0.3">
      <c r="A640" s="9"/>
      <c r="B640" s="9"/>
      <c r="C640" s="9"/>
      <c r="D640" s="3" t="s">
        <v>461</v>
      </c>
      <c r="E640" s="21" t="s">
        <v>3438</v>
      </c>
      <c r="F640" s="3" t="s">
        <v>235</v>
      </c>
      <c r="G640" s="3" t="s">
        <v>3439</v>
      </c>
    </row>
    <row r="641" spans="1:7" x14ac:dyDescent="0.3">
      <c r="A641" s="9"/>
      <c r="B641" s="9"/>
      <c r="C641" s="9"/>
      <c r="D641" s="3" t="s">
        <v>634</v>
      </c>
      <c r="E641" s="21" t="s">
        <v>3438</v>
      </c>
      <c r="F641" s="3" t="s">
        <v>235</v>
      </c>
      <c r="G641" s="3" t="s">
        <v>3439</v>
      </c>
    </row>
    <row r="642" spans="1:7" x14ac:dyDescent="0.3">
      <c r="A642" s="9"/>
      <c r="B642" s="9"/>
      <c r="C642" s="9" t="s">
        <v>3472</v>
      </c>
      <c r="D642" s="3" t="s">
        <v>632</v>
      </c>
      <c r="E642" s="21" t="s">
        <v>3438</v>
      </c>
      <c r="F642" s="3" t="s">
        <v>1615</v>
      </c>
      <c r="G642" s="3" t="s">
        <v>3441</v>
      </c>
    </row>
    <row r="643" spans="1:7" ht="32.25" x14ac:dyDescent="0.3">
      <c r="A643" s="96" t="s">
        <v>3467</v>
      </c>
      <c r="B643" s="9"/>
      <c r="C643" s="9"/>
      <c r="D643" s="3" t="s">
        <v>42</v>
      </c>
      <c r="E643" s="21" t="s">
        <v>3296</v>
      </c>
      <c r="F643" s="3" t="s">
        <v>3468</v>
      </c>
      <c r="G643" s="17" t="s">
        <v>3469</v>
      </c>
    </row>
    <row r="644" spans="1:7" ht="32.25" x14ac:dyDescent="0.3">
      <c r="A644" s="9"/>
      <c r="B644" s="9"/>
      <c r="C644" s="9"/>
      <c r="D644" s="3" t="s">
        <v>13</v>
      </c>
      <c r="E644" s="21" t="s">
        <v>3296</v>
      </c>
      <c r="F644" s="3" t="s">
        <v>3468</v>
      </c>
      <c r="G644" s="17" t="s">
        <v>3469</v>
      </c>
    </row>
    <row r="645" spans="1:7" x14ac:dyDescent="0.3">
      <c r="A645" s="9"/>
      <c r="B645" s="9"/>
      <c r="C645" s="9"/>
      <c r="D645" s="3" t="s">
        <v>632</v>
      </c>
      <c r="E645" s="21" t="s">
        <v>3163</v>
      </c>
      <c r="F645" s="3" t="s">
        <v>235</v>
      </c>
      <c r="G645" s="3" t="s">
        <v>407</v>
      </c>
    </row>
    <row r="646" spans="1:7" x14ac:dyDescent="0.3">
      <c r="A646" s="96" t="s">
        <v>3502</v>
      </c>
      <c r="B646" s="9"/>
      <c r="C646" s="9"/>
      <c r="D646" s="3" t="s">
        <v>15</v>
      </c>
      <c r="E646" s="21" t="s">
        <v>3484</v>
      </c>
      <c r="F646" s="3" t="s">
        <v>235</v>
      </c>
      <c r="G646" s="3" t="s">
        <v>3512</v>
      </c>
    </row>
    <row r="647" spans="1:7" x14ac:dyDescent="0.3">
      <c r="A647" s="9"/>
      <c r="B647" s="9"/>
      <c r="C647" s="9"/>
      <c r="D647" s="3" t="s">
        <v>30</v>
      </c>
      <c r="E647" s="21" t="s">
        <v>3484</v>
      </c>
      <c r="F647" s="3" t="s">
        <v>3513</v>
      </c>
      <c r="G647" s="3" t="s">
        <v>3413</v>
      </c>
    </row>
    <row r="648" spans="1:7" x14ac:dyDescent="0.3">
      <c r="A648" s="9"/>
      <c r="B648" s="9"/>
      <c r="C648" s="9"/>
      <c r="D648" s="3" t="s">
        <v>29</v>
      </c>
      <c r="E648" s="21" t="s">
        <v>3484</v>
      </c>
      <c r="F648" s="3" t="s">
        <v>3513</v>
      </c>
      <c r="G648" s="3" t="s">
        <v>3413</v>
      </c>
    </row>
    <row r="649" spans="1:7" x14ac:dyDescent="0.3">
      <c r="A649" s="9"/>
      <c r="B649" s="9"/>
      <c r="C649" s="9"/>
      <c r="D649" s="3" t="s">
        <v>30</v>
      </c>
      <c r="E649" s="21" t="s">
        <v>3480</v>
      </c>
      <c r="F649" s="3" t="s">
        <v>3514</v>
      </c>
      <c r="G649" s="3" t="s">
        <v>3413</v>
      </c>
    </row>
    <row r="650" spans="1:7" x14ac:dyDescent="0.3">
      <c r="A650" s="9"/>
      <c r="B650" s="9"/>
      <c r="C650" s="9"/>
      <c r="D650" s="3" t="s">
        <v>29</v>
      </c>
      <c r="E650" s="21" t="s">
        <v>3480</v>
      </c>
      <c r="F650" s="3" t="s">
        <v>3514</v>
      </c>
      <c r="G650" s="3" t="s">
        <v>3413</v>
      </c>
    </row>
    <row r="651" spans="1:7" x14ac:dyDescent="0.3">
      <c r="A651" s="9" t="s">
        <v>3502</v>
      </c>
      <c r="B651" s="9"/>
      <c r="C651" s="9"/>
      <c r="D651" s="3" t="s">
        <v>2523</v>
      </c>
      <c r="E651" s="3" t="s">
        <v>3519</v>
      </c>
      <c r="F651" s="3" t="s">
        <v>3520</v>
      </c>
      <c r="G651" s="3" t="s">
        <v>3521</v>
      </c>
    </row>
    <row r="652" spans="1:7" ht="32.25" x14ac:dyDescent="0.3">
      <c r="A652" s="9" t="s">
        <v>3502</v>
      </c>
      <c r="B652" s="9"/>
      <c r="C652" s="9"/>
      <c r="D652" s="3" t="s">
        <v>20</v>
      </c>
      <c r="E652" s="21" t="s">
        <v>3529</v>
      </c>
      <c r="F652" s="3" t="s">
        <v>3527</v>
      </c>
      <c r="G652" s="17" t="s">
        <v>3528</v>
      </c>
    </row>
    <row r="653" spans="1:7" x14ac:dyDescent="0.3">
      <c r="A653" s="9" t="s">
        <v>3502</v>
      </c>
      <c r="B653" s="9"/>
      <c r="C653" s="9"/>
      <c r="D653" s="3" t="s">
        <v>21</v>
      </c>
      <c r="E653" s="21" t="s">
        <v>3530</v>
      </c>
      <c r="F653" s="3" t="s">
        <v>3527</v>
      </c>
      <c r="G653" s="3" t="s">
        <v>3106</v>
      </c>
    </row>
    <row r="654" spans="1:7" ht="32.25" x14ac:dyDescent="0.3">
      <c r="A654" s="9"/>
      <c r="B654" s="9"/>
      <c r="C654" s="9"/>
      <c r="D654" s="3" t="s">
        <v>49</v>
      </c>
      <c r="E654" s="21" t="s">
        <v>3270</v>
      </c>
      <c r="F654" s="3" t="s">
        <v>3535</v>
      </c>
      <c r="G654" s="17" t="s">
        <v>3536</v>
      </c>
    </row>
    <row r="655" spans="1:7" x14ac:dyDescent="0.3">
      <c r="A655" s="3"/>
      <c r="B655" s="3"/>
      <c r="C655" s="3"/>
      <c r="D655" s="3" t="s">
        <v>51</v>
      </c>
      <c r="E655" s="21" t="s">
        <v>3453</v>
      </c>
      <c r="F655" s="3" t="s">
        <v>3541</v>
      </c>
      <c r="G655" s="3" t="s">
        <v>3537</v>
      </c>
    </row>
    <row r="656" spans="1:7" x14ac:dyDescent="0.3">
      <c r="A656" s="3" t="s">
        <v>3540</v>
      </c>
      <c r="B656" s="3"/>
      <c r="C656" s="3"/>
      <c r="D656" s="3" t="s">
        <v>42</v>
      </c>
      <c r="E656" s="25" t="s">
        <v>3270</v>
      </c>
      <c r="F656" s="3" t="s">
        <v>2907</v>
      </c>
      <c r="G656" s="3" t="s">
        <v>3542</v>
      </c>
    </row>
    <row r="657" spans="1:7" x14ac:dyDescent="0.3">
      <c r="A657" s="3"/>
      <c r="B657" s="3"/>
      <c r="C657" s="3"/>
      <c r="D657" s="3" t="s">
        <v>635</v>
      </c>
      <c r="E657" s="21" t="s">
        <v>3268</v>
      </c>
      <c r="F657" s="3" t="s">
        <v>235</v>
      </c>
      <c r="G657" s="3" t="s">
        <v>3562</v>
      </c>
    </row>
    <row r="658" spans="1:7" x14ac:dyDescent="0.3">
      <c r="A658" s="3"/>
      <c r="B658" s="3"/>
      <c r="C658" s="3"/>
      <c r="D658" s="3" t="s">
        <v>18</v>
      </c>
      <c r="E658" s="21" t="s">
        <v>3268</v>
      </c>
      <c r="F658" s="3" t="s">
        <v>235</v>
      </c>
      <c r="G658" s="3" t="s">
        <v>3562</v>
      </c>
    </row>
    <row r="659" spans="1:7" x14ac:dyDescent="0.3">
      <c r="A659" s="3" t="s">
        <v>3563</v>
      </c>
      <c r="B659" s="3"/>
      <c r="C659" s="3"/>
      <c r="D659" s="3" t="s">
        <v>29</v>
      </c>
      <c r="E659" s="25" t="s">
        <v>3480</v>
      </c>
      <c r="F659" s="3"/>
      <c r="G659" s="3" t="s">
        <v>682</v>
      </c>
    </row>
    <row r="660" spans="1:7" x14ac:dyDescent="0.3">
      <c r="A660" s="3"/>
      <c r="B660" s="3"/>
      <c r="C660" s="3"/>
      <c r="D660" s="3" t="s">
        <v>23</v>
      </c>
      <c r="E660" s="21" t="s">
        <v>3268</v>
      </c>
      <c r="F660" s="3" t="s">
        <v>235</v>
      </c>
      <c r="G660" s="3" t="s">
        <v>3579</v>
      </c>
    </row>
    <row r="661" spans="1:7" x14ac:dyDescent="0.3">
      <c r="A661" s="3"/>
      <c r="B661" s="3"/>
      <c r="C661" s="3"/>
      <c r="D661" s="3" t="s">
        <v>22</v>
      </c>
      <c r="E661" s="21" t="s">
        <v>3268</v>
      </c>
      <c r="F661" s="3" t="s">
        <v>235</v>
      </c>
      <c r="G661" s="3" t="s">
        <v>3579</v>
      </c>
    </row>
    <row r="662" spans="1:7" x14ac:dyDescent="0.3">
      <c r="A662" s="3"/>
      <c r="B662" s="3"/>
      <c r="C662" s="3"/>
      <c r="D662" s="3" t="s">
        <v>23</v>
      </c>
      <c r="E662" s="21" t="s">
        <v>3580</v>
      </c>
      <c r="F662" s="3" t="s">
        <v>761</v>
      </c>
      <c r="G662" s="3" t="s">
        <v>3581</v>
      </c>
    </row>
    <row r="663" spans="1:7" x14ac:dyDescent="0.3">
      <c r="A663" s="3"/>
      <c r="B663" s="3"/>
      <c r="C663" s="3"/>
      <c r="D663" s="3" t="s">
        <v>22</v>
      </c>
      <c r="E663" s="21" t="s">
        <v>3580</v>
      </c>
      <c r="F663" s="3" t="s">
        <v>761</v>
      </c>
      <c r="G663" s="3" t="s">
        <v>3581</v>
      </c>
    </row>
    <row r="664" spans="1:7" x14ac:dyDescent="0.3">
      <c r="A664" s="3"/>
      <c r="B664" s="3"/>
      <c r="C664" s="3"/>
      <c r="D664" s="3" t="s">
        <v>635</v>
      </c>
      <c r="E664" s="21" t="s">
        <v>3594</v>
      </c>
      <c r="F664" s="3" t="s">
        <v>3604</v>
      </c>
      <c r="G664" s="3" t="s">
        <v>3605</v>
      </c>
    </row>
    <row r="665" spans="1:7" x14ac:dyDescent="0.3">
      <c r="A665" s="3"/>
      <c r="B665" s="3"/>
      <c r="C665" s="3"/>
      <c r="D665" s="3" t="s">
        <v>53</v>
      </c>
      <c r="E665" s="21" t="s">
        <v>3268</v>
      </c>
      <c r="F665" s="3" t="s">
        <v>3383</v>
      </c>
      <c r="G665" s="3" t="s">
        <v>3615</v>
      </c>
    </row>
    <row r="666" spans="1:7" x14ac:dyDescent="0.3">
      <c r="A666" s="3"/>
      <c r="B666" s="3"/>
      <c r="C666" s="3"/>
      <c r="D666" s="3" t="s">
        <v>24</v>
      </c>
      <c r="E666" s="21" t="s">
        <v>3268</v>
      </c>
      <c r="F666" s="3" t="s">
        <v>3383</v>
      </c>
      <c r="G666" s="3" t="s">
        <v>3615</v>
      </c>
    </row>
    <row r="667" spans="1:7" x14ac:dyDescent="0.3">
      <c r="A667" s="3"/>
      <c r="B667" s="3"/>
      <c r="C667" s="3"/>
      <c r="D667" s="3" t="s">
        <v>632</v>
      </c>
      <c r="E667" s="21" t="s">
        <v>3268</v>
      </c>
      <c r="F667" s="3" t="s">
        <v>3383</v>
      </c>
      <c r="G667" s="3" t="s">
        <v>3615</v>
      </c>
    </row>
    <row r="668" spans="1:7" x14ac:dyDescent="0.3">
      <c r="A668" s="3"/>
      <c r="B668" s="3"/>
      <c r="C668" s="3"/>
      <c r="D668" s="3" t="s">
        <v>42</v>
      </c>
      <c r="E668" s="21" t="s">
        <v>3268</v>
      </c>
      <c r="F668" s="3" t="s">
        <v>3383</v>
      </c>
      <c r="G668" s="3" t="s">
        <v>3615</v>
      </c>
    </row>
    <row r="669" spans="1:7" x14ac:dyDescent="0.3">
      <c r="A669" s="3"/>
      <c r="B669" s="3"/>
      <c r="C669" s="3"/>
      <c r="D669" s="3" t="s">
        <v>50</v>
      </c>
      <c r="E669" s="21" t="s">
        <v>3616</v>
      </c>
      <c r="F669" s="3" t="s">
        <v>3617</v>
      </c>
      <c r="G669" s="3" t="s">
        <v>3618</v>
      </c>
    </row>
    <row r="670" spans="1:7" x14ac:dyDescent="0.3">
      <c r="A670" s="3"/>
      <c r="B670" s="3"/>
      <c r="C670" s="3"/>
      <c r="D670" s="3" t="s">
        <v>27</v>
      </c>
      <c r="E670" s="3" t="s">
        <v>3623</v>
      </c>
      <c r="F670" s="3" t="s">
        <v>3022</v>
      </c>
      <c r="G670" s="3" t="s">
        <v>3624</v>
      </c>
    </row>
    <row r="671" spans="1:7" x14ac:dyDescent="0.3">
      <c r="A671" s="3" t="s">
        <v>3626</v>
      </c>
      <c r="B671" s="3" t="s">
        <v>3626</v>
      </c>
      <c r="C671" s="3"/>
      <c r="D671" s="3" t="s">
        <v>13</v>
      </c>
      <c r="E671" s="21" t="s">
        <v>3627</v>
      </c>
      <c r="F671" s="3" t="s">
        <v>3628</v>
      </c>
      <c r="G671" s="3" t="s">
        <v>3629</v>
      </c>
    </row>
    <row r="672" spans="1:7" x14ac:dyDescent="0.3">
      <c r="A672" s="3"/>
      <c r="B672" s="3" t="s">
        <v>3626</v>
      </c>
      <c r="C672" s="3"/>
      <c r="D672" s="3" t="s">
        <v>913</v>
      </c>
      <c r="E672" s="21" t="s">
        <v>3627</v>
      </c>
      <c r="F672" s="3" t="s">
        <v>3628</v>
      </c>
      <c r="G672" s="3" t="s">
        <v>3629</v>
      </c>
    </row>
    <row r="673" spans="1:7" x14ac:dyDescent="0.3">
      <c r="A673" s="3"/>
      <c r="B673" s="3" t="s">
        <v>3651</v>
      </c>
      <c r="C673" s="3"/>
      <c r="D673" s="3" t="s">
        <v>22</v>
      </c>
      <c r="E673" s="21" t="s">
        <v>3653</v>
      </c>
      <c r="F673" s="3" t="s">
        <v>235</v>
      </c>
      <c r="G673" s="3" t="s">
        <v>3654</v>
      </c>
    </row>
    <row r="674" spans="1:7" x14ac:dyDescent="0.3">
      <c r="A674" s="3"/>
      <c r="B674" s="3"/>
      <c r="C674" s="3"/>
      <c r="D674" s="3" t="s">
        <v>21</v>
      </c>
      <c r="E674" s="21" t="s">
        <v>3669</v>
      </c>
      <c r="F674" s="3" t="s">
        <v>235</v>
      </c>
      <c r="G674" s="3" t="s">
        <v>3670</v>
      </c>
    </row>
    <row r="675" spans="1:7" x14ac:dyDescent="0.3">
      <c r="A675" s="3"/>
      <c r="B675" s="3"/>
      <c r="C675" s="3"/>
      <c r="D675" s="3" t="s">
        <v>15</v>
      </c>
      <c r="E675" s="21" t="s">
        <v>3669</v>
      </c>
      <c r="F675" s="3" t="s">
        <v>235</v>
      </c>
      <c r="G675" s="3" t="s">
        <v>3690</v>
      </c>
    </row>
    <row r="676" spans="1:7" x14ac:dyDescent="0.3">
      <c r="A676" s="3"/>
      <c r="B676" s="3"/>
      <c r="C676" s="3"/>
      <c r="D676" s="3" t="s">
        <v>634</v>
      </c>
      <c r="E676" s="21" t="s">
        <v>3547</v>
      </c>
      <c r="F676" s="3" t="s">
        <v>235</v>
      </c>
      <c r="G676" s="3" t="s">
        <v>3707</v>
      </c>
    </row>
    <row r="677" spans="1:7" x14ac:dyDescent="0.3">
      <c r="A677" s="3"/>
      <c r="B677" s="3" t="s">
        <v>3708</v>
      </c>
      <c r="C677" s="3"/>
      <c r="D677" s="3" t="s">
        <v>53</v>
      </c>
      <c r="E677" s="21" t="s">
        <v>3547</v>
      </c>
      <c r="F677" s="3" t="s">
        <v>2907</v>
      </c>
      <c r="G677" s="3" t="s">
        <v>3716</v>
      </c>
    </row>
    <row r="678" spans="1:7" ht="32.25" x14ac:dyDescent="0.3">
      <c r="A678" s="3"/>
      <c r="B678" s="3"/>
      <c r="C678" s="3"/>
      <c r="D678" s="3" t="s">
        <v>635</v>
      </c>
      <c r="E678" s="21" t="s">
        <v>3649</v>
      </c>
      <c r="F678" s="3" t="s">
        <v>1169</v>
      </c>
      <c r="G678" s="17" t="s">
        <v>3717</v>
      </c>
    </row>
    <row r="679" spans="1:7" x14ac:dyDescent="0.3">
      <c r="A679" s="3"/>
      <c r="B679" s="3"/>
      <c r="C679" s="3"/>
      <c r="D679" s="3"/>
      <c r="E679" s="21" t="s">
        <v>3789</v>
      </c>
      <c r="F679" s="3"/>
      <c r="G679" s="3" t="s">
        <v>3788</v>
      </c>
    </row>
    <row r="680" spans="1:7" x14ac:dyDescent="0.3">
      <c r="A680" s="3"/>
      <c r="B680" s="3" t="s">
        <v>3772</v>
      </c>
      <c r="C680" s="3"/>
      <c r="D680" s="3" t="s">
        <v>27</v>
      </c>
      <c r="E680" s="21" t="s">
        <v>3789</v>
      </c>
      <c r="F680" s="3" t="s">
        <v>3790</v>
      </c>
      <c r="G680" s="3" t="s">
        <v>3791</v>
      </c>
    </row>
    <row r="681" spans="1:7" x14ac:dyDescent="0.3">
      <c r="A681" s="3"/>
      <c r="B681" s="3" t="s">
        <v>3772</v>
      </c>
      <c r="C681" s="3"/>
      <c r="D681" s="3" t="s">
        <v>49</v>
      </c>
      <c r="E681" s="21" t="s">
        <v>3789</v>
      </c>
      <c r="F681" s="3" t="s">
        <v>3790</v>
      </c>
      <c r="G681" s="3" t="s">
        <v>3791</v>
      </c>
    </row>
    <row r="682" spans="1:7" x14ac:dyDescent="0.3">
      <c r="A682" s="3"/>
      <c r="B682" s="3" t="s">
        <v>3658</v>
      </c>
      <c r="C682" s="3"/>
      <c r="D682" s="3" t="s">
        <v>15</v>
      </c>
      <c r="E682" s="21" t="s">
        <v>3760</v>
      </c>
      <c r="F682" s="3" t="s">
        <v>3797</v>
      </c>
      <c r="G682" s="3" t="s">
        <v>3798</v>
      </c>
    </row>
    <row r="683" spans="1:7" x14ac:dyDescent="0.3">
      <c r="A683" s="3"/>
      <c r="B683" s="3"/>
      <c r="C683" s="3"/>
      <c r="D683" s="3" t="s">
        <v>646</v>
      </c>
      <c r="E683" s="3" t="s">
        <v>3799</v>
      </c>
      <c r="F683" s="3" t="s">
        <v>3800</v>
      </c>
      <c r="G683" s="3" t="s">
        <v>3801</v>
      </c>
    </row>
    <row r="684" spans="1:7" x14ac:dyDescent="0.3">
      <c r="A684" s="3"/>
      <c r="B684" s="3"/>
      <c r="C684" s="3"/>
      <c r="D684" s="3" t="s">
        <v>1622</v>
      </c>
      <c r="E684" s="21" t="s">
        <v>3706</v>
      </c>
      <c r="F684" s="3" t="s">
        <v>3022</v>
      </c>
      <c r="G684" s="3" t="s">
        <v>3802</v>
      </c>
    </row>
    <row r="685" spans="1:7" x14ac:dyDescent="0.3">
      <c r="A685" s="3"/>
      <c r="B685" s="3" t="s">
        <v>3666</v>
      </c>
      <c r="C685" s="3"/>
      <c r="D685" s="3" t="s">
        <v>22</v>
      </c>
      <c r="E685" s="21" t="s">
        <v>3803</v>
      </c>
      <c r="F685" s="3" t="s">
        <v>3804</v>
      </c>
      <c r="G685" s="3" t="s">
        <v>3805</v>
      </c>
    </row>
    <row r="686" spans="1:7" ht="32.25" x14ac:dyDescent="0.3">
      <c r="A686" s="3"/>
      <c r="B686" s="3" t="s">
        <v>3840</v>
      </c>
      <c r="C686" s="3"/>
      <c r="D686" s="3" t="s">
        <v>51</v>
      </c>
      <c r="E686" s="21" t="s">
        <v>3760</v>
      </c>
      <c r="F686" s="3" t="s">
        <v>3842</v>
      </c>
      <c r="G686" s="17" t="s">
        <v>3844</v>
      </c>
    </row>
    <row r="687" spans="1:7" ht="32.25" x14ac:dyDescent="0.3">
      <c r="A687" s="3"/>
      <c r="B687" s="3"/>
      <c r="C687" s="3"/>
      <c r="D687" s="3" t="s">
        <v>3841</v>
      </c>
      <c r="E687" s="21" t="s">
        <v>3760</v>
      </c>
      <c r="F687" s="3" t="s">
        <v>3842</v>
      </c>
      <c r="G687" s="17" t="s">
        <v>3843</v>
      </c>
    </row>
    <row r="688" spans="1:7" x14ac:dyDescent="0.3">
      <c r="A688" s="3"/>
      <c r="B688" s="3"/>
      <c r="C688" s="3"/>
      <c r="D688" s="3" t="s">
        <v>632</v>
      </c>
      <c r="E688" s="8" t="s">
        <v>3848</v>
      </c>
      <c r="F688" s="3" t="s">
        <v>235</v>
      </c>
      <c r="G688" s="3" t="s">
        <v>3849</v>
      </c>
    </row>
    <row r="689" spans="1:7" ht="32.25" x14ac:dyDescent="0.3">
      <c r="A689" s="3"/>
      <c r="B689" s="3"/>
      <c r="C689" s="3"/>
      <c r="D689" s="3" t="s">
        <v>13</v>
      </c>
      <c r="E689" s="8" t="s">
        <v>3850</v>
      </c>
      <c r="F689" s="3" t="s">
        <v>3851</v>
      </c>
      <c r="G689" s="17" t="s">
        <v>3852</v>
      </c>
    </row>
    <row r="690" spans="1:7" ht="32.25" x14ac:dyDescent="0.3">
      <c r="A690" s="3"/>
      <c r="B690" s="3"/>
      <c r="C690" s="3"/>
      <c r="D690" s="3" t="s">
        <v>42</v>
      </c>
      <c r="E690" s="8" t="s">
        <v>3850</v>
      </c>
      <c r="F690" s="3" t="s">
        <v>3851</v>
      </c>
      <c r="G690" s="17" t="s">
        <v>3852</v>
      </c>
    </row>
    <row r="691" spans="1:7" x14ac:dyDescent="0.3">
      <c r="A691" s="3"/>
      <c r="B691" s="3"/>
      <c r="C691" s="3"/>
      <c r="D691" s="3" t="s">
        <v>634</v>
      </c>
      <c r="E691" s="21" t="s">
        <v>3803</v>
      </c>
      <c r="F691" s="3" t="s">
        <v>235</v>
      </c>
      <c r="G691" s="3" t="s">
        <v>3862</v>
      </c>
    </row>
    <row r="692" spans="1:7" x14ac:dyDescent="0.3">
      <c r="A692" s="3"/>
      <c r="B692" s="77">
        <v>46181</v>
      </c>
      <c r="C692" s="3"/>
      <c r="D692" s="3" t="s">
        <v>3437</v>
      </c>
      <c r="E692" s="21" t="s">
        <v>3871</v>
      </c>
      <c r="F692" s="3" t="s">
        <v>3872</v>
      </c>
      <c r="G692" s="3" t="s">
        <v>3873</v>
      </c>
    </row>
    <row r="693" spans="1:7" x14ac:dyDescent="0.3">
      <c r="A693" s="3"/>
      <c r="B693" s="77">
        <v>46303</v>
      </c>
      <c r="C693" s="3"/>
      <c r="D693" s="3" t="s">
        <v>49</v>
      </c>
      <c r="E693" s="21" t="s">
        <v>3879</v>
      </c>
      <c r="F693" s="3" t="s">
        <v>235</v>
      </c>
      <c r="G693" s="3" t="s">
        <v>3880</v>
      </c>
    </row>
    <row r="694" spans="1:7" x14ac:dyDescent="0.3">
      <c r="A694" s="3"/>
      <c r="B694" s="3"/>
      <c r="C694" s="3"/>
      <c r="D694" s="3" t="s">
        <v>16</v>
      </c>
      <c r="E694" s="21" t="s">
        <v>3792</v>
      </c>
      <c r="F694" s="3" t="s">
        <v>3931</v>
      </c>
      <c r="G694" s="3" t="s">
        <v>3932</v>
      </c>
    </row>
    <row r="695" spans="1:7" x14ac:dyDescent="0.3">
      <c r="A695" s="3"/>
      <c r="B695" s="3"/>
      <c r="C695" s="3"/>
      <c r="D695" s="3" t="s">
        <v>20</v>
      </c>
      <c r="E695" s="21" t="s">
        <v>3792</v>
      </c>
      <c r="F695" s="3" t="s">
        <v>3931</v>
      </c>
      <c r="G695" s="3" t="s">
        <v>3933</v>
      </c>
    </row>
    <row r="696" spans="1:7" x14ac:dyDescent="0.3">
      <c r="A696" s="3"/>
      <c r="B696" s="3"/>
      <c r="C696" s="3"/>
      <c r="D696" s="3" t="s">
        <v>635</v>
      </c>
      <c r="E696" s="21" t="s">
        <v>3792</v>
      </c>
      <c r="F696" s="3" t="s">
        <v>3934</v>
      </c>
      <c r="G696" s="3" t="s">
        <v>3935</v>
      </c>
    </row>
    <row r="697" spans="1:7" x14ac:dyDescent="0.3">
      <c r="A697" s="3"/>
      <c r="B697" s="3"/>
      <c r="C697" s="3"/>
      <c r="D697" s="3" t="s">
        <v>23</v>
      </c>
      <c r="E697" s="21" t="s">
        <v>3936</v>
      </c>
      <c r="F697" s="3" t="s">
        <v>3939</v>
      </c>
      <c r="G697" s="3" t="s">
        <v>3937</v>
      </c>
    </row>
    <row r="698" spans="1:7" x14ac:dyDescent="0.3">
      <c r="A698" s="3"/>
      <c r="B698" s="3"/>
      <c r="C698" s="3"/>
      <c r="D698" s="3" t="s">
        <v>21</v>
      </c>
      <c r="E698" s="21" t="s">
        <v>3938</v>
      </c>
      <c r="F698" s="3" t="s">
        <v>235</v>
      </c>
      <c r="G698" s="3" t="s">
        <v>3940</v>
      </c>
    </row>
    <row r="699" spans="1:7" x14ac:dyDescent="0.3">
      <c r="A699" s="3"/>
      <c r="B699" s="3"/>
      <c r="C699" s="3"/>
      <c r="D699" s="3" t="s">
        <v>17</v>
      </c>
      <c r="E699" s="21" t="s">
        <v>3941</v>
      </c>
      <c r="F699" s="3" t="s">
        <v>3942</v>
      </c>
      <c r="G699" s="3" t="s">
        <v>3943</v>
      </c>
    </row>
    <row r="700" spans="1:7" x14ac:dyDescent="0.3">
      <c r="A700" s="3"/>
      <c r="B700" s="3"/>
      <c r="C700" s="3"/>
      <c r="D700" s="3" t="s">
        <v>1622</v>
      </c>
      <c r="E700" s="21" t="s">
        <v>3941</v>
      </c>
      <c r="F700" s="3" t="s">
        <v>3942</v>
      </c>
      <c r="G700" s="3" t="s">
        <v>3943</v>
      </c>
    </row>
    <row r="701" spans="1:7" x14ac:dyDescent="0.3">
      <c r="A701" s="3"/>
      <c r="B701" s="3"/>
      <c r="C701" s="3"/>
      <c r="D701" s="3" t="s">
        <v>461</v>
      </c>
      <c r="E701" s="21" t="s">
        <v>3793</v>
      </c>
      <c r="F701" s="3" t="s">
        <v>838</v>
      </c>
      <c r="G701" s="3" t="s">
        <v>3944</v>
      </c>
    </row>
    <row r="702" spans="1:7" x14ac:dyDescent="0.3">
      <c r="A702" s="3"/>
      <c r="B702" s="3"/>
      <c r="C702" s="3"/>
      <c r="D702" s="3" t="s">
        <v>3841</v>
      </c>
      <c r="E702" s="21" t="s">
        <v>3946</v>
      </c>
      <c r="F702" s="3" t="s">
        <v>3842</v>
      </c>
      <c r="G702" s="3" t="s">
        <v>3947</v>
      </c>
    </row>
    <row r="703" spans="1:7" x14ac:dyDescent="0.3">
      <c r="A703" s="3"/>
      <c r="B703" s="3"/>
      <c r="C703" s="3"/>
      <c r="D703" s="3" t="s">
        <v>51</v>
      </c>
      <c r="E703" s="21" t="s">
        <v>3946</v>
      </c>
      <c r="F703" s="3" t="s">
        <v>3842</v>
      </c>
      <c r="G703" s="3" t="s">
        <v>3947</v>
      </c>
    </row>
    <row r="704" spans="1:7" x14ac:dyDescent="0.3">
      <c r="A704" s="3"/>
      <c r="B704" s="77">
        <v>46334</v>
      </c>
      <c r="C704" s="3"/>
      <c r="D704" s="3" t="s">
        <v>53</v>
      </c>
      <c r="E704" s="21" t="s">
        <v>3793</v>
      </c>
      <c r="F704" s="3" t="s">
        <v>235</v>
      </c>
      <c r="G704" s="3" t="s">
        <v>3957</v>
      </c>
    </row>
    <row r="705" spans="1:7" x14ac:dyDescent="0.3">
      <c r="A705" s="3"/>
      <c r="B705" s="3"/>
      <c r="C705" s="3"/>
      <c r="D705" s="3" t="s">
        <v>22</v>
      </c>
      <c r="E705" s="21" t="s">
        <v>3793</v>
      </c>
      <c r="F705" s="3" t="s">
        <v>235</v>
      </c>
      <c r="G705" s="3" t="s">
        <v>3960</v>
      </c>
    </row>
    <row r="706" spans="1:7" x14ac:dyDescent="0.3">
      <c r="A706" s="3"/>
      <c r="B706" s="3"/>
      <c r="C706" s="3"/>
      <c r="D706" s="3" t="s">
        <v>22</v>
      </c>
      <c r="E706" s="21" t="s">
        <v>3941</v>
      </c>
      <c r="F706" s="3" t="s">
        <v>394</v>
      </c>
      <c r="G706" s="3" t="s">
        <v>3964</v>
      </c>
    </row>
    <row r="707" spans="1:7" x14ac:dyDescent="0.3">
      <c r="A707" s="3"/>
      <c r="B707" s="3"/>
      <c r="C707" s="3"/>
      <c r="D707" s="3" t="s">
        <v>42</v>
      </c>
      <c r="E707" s="21" t="s">
        <v>3941</v>
      </c>
      <c r="F707" s="3" t="s">
        <v>394</v>
      </c>
      <c r="G707" s="3" t="s">
        <v>3964</v>
      </c>
    </row>
    <row r="708" spans="1:7" x14ac:dyDescent="0.3">
      <c r="A708" s="3"/>
      <c r="B708" s="3"/>
      <c r="C708" s="3"/>
      <c r="D708" s="3" t="s">
        <v>13</v>
      </c>
      <c r="E708" s="21" t="s">
        <v>3941</v>
      </c>
      <c r="F708" s="3" t="s">
        <v>394</v>
      </c>
      <c r="G708" s="3" t="s">
        <v>3964</v>
      </c>
    </row>
    <row r="709" spans="1:7" x14ac:dyDescent="0.3">
      <c r="A709" s="3"/>
      <c r="B709" s="77">
        <v>46334</v>
      </c>
      <c r="C709" s="3"/>
      <c r="D709" s="3" t="s">
        <v>21</v>
      </c>
      <c r="E709" s="25" t="s">
        <v>3979</v>
      </c>
      <c r="F709" s="3" t="s">
        <v>3980</v>
      </c>
      <c r="G709" s="3" t="s">
        <v>3981</v>
      </c>
    </row>
    <row r="710" spans="1:7" x14ac:dyDescent="0.3">
      <c r="A710" s="3"/>
      <c r="B710" s="3"/>
      <c r="C710" s="3"/>
      <c r="D710" s="3" t="s">
        <v>3982</v>
      </c>
      <c r="E710" s="25" t="s">
        <v>3979</v>
      </c>
      <c r="F710" s="3" t="s">
        <v>3980</v>
      </c>
      <c r="G710" s="3" t="s">
        <v>3981</v>
      </c>
    </row>
    <row r="711" spans="1:7" x14ac:dyDescent="0.3">
      <c r="A711" s="3"/>
      <c r="B711" s="3"/>
      <c r="C711" s="3"/>
      <c r="D711" s="3" t="s">
        <v>30</v>
      </c>
      <c r="E711" s="17" t="s">
        <v>4007</v>
      </c>
      <c r="F711" s="3" t="s">
        <v>4008</v>
      </c>
      <c r="G711" s="3" t="s">
        <v>3413</v>
      </c>
    </row>
    <row r="712" spans="1:7" x14ac:dyDescent="0.3">
      <c r="A712" s="3"/>
      <c r="B712" s="3"/>
      <c r="C712" s="3"/>
      <c r="D712" s="3" t="s">
        <v>29</v>
      </c>
      <c r="E712" s="17" t="s">
        <v>4007</v>
      </c>
      <c r="F712" s="3" t="s">
        <v>4008</v>
      </c>
      <c r="G712" s="3" t="s">
        <v>3413</v>
      </c>
    </row>
    <row r="713" spans="1:7" x14ac:dyDescent="0.3">
      <c r="A713" s="3"/>
      <c r="B713" s="3" t="s">
        <v>4017</v>
      </c>
      <c r="C713" s="3"/>
      <c r="D713" s="3" t="s">
        <v>1301</v>
      </c>
      <c r="E713" s="17" t="s">
        <v>4007</v>
      </c>
      <c r="F713" s="3" t="s">
        <v>4008</v>
      </c>
      <c r="G713" s="3" t="s">
        <v>3413</v>
      </c>
    </row>
    <row r="714" spans="1:7" x14ac:dyDescent="0.3">
      <c r="A714" s="3"/>
      <c r="B714" s="3"/>
      <c r="C714" s="3"/>
      <c r="D714" s="3" t="s">
        <v>1299</v>
      </c>
      <c r="E714" s="17" t="s">
        <v>4007</v>
      </c>
      <c r="F714" s="3" t="s">
        <v>4008</v>
      </c>
      <c r="G714" s="3" t="s">
        <v>3413</v>
      </c>
    </row>
    <row r="715" spans="1:7" x14ac:dyDescent="0.3">
      <c r="A715" s="3"/>
      <c r="B715" s="3"/>
      <c r="C715" s="3"/>
      <c r="D715" s="3" t="s">
        <v>24</v>
      </c>
      <c r="E715" s="3" t="s">
        <v>4007</v>
      </c>
      <c r="F715" s="3" t="s">
        <v>4042</v>
      </c>
      <c r="G715" s="3" t="s">
        <v>4043</v>
      </c>
    </row>
    <row r="716" spans="1:7" ht="32.25" x14ac:dyDescent="0.3">
      <c r="A716" s="3"/>
      <c r="B716" s="3" t="s">
        <v>4049</v>
      </c>
      <c r="C716" s="3"/>
      <c r="D716" s="3" t="s">
        <v>705</v>
      </c>
      <c r="E716" s="3" t="s">
        <v>4050</v>
      </c>
      <c r="F716" s="3" t="s">
        <v>4051</v>
      </c>
      <c r="G716" s="17" t="s">
        <v>4052</v>
      </c>
    </row>
    <row r="717" spans="1:7" x14ac:dyDescent="0.3">
      <c r="A717" s="3"/>
      <c r="B717" s="3"/>
      <c r="C717" s="3"/>
      <c r="D717" s="3" t="s">
        <v>21</v>
      </c>
      <c r="E717" s="3" t="s">
        <v>3930</v>
      </c>
      <c r="F717" s="3" t="s">
        <v>235</v>
      </c>
      <c r="G717" s="3" t="s">
        <v>4056</v>
      </c>
    </row>
    <row r="718" spans="1:7" x14ac:dyDescent="0.3">
      <c r="A718" s="3"/>
      <c r="B718" s="3"/>
      <c r="C718" s="3"/>
      <c r="D718" s="3" t="s">
        <v>53</v>
      </c>
      <c r="E718" s="3" t="s">
        <v>4050</v>
      </c>
      <c r="F718" s="3" t="s">
        <v>235</v>
      </c>
      <c r="G718" s="3" t="s">
        <v>4056</v>
      </c>
    </row>
    <row r="719" spans="1:7" x14ac:dyDescent="0.3">
      <c r="A719" s="3"/>
      <c r="B719" s="3"/>
      <c r="C719" s="3"/>
      <c r="D719" s="3" t="s">
        <v>634</v>
      </c>
      <c r="E719" s="3" t="s">
        <v>4050</v>
      </c>
      <c r="F719" s="3" t="s">
        <v>235</v>
      </c>
      <c r="G719" s="3" t="s">
        <v>4056</v>
      </c>
    </row>
    <row r="720" spans="1:7" x14ac:dyDescent="0.3">
      <c r="A720" s="3"/>
      <c r="B720" s="3"/>
      <c r="C720" s="3"/>
      <c r="D720" s="3" t="s">
        <v>3437</v>
      </c>
      <c r="E720" s="3" t="s">
        <v>4050</v>
      </c>
      <c r="F720" s="3" t="s">
        <v>235</v>
      </c>
      <c r="G720" s="3" t="s">
        <v>4056</v>
      </c>
    </row>
    <row r="721" spans="1:7" x14ac:dyDescent="0.3">
      <c r="A721" s="3"/>
      <c r="B721" s="3"/>
      <c r="C721" s="3"/>
      <c r="D721" s="3" t="s">
        <v>750</v>
      </c>
      <c r="E721" s="3" t="s">
        <v>4050</v>
      </c>
      <c r="F721" s="3" t="s">
        <v>235</v>
      </c>
      <c r="G721" s="3" t="s">
        <v>4056</v>
      </c>
    </row>
    <row r="722" spans="1:7" x14ac:dyDescent="0.3">
      <c r="A722" s="3"/>
      <c r="B722" s="3"/>
      <c r="C722" s="3"/>
      <c r="D722" s="3" t="s">
        <v>632</v>
      </c>
      <c r="E722" s="3" t="s">
        <v>4050</v>
      </c>
      <c r="F722" s="3" t="s">
        <v>235</v>
      </c>
      <c r="G722" s="3" t="s">
        <v>4056</v>
      </c>
    </row>
    <row r="723" spans="1:7" x14ac:dyDescent="0.3">
      <c r="A723" s="3"/>
      <c r="B723" s="3"/>
      <c r="C723" s="3"/>
      <c r="D723" s="3" t="s">
        <v>53</v>
      </c>
      <c r="E723" s="3" t="s">
        <v>3668</v>
      </c>
      <c r="F723" s="3" t="s">
        <v>4064</v>
      </c>
      <c r="G723" s="3" t="s">
        <v>4065</v>
      </c>
    </row>
    <row r="724" spans="1:7" x14ac:dyDescent="0.3">
      <c r="A724" s="3"/>
      <c r="B724" s="3"/>
      <c r="C724" s="3"/>
      <c r="D724" s="3" t="s">
        <v>52</v>
      </c>
      <c r="E724" s="3" t="s">
        <v>3668</v>
      </c>
      <c r="F724" s="3" t="s">
        <v>4064</v>
      </c>
      <c r="G724" s="3" t="s">
        <v>4065</v>
      </c>
    </row>
    <row r="725" spans="1:7" x14ac:dyDescent="0.3">
      <c r="A725" s="3"/>
      <c r="B725" s="3"/>
      <c r="C725" s="3"/>
      <c r="D725" s="3" t="s">
        <v>50</v>
      </c>
      <c r="E725" s="3" t="s">
        <v>3668</v>
      </c>
      <c r="F725" s="3" t="s">
        <v>4064</v>
      </c>
      <c r="G725" s="3" t="s">
        <v>4065</v>
      </c>
    </row>
    <row r="726" spans="1:7" x14ac:dyDescent="0.3">
      <c r="A726" s="3"/>
      <c r="B726" s="3"/>
      <c r="C726" s="3"/>
      <c r="D726" s="3" t="s">
        <v>461</v>
      </c>
      <c r="E726" s="3" t="s">
        <v>3668</v>
      </c>
      <c r="F726" s="3" t="s">
        <v>4064</v>
      </c>
      <c r="G726" s="3" t="s">
        <v>4065</v>
      </c>
    </row>
    <row r="727" spans="1:7" x14ac:dyDescent="0.3">
      <c r="A727" s="3"/>
      <c r="B727" s="3"/>
      <c r="C727" s="3"/>
      <c r="D727" s="3" t="s">
        <v>750</v>
      </c>
      <c r="E727" s="3" t="s">
        <v>3668</v>
      </c>
      <c r="F727" s="3" t="s">
        <v>4064</v>
      </c>
      <c r="G727" s="3" t="s">
        <v>4065</v>
      </c>
    </row>
    <row r="728" spans="1:7" x14ac:dyDescent="0.3">
      <c r="A728" s="3"/>
      <c r="B728" s="3"/>
      <c r="C728" s="3"/>
      <c r="D728" s="3" t="s">
        <v>632</v>
      </c>
      <c r="E728" s="3" t="s">
        <v>4062</v>
      </c>
      <c r="F728" s="3" t="s">
        <v>4082</v>
      </c>
      <c r="G728" s="3" t="s">
        <v>4083</v>
      </c>
    </row>
    <row r="729" spans="1:7" x14ac:dyDescent="0.3">
      <c r="A729" s="3"/>
      <c r="B729" s="3"/>
      <c r="C729" s="3"/>
      <c r="D729" s="3" t="s">
        <v>13</v>
      </c>
      <c r="E729" s="3" t="s">
        <v>4062</v>
      </c>
      <c r="F729" s="3" t="s">
        <v>4082</v>
      </c>
      <c r="G729" s="3" t="s">
        <v>4083</v>
      </c>
    </row>
    <row r="730" spans="1:7" x14ac:dyDescent="0.3">
      <c r="A730" s="3"/>
      <c r="B730" s="3"/>
      <c r="C730" s="3"/>
      <c r="D730" s="3" t="s">
        <v>42</v>
      </c>
      <c r="E730" s="3" t="s">
        <v>4062</v>
      </c>
      <c r="F730" s="3" t="s">
        <v>4082</v>
      </c>
      <c r="G730" s="3" t="s">
        <v>4083</v>
      </c>
    </row>
    <row r="731" spans="1:7" x14ac:dyDescent="0.3">
      <c r="A731" s="3"/>
      <c r="B731" s="3"/>
      <c r="C731" s="3"/>
      <c r="D731" s="3" t="s">
        <v>17</v>
      </c>
      <c r="E731" s="3" t="s">
        <v>4062</v>
      </c>
      <c r="F731" s="3" t="s">
        <v>3022</v>
      </c>
      <c r="G731" s="3" t="s">
        <v>4084</v>
      </c>
    </row>
    <row r="732" spans="1:7" x14ac:dyDescent="0.3">
      <c r="A732" s="3"/>
      <c r="B732" s="3"/>
      <c r="C732" s="3"/>
      <c r="D732" s="3" t="s">
        <v>1622</v>
      </c>
      <c r="E732" s="3" t="s">
        <v>4062</v>
      </c>
      <c r="F732" s="3" t="s">
        <v>3022</v>
      </c>
      <c r="G732" s="3" t="s">
        <v>4085</v>
      </c>
    </row>
    <row r="733" spans="1:7" x14ac:dyDescent="0.3">
      <c r="A733" s="3"/>
      <c r="B733" s="3" t="s">
        <v>4092</v>
      </c>
      <c r="C733" s="3"/>
      <c r="D733" s="3" t="s">
        <v>51</v>
      </c>
      <c r="E733" s="3" t="s">
        <v>4093</v>
      </c>
      <c r="F733" s="3" t="s">
        <v>4094</v>
      </c>
      <c r="G733" s="3" t="s">
        <v>4095</v>
      </c>
    </row>
    <row r="734" spans="1:7" x14ac:dyDescent="0.3">
      <c r="A734" s="3"/>
      <c r="B734" s="3"/>
      <c r="C734" s="3"/>
      <c r="D734" s="3" t="s">
        <v>3841</v>
      </c>
      <c r="E734" s="3" t="s">
        <v>4093</v>
      </c>
      <c r="F734" s="3" t="s">
        <v>4094</v>
      </c>
      <c r="G734" s="3" t="s">
        <v>4095</v>
      </c>
    </row>
    <row r="735" spans="1:7" x14ac:dyDescent="0.3">
      <c r="A735" s="3"/>
      <c r="B735" s="3"/>
      <c r="C735" s="3"/>
      <c r="D735" s="3" t="s">
        <v>3841</v>
      </c>
      <c r="E735" s="3" t="s">
        <v>3969</v>
      </c>
      <c r="F735" s="3" t="s">
        <v>3842</v>
      </c>
      <c r="G735" s="3" t="s">
        <v>4096</v>
      </c>
    </row>
    <row r="736" spans="1:7" x14ac:dyDescent="0.3">
      <c r="A736" s="3"/>
      <c r="B736" s="3"/>
      <c r="C736" s="3"/>
      <c r="D736" s="3" t="s">
        <v>24</v>
      </c>
      <c r="E736" s="3" t="s">
        <v>3668</v>
      </c>
      <c r="F736" s="3" t="s">
        <v>235</v>
      </c>
      <c r="G736" s="3" t="s">
        <v>4097</v>
      </c>
    </row>
    <row r="737" spans="1:7" x14ac:dyDescent="0.3">
      <c r="A737" s="3"/>
      <c r="B737" s="3"/>
      <c r="C737" s="3"/>
      <c r="D737" s="3" t="s">
        <v>18</v>
      </c>
      <c r="E737" s="3" t="s">
        <v>3668</v>
      </c>
      <c r="F737" s="3" t="s">
        <v>235</v>
      </c>
      <c r="G737" s="3" t="s">
        <v>4097</v>
      </c>
    </row>
    <row r="738" spans="1:7" x14ac:dyDescent="0.3">
      <c r="A738" s="3"/>
      <c r="B738" s="3" t="s">
        <v>4105</v>
      </c>
      <c r="C738" s="3"/>
      <c r="D738" s="3" t="s">
        <v>632</v>
      </c>
      <c r="E738" s="3" t="s">
        <v>4066</v>
      </c>
      <c r="F738" s="3" t="s">
        <v>4110</v>
      </c>
      <c r="G738" s="3" t="s">
        <v>4111</v>
      </c>
    </row>
    <row r="739" spans="1:7" x14ac:dyDescent="0.3">
      <c r="A739" s="3"/>
      <c r="B739" s="3"/>
      <c r="C739" s="3"/>
      <c r="D739" s="3" t="s">
        <v>1459</v>
      </c>
      <c r="E739" s="3" t="s">
        <v>4133</v>
      </c>
      <c r="F739" s="3" t="s">
        <v>4110</v>
      </c>
      <c r="G739" s="3" t="s">
        <v>4134</v>
      </c>
    </row>
    <row r="740" spans="1:7" x14ac:dyDescent="0.3">
      <c r="A740" s="3"/>
      <c r="B740" s="3" t="s">
        <v>4145</v>
      </c>
      <c r="C740" s="3"/>
      <c r="D740" s="3" t="s">
        <v>22</v>
      </c>
      <c r="E740" s="3" t="s">
        <v>4139</v>
      </c>
      <c r="F740" s="3" t="s">
        <v>4146</v>
      </c>
      <c r="G740" s="3" t="s">
        <v>4147</v>
      </c>
    </row>
    <row r="741" spans="1:7" x14ac:dyDescent="0.3">
      <c r="A741" s="3"/>
      <c r="B741" s="3"/>
      <c r="C741" s="3"/>
      <c r="D741" s="3" t="s">
        <v>20</v>
      </c>
      <c r="E741" s="3" t="s">
        <v>4066</v>
      </c>
      <c r="F741" s="3" t="s">
        <v>4152</v>
      </c>
      <c r="G741" s="3" t="s">
        <v>4111</v>
      </c>
    </row>
    <row r="742" spans="1:7" x14ac:dyDescent="0.3">
      <c r="A742" s="3"/>
      <c r="B742" s="3"/>
      <c r="C742" s="3"/>
      <c r="D742" s="3" t="s">
        <v>635</v>
      </c>
      <c r="E742" s="3" t="s">
        <v>3925</v>
      </c>
      <c r="F742" s="3" t="s">
        <v>4153</v>
      </c>
      <c r="G742" s="3" t="s">
        <v>4154</v>
      </c>
    </row>
    <row r="743" spans="1:7" x14ac:dyDescent="0.3">
      <c r="A743" s="3"/>
      <c r="B743" s="3"/>
      <c r="C743" s="3"/>
      <c r="D743" s="3" t="s">
        <v>23</v>
      </c>
      <c r="E743" s="3" t="s">
        <v>4066</v>
      </c>
      <c r="F743" s="3" t="s">
        <v>4152</v>
      </c>
      <c r="G743" s="3" t="s">
        <v>4111</v>
      </c>
    </row>
    <row r="744" spans="1:7" x14ac:dyDescent="0.3">
      <c r="A744" s="3"/>
      <c r="B744" s="3"/>
      <c r="C744" s="3"/>
      <c r="D744" s="3" t="s">
        <v>51</v>
      </c>
      <c r="E744" s="3" t="s">
        <v>3109</v>
      </c>
      <c r="F744" s="3" t="s">
        <v>4163</v>
      </c>
      <c r="G744" s="3" t="s">
        <v>4164</v>
      </c>
    </row>
    <row r="745" spans="1:7" x14ac:dyDescent="0.3">
      <c r="A745" s="3"/>
      <c r="B745" s="3"/>
      <c r="C745" s="3"/>
      <c r="D745" s="3" t="s">
        <v>3841</v>
      </c>
      <c r="E745" s="3" t="s">
        <v>3109</v>
      </c>
      <c r="F745" s="3" t="s">
        <v>4165</v>
      </c>
      <c r="G745" s="3" t="s">
        <v>4166</v>
      </c>
    </row>
    <row r="746" spans="1:7" x14ac:dyDescent="0.3">
      <c r="A746" s="3"/>
      <c r="B746" s="3"/>
      <c r="C746" s="3"/>
      <c r="D746" s="3" t="s">
        <v>30</v>
      </c>
      <c r="E746" s="3" t="s">
        <v>4167</v>
      </c>
      <c r="F746" s="3" t="s">
        <v>4008</v>
      </c>
      <c r="G746" s="3" t="s">
        <v>3413</v>
      </c>
    </row>
    <row r="747" spans="1:7" x14ac:dyDescent="0.3">
      <c r="A747" s="3"/>
      <c r="B747" s="3"/>
      <c r="C747" s="3"/>
      <c r="D747" s="3" t="s">
        <v>29</v>
      </c>
      <c r="E747" s="3" t="s">
        <v>4167</v>
      </c>
      <c r="F747" s="3" t="s">
        <v>4008</v>
      </c>
      <c r="G747" s="3" t="s">
        <v>3413</v>
      </c>
    </row>
    <row r="748" spans="1:7" x14ac:dyDescent="0.3">
      <c r="A748" s="3"/>
      <c r="B748" s="3"/>
      <c r="C748" s="3"/>
      <c r="D748" s="3" t="s">
        <v>461</v>
      </c>
      <c r="E748" s="3" t="s">
        <v>3890</v>
      </c>
      <c r="F748" s="3" t="s">
        <v>838</v>
      </c>
      <c r="G748" s="3" t="s">
        <v>4172</v>
      </c>
    </row>
    <row r="749" spans="1:7" x14ac:dyDescent="0.3">
      <c r="A749" s="3"/>
      <c r="B749" s="3" t="s">
        <v>4177</v>
      </c>
      <c r="C749" s="3"/>
      <c r="D749" s="3" t="s">
        <v>1301</v>
      </c>
      <c r="E749" s="3" t="s">
        <v>4167</v>
      </c>
      <c r="F749" s="3" t="s">
        <v>4153</v>
      </c>
      <c r="G749" s="3" t="s">
        <v>3413</v>
      </c>
    </row>
    <row r="750" spans="1:7" x14ac:dyDescent="0.3">
      <c r="A750" s="3"/>
      <c r="B750" s="3"/>
      <c r="C750" s="3"/>
      <c r="D750" s="3" t="s">
        <v>1299</v>
      </c>
      <c r="E750" s="3" t="s">
        <v>4167</v>
      </c>
      <c r="F750" s="3" t="s">
        <v>4153</v>
      </c>
      <c r="G750" s="3" t="s">
        <v>3413</v>
      </c>
    </row>
    <row r="751" spans="1:7" x14ac:dyDescent="0.3">
      <c r="A751" s="3"/>
      <c r="B751" s="3"/>
      <c r="C751" s="3"/>
      <c r="D751" s="3" t="s">
        <v>49</v>
      </c>
      <c r="E751" s="3" t="s">
        <v>4180</v>
      </c>
      <c r="F751" s="3" t="s">
        <v>1169</v>
      </c>
      <c r="G751" s="3"/>
    </row>
    <row r="752" spans="1:7" x14ac:dyDescent="0.3">
      <c r="A752" s="3"/>
      <c r="B752" s="3"/>
      <c r="C752" s="3"/>
      <c r="D752" s="3"/>
      <c r="E752" s="3"/>
      <c r="F752" s="3"/>
      <c r="G752" s="3"/>
    </row>
    <row r="753" spans="1:7" x14ac:dyDescent="0.3">
      <c r="A753" s="3"/>
      <c r="B753" s="3"/>
      <c r="C753" s="3"/>
      <c r="D753" s="3"/>
      <c r="E753" s="3"/>
      <c r="F753" s="3"/>
      <c r="G753" s="3"/>
    </row>
    <row r="754" spans="1:7" x14ac:dyDescent="0.3">
      <c r="A754" s="3"/>
      <c r="B754" s="3"/>
      <c r="C754" s="3"/>
      <c r="D754" s="3"/>
      <c r="E754" s="3"/>
      <c r="F754" s="3"/>
      <c r="G754" s="3"/>
    </row>
    <row r="755" spans="1:7" x14ac:dyDescent="0.3">
      <c r="A755" s="3"/>
      <c r="B755" s="3"/>
      <c r="C755" s="3"/>
      <c r="D755" s="3"/>
      <c r="E755" s="3"/>
      <c r="F755" s="3"/>
      <c r="G755" s="3"/>
    </row>
    <row r="756" spans="1:7" x14ac:dyDescent="0.3">
      <c r="A756" s="3"/>
      <c r="B756" s="3"/>
      <c r="C756" s="3"/>
      <c r="D756" s="3"/>
      <c r="E756" s="3"/>
      <c r="F756" s="3"/>
      <c r="G756" s="3"/>
    </row>
    <row r="757" spans="1:7" x14ac:dyDescent="0.3">
      <c r="A757" s="3"/>
      <c r="B757" s="3"/>
      <c r="C757" s="3"/>
      <c r="D757" s="3"/>
      <c r="E757" s="3"/>
      <c r="F757" s="3"/>
      <c r="G757" s="3"/>
    </row>
    <row r="758" spans="1:7" x14ac:dyDescent="0.3">
      <c r="A758" s="3"/>
      <c r="B758" s="3"/>
      <c r="C758" s="3"/>
      <c r="D758" s="3"/>
      <c r="E758" s="3"/>
      <c r="F758" s="3"/>
      <c r="G758" s="3"/>
    </row>
    <row r="759" spans="1:7" x14ac:dyDescent="0.3">
      <c r="A759" s="3"/>
      <c r="B759" s="3"/>
      <c r="C759" s="3"/>
      <c r="D759" s="3"/>
      <c r="E759" s="3"/>
      <c r="F759" s="3"/>
      <c r="G759" s="3"/>
    </row>
    <row r="760" spans="1:7" x14ac:dyDescent="0.3">
      <c r="A760" s="3"/>
      <c r="B760" s="3"/>
      <c r="C760" s="3"/>
      <c r="D760" s="3"/>
      <c r="E760" s="3"/>
      <c r="F760" s="3"/>
      <c r="G760" s="3"/>
    </row>
    <row r="761" spans="1:7" x14ac:dyDescent="0.3">
      <c r="A761" s="3"/>
      <c r="B761" s="3"/>
      <c r="C761" s="3"/>
      <c r="D761" s="3"/>
      <c r="E761" s="3"/>
      <c r="F761" s="3"/>
      <c r="G761" s="3"/>
    </row>
    <row r="762" spans="1:7" x14ac:dyDescent="0.3">
      <c r="A762" s="3"/>
      <c r="B762" s="3"/>
      <c r="C762" s="3"/>
      <c r="D762" s="3"/>
      <c r="E762" s="3"/>
      <c r="F762" s="3"/>
      <c r="G762" s="3"/>
    </row>
    <row r="763" spans="1:7" x14ac:dyDescent="0.3">
      <c r="A763" s="3"/>
      <c r="B763" s="3"/>
      <c r="C763" s="3"/>
      <c r="D763" s="3"/>
      <c r="E763" s="3"/>
      <c r="F763" s="3"/>
      <c r="G763" s="3"/>
    </row>
    <row r="764" spans="1:7" x14ac:dyDescent="0.3">
      <c r="A764" s="3"/>
      <c r="B764" s="3"/>
      <c r="C764" s="3"/>
      <c r="D764" s="3"/>
      <c r="E764" s="3"/>
      <c r="F764" s="3"/>
      <c r="G764" s="3"/>
    </row>
    <row r="765" spans="1:7" x14ac:dyDescent="0.3">
      <c r="A765" s="3"/>
      <c r="B765" s="3"/>
      <c r="C765" s="3"/>
      <c r="D765" s="3"/>
      <c r="E765" s="3"/>
      <c r="F765" s="3"/>
      <c r="G765" s="3"/>
    </row>
    <row r="766" spans="1:7" x14ac:dyDescent="0.3">
      <c r="A766" s="3"/>
      <c r="B766" s="3"/>
      <c r="C766" s="3"/>
      <c r="D766" s="3"/>
      <c r="E766" s="3"/>
      <c r="F766" s="3"/>
      <c r="G766" s="3"/>
    </row>
    <row r="767" spans="1:7" x14ac:dyDescent="0.3">
      <c r="A767" s="3"/>
      <c r="B767" s="3"/>
      <c r="C767" s="3"/>
      <c r="D767" s="3"/>
      <c r="E767" s="3"/>
      <c r="F767" s="3"/>
      <c r="G767" s="3"/>
    </row>
    <row r="768" spans="1:7" x14ac:dyDescent="0.3">
      <c r="A768" s="3"/>
      <c r="B768" s="3"/>
      <c r="C768" s="3"/>
      <c r="D768" s="3"/>
      <c r="E768" s="3"/>
      <c r="F768" s="3"/>
      <c r="G768" s="3"/>
    </row>
    <row r="769" spans="1:7" x14ac:dyDescent="0.3">
      <c r="A769" s="3"/>
      <c r="B769" s="3"/>
      <c r="C769" s="3"/>
      <c r="D769" s="3"/>
      <c r="E769" s="3"/>
      <c r="F769" s="3"/>
      <c r="G769" s="3"/>
    </row>
    <row r="770" spans="1:7" x14ac:dyDescent="0.3">
      <c r="A770" s="3"/>
      <c r="B770" s="3"/>
      <c r="C770" s="3"/>
      <c r="D770" s="3"/>
      <c r="E770" s="3"/>
      <c r="F770" s="3"/>
      <c r="G770" s="3"/>
    </row>
    <row r="771" spans="1:7" x14ac:dyDescent="0.3">
      <c r="A771" s="9"/>
      <c r="B771" s="9"/>
      <c r="C771" s="9"/>
      <c r="D771" s="9"/>
      <c r="E771" s="9"/>
      <c r="F771" s="9"/>
      <c r="G771" s="9"/>
    </row>
    <row r="772" spans="1:7" x14ac:dyDescent="0.3">
      <c r="A772" s="9"/>
      <c r="B772" s="9"/>
      <c r="C772" s="9"/>
      <c r="D772" s="9"/>
      <c r="E772" s="9"/>
      <c r="F772" s="9"/>
      <c r="G772" s="9"/>
    </row>
    <row r="773" spans="1:7" x14ac:dyDescent="0.3">
      <c r="A773" s="9"/>
      <c r="B773" s="9"/>
      <c r="C773" s="9"/>
      <c r="D773" s="9"/>
      <c r="E773" s="9"/>
      <c r="F773" s="9"/>
      <c r="G773" s="9"/>
    </row>
    <row r="774" spans="1:7" x14ac:dyDescent="0.3">
      <c r="A774" s="9"/>
      <c r="B774" s="9"/>
      <c r="C774" s="9"/>
      <c r="D774" s="9"/>
      <c r="E774" s="9"/>
      <c r="F774" s="9"/>
      <c r="G774" s="9"/>
    </row>
    <row r="775" spans="1:7" x14ac:dyDescent="0.3">
      <c r="A775" s="9"/>
      <c r="B775" s="9"/>
      <c r="C775" s="9"/>
      <c r="D775" s="9"/>
      <c r="E775" s="9"/>
      <c r="F775" s="9"/>
      <c r="G775" s="9"/>
    </row>
    <row r="776" spans="1:7" x14ac:dyDescent="0.3">
      <c r="A776" s="9"/>
      <c r="B776" s="9"/>
      <c r="C776" s="9"/>
      <c r="D776" s="9"/>
      <c r="E776" s="9"/>
      <c r="F776" s="9"/>
      <c r="G776" s="9"/>
    </row>
    <row r="777" spans="1:7" x14ac:dyDescent="0.3">
      <c r="A777" s="9"/>
      <c r="B777" s="9"/>
      <c r="C777" s="9"/>
      <c r="D777" s="9"/>
      <c r="E777" s="9"/>
      <c r="F777" s="9"/>
      <c r="G777" s="9"/>
    </row>
    <row r="778" spans="1:7" x14ac:dyDescent="0.3">
      <c r="A778" s="9"/>
      <c r="B778" s="9"/>
      <c r="C778" s="9"/>
      <c r="D778" s="9"/>
      <c r="E778" s="9"/>
      <c r="F778" s="9"/>
      <c r="G778" s="9"/>
    </row>
    <row r="779" spans="1:7" x14ac:dyDescent="0.3">
      <c r="A779" s="9"/>
      <c r="B779" s="9"/>
      <c r="C779" s="9"/>
      <c r="D779" s="9"/>
      <c r="E779" s="9"/>
      <c r="F779" s="9"/>
      <c r="G779" s="9"/>
    </row>
    <row r="780" spans="1:7" x14ac:dyDescent="0.3">
      <c r="A780" s="9"/>
      <c r="B780" s="9"/>
      <c r="C780" s="9"/>
      <c r="D780" s="9"/>
      <c r="E780" s="9"/>
      <c r="F780" s="9"/>
      <c r="G780" s="9"/>
    </row>
    <row r="781" spans="1:7" x14ac:dyDescent="0.3">
      <c r="A781" s="9"/>
      <c r="B781" s="9"/>
      <c r="C781" s="9"/>
      <c r="D781" s="9"/>
      <c r="E781" s="9"/>
      <c r="F781" s="9"/>
      <c r="G781" s="9"/>
    </row>
    <row r="782" spans="1:7" x14ac:dyDescent="0.3">
      <c r="A782" s="9"/>
      <c r="B782" s="9"/>
      <c r="C782" s="9"/>
      <c r="D782" s="9"/>
      <c r="E782" s="9"/>
      <c r="F782" s="9"/>
      <c r="G782" s="9"/>
    </row>
    <row r="783" spans="1:7" x14ac:dyDescent="0.3">
      <c r="A783" s="9"/>
      <c r="B783" s="9"/>
      <c r="C783" s="9"/>
      <c r="D783" s="9"/>
      <c r="E783" s="9"/>
      <c r="F783" s="9"/>
      <c r="G783" s="9"/>
    </row>
    <row r="784" spans="1:7" x14ac:dyDescent="0.3">
      <c r="A784" s="9"/>
      <c r="B784" s="9"/>
      <c r="C784" s="9"/>
      <c r="D784" s="9"/>
      <c r="E784" s="9"/>
      <c r="F784" s="9"/>
      <c r="G784" s="9"/>
    </row>
    <row r="785" spans="1:7" x14ac:dyDescent="0.3">
      <c r="A785" s="9"/>
      <c r="B785" s="9"/>
      <c r="C785" s="9"/>
      <c r="D785" s="9"/>
      <c r="E785" s="9"/>
      <c r="F785" s="9"/>
      <c r="G785" s="9"/>
    </row>
    <row r="786" spans="1:7" x14ac:dyDescent="0.3">
      <c r="A786" s="9"/>
      <c r="B786" s="9"/>
      <c r="C786" s="9"/>
      <c r="D786" s="9"/>
      <c r="E786" s="9"/>
      <c r="F786" s="9"/>
      <c r="G786" s="9"/>
    </row>
    <row r="787" spans="1:7" x14ac:dyDescent="0.3">
      <c r="A787" s="9"/>
      <c r="B787" s="9"/>
      <c r="C787" s="9"/>
      <c r="D787" s="9"/>
      <c r="E787" s="9"/>
      <c r="F787" s="9"/>
      <c r="G787" s="9"/>
    </row>
    <row r="788" spans="1:7" x14ac:dyDescent="0.3">
      <c r="A788" s="9"/>
      <c r="B788" s="9"/>
      <c r="C788" s="9"/>
      <c r="D788" s="9"/>
      <c r="E788" s="9"/>
      <c r="F788" s="9"/>
      <c r="G788" s="9"/>
    </row>
    <row r="789" spans="1:7" x14ac:dyDescent="0.3">
      <c r="A789" s="9"/>
      <c r="B789" s="9"/>
      <c r="C789" s="9"/>
      <c r="D789" s="9"/>
      <c r="E789" s="9"/>
      <c r="F789" s="9"/>
      <c r="G789" s="9"/>
    </row>
    <row r="790" spans="1:7" x14ac:dyDescent="0.3">
      <c r="A790" s="9"/>
      <c r="B790" s="9"/>
      <c r="C790" s="9"/>
      <c r="D790" s="9"/>
      <c r="E790" s="9"/>
      <c r="F790" s="9"/>
      <c r="G790" s="9"/>
    </row>
    <row r="791" spans="1:7" x14ac:dyDescent="0.3">
      <c r="A791" s="9"/>
      <c r="B791" s="9"/>
      <c r="C791" s="9"/>
      <c r="D791" s="9"/>
      <c r="E791" s="9"/>
      <c r="F791" s="9"/>
      <c r="G791" s="9"/>
    </row>
    <row r="792" spans="1:7" x14ac:dyDescent="0.3">
      <c r="A792" s="9"/>
      <c r="B792" s="9"/>
      <c r="C792" s="9"/>
      <c r="D792" s="9"/>
      <c r="E792" s="9"/>
      <c r="F792" s="9"/>
      <c r="G792" s="9"/>
    </row>
    <row r="793" spans="1:7" x14ac:dyDescent="0.3">
      <c r="A793" s="9"/>
      <c r="B793" s="9"/>
      <c r="C793" s="9"/>
      <c r="D793" s="9"/>
      <c r="E793" s="9"/>
      <c r="F793" s="9"/>
      <c r="G793" s="9"/>
    </row>
    <row r="794" spans="1:7" x14ac:dyDescent="0.3">
      <c r="A794" s="9"/>
      <c r="B794" s="9"/>
      <c r="C794" s="9"/>
      <c r="D794" s="9"/>
      <c r="E794" s="9"/>
      <c r="F794" s="9"/>
      <c r="G794" s="9"/>
    </row>
    <row r="795" spans="1:7" x14ac:dyDescent="0.3">
      <c r="A795" s="9"/>
      <c r="B795" s="9"/>
      <c r="C795" s="9"/>
      <c r="D795" s="9"/>
      <c r="E795" s="9"/>
      <c r="F795" s="9"/>
      <c r="G795" s="9"/>
    </row>
    <row r="796" spans="1:7" x14ac:dyDescent="0.3">
      <c r="A796" s="9"/>
      <c r="B796" s="9"/>
      <c r="C796" s="9"/>
      <c r="D796" s="9"/>
      <c r="E796" s="9"/>
      <c r="F796" s="9"/>
      <c r="G796" s="9"/>
    </row>
    <row r="797" spans="1:7" x14ac:dyDescent="0.3">
      <c r="A797" s="9"/>
      <c r="B797" s="9"/>
      <c r="C797" s="9"/>
      <c r="D797" s="9"/>
      <c r="E797" s="9"/>
      <c r="F797" s="9"/>
      <c r="G797" s="9"/>
    </row>
    <row r="798" spans="1:7" x14ac:dyDescent="0.3">
      <c r="A798" s="9"/>
      <c r="B798" s="9"/>
      <c r="C798" s="9"/>
      <c r="D798" s="9"/>
      <c r="E798" s="9"/>
      <c r="F798" s="9"/>
      <c r="G798" s="9"/>
    </row>
    <row r="799" spans="1:7" x14ac:dyDescent="0.3">
      <c r="A799" s="9"/>
      <c r="B799" s="9"/>
      <c r="C799" s="9"/>
      <c r="D799" s="9"/>
      <c r="E799" s="9"/>
      <c r="F799" s="9"/>
      <c r="G799" s="9"/>
    </row>
    <row r="800" spans="1:7" x14ac:dyDescent="0.3">
      <c r="A800" s="9"/>
      <c r="B800" s="9"/>
      <c r="C800" s="9"/>
      <c r="D800" s="9"/>
      <c r="E800" s="9"/>
      <c r="F800" s="9"/>
      <c r="G800" s="9"/>
    </row>
    <row r="801" spans="1:7" x14ac:dyDescent="0.3">
      <c r="A801" s="9"/>
      <c r="B801" s="9"/>
      <c r="C801" s="9"/>
      <c r="D801" s="9"/>
      <c r="E801" s="9"/>
      <c r="F801" s="9"/>
      <c r="G801" s="9"/>
    </row>
    <row r="802" spans="1:7" x14ac:dyDescent="0.3">
      <c r="A802" s="9"/>
      <c r="B802" s="9"/>
      <c r="C802" s="9"/>
      <c r="D802" s="9"/>
      <c r="E802" s="9"/>
      <c r="F802" s="9"/>
      <c r="G802" s="9"/>
    </row>
    <row r="803" spans="1:7" x14ac:dyDescent="0.3">
      <c r="A803" s="9"/>
      <c r="B803" s="9"/>
      <c r="C803" s="9"/>
      <c r="D803" s="9"/>
      <c r="E803" s="9"/>
      <c r="F803" s="9"/>
      <c r="G803" s="9"/>
    </row>
    <row r="804" spans="1:7" x14ac:dyDescent="0.3">
      <c r="A804" s="9"/>
      <c r="B804" s="9"/>
      <c r="C804" s="9"/>
      <c r="D804" s="9"/>
      <c r="E804" s="9"/>
      <c r="F804" s="9"/>
      <c r="G804" s="9"/>
    </row>
    <row r="805" spans="1:7" x14ac:dyDescent="0.3">
      <c r="A805" s="9"/>
      <c r="B805" s="9"/>
      <c r="C805" s="9"/>
      <c r="D805" s="9"/>
      <c r="E805" s="9"/>
      <c r="F805" s="9"/>
      <c r="G805" s="9"/>
    </row>
    <row r="806" spans="1:7" x14ac:dyDescent="0.3">
      <c r="A806" s="9"/>
      <c r="B806" s="9"/>
      <c r="C806" s="9"/>
      <c r="D806" s="9"/>
      <c r="E806" s="9"/>
      <c r="F806" s="9"/>
      <c r="G806" s="9"/>
    </row>
    <row r="807" spans="1:7" x14ac:dyDescent="0.3">
      <c r="A807" s="9"/>
      <c r="B807" s="9"/>
      <c r="C807" s="9"/>
      <c r="D807" s="9"/>
      <c r="E807" s="9"/>
      <c r="F807" s="9"/>
      <c r="G807" s="9"/>
    </row>
    <row r="808" spans="1:7" x14ac:dyDescent="0.3">
      <c r="A808" s="9"/>
      <c r="B808" s="9"/>
      <c r="C808" s="9"/>
      <c r="D808" s="9"/>
      <c r="E808" s="9"/>
      <c r="F808" s="9"/>
      <c r="G808" s="9"/>
    </row>
    <row r="809" spans="1:7" x14ac:dyDescent="0.3">
      <c r="A809" s="9"/>
      <c r="B809" s="9"/>
      <c r="C809" s="9"/>
      <c r="D809" s="9"/>
      <c r="E809" s="9"/>
      <c r="F809" s="9"/>
      <c r="G809" s="9"/>
    </row>
    <row r="810" spans="1:7" x14ac:dyDescent="0.3">
      <c r="A810" s="9"/>
      <c r="B810" s="9"/>
      <c r="C810" s="9"/>
      <c r="D810" s="9"/>
      <c r="E810" s="9"/>
      <c r="F810" s="9"/>
      <c r="G810" s="9"/>
    </row>
    <row r="811" spans="1:7" x14ac:dyDescent="0.3">
      <c r="A811" s="9"/>
      <c r="B811" s="9"/>
      <c r="C811" s="9"/>
      <c r="D811" s="9"/>
      <c r="E811" s="9"/>
      <c r="F811" s="9"/>
      <c r="G811" s="9"/>
    </row>
    <row r="812" spans="1:7" x14ac:dyDescent="0.3">
      <c r="A812" s="9"/>
      <c r="B812" s="9"/>
      <c r="C812" s="9"/>
      <c r="D812" s="9"/>
      <c r="E812" s="9"/>
      <c r="F812" s="9"/>
      <c r="G812" s="9"/>
    </row>
    <row r="813" spans="1:7" x14ac:dyDescent="0.3">
      <c r="A813" s="9"/>
      <c r="B813" s="9"/>
      <c r="C813" s="9"/>
      <c r="D813" s="9"/>
      <c r="E813" s="9"/>
      <c r="F813" s="9"/>
      <c r="G813" s="9"/>
    </row>
    <row r="814" spans="1:7" x14ac:dyDescent="0.3">
      <c r="A814" s="9"/>
      <c r="B814" s="9"/>
      <c r="C814" s="9"/>
      <c r="D814" s="9"/>
      <c r="E814" s="9"/>
      <c r="F814" s="9"/>
      <c r="G814" s="9"/>
    </row>
    <row r="815" spans="1:7" x14ac:dyDescent="0.3">
      <c r="A815" s="9"/>
      <c r="B815" s="9"/>
      <c r="C815" s="9"/>
      <c r="D815" s="9"/>
      <c r="E815" s="9"/>
      <c r="F815" s="9"/>
      <c r="G815" s="9"/>
    </row>
    <row r="816" spans="1:7" x14ac:dyDescent="0.3">
      <c r="A816" s="9"/>
      <c r="B816" s="9"/>
      <c r="C816" s="9"/>
      <c r="D816" s="9"/>
      <c r="E816" s="9"/>
      <c r="F816" s="9"/>
      <c r="G816" s="9"/>
    </row>
    <row r="817" spans="1:7" x14ac:dyDescent="0.3">
      <c r="A817" s="9"/>
      <c r="B817" s="9"/>
      <c r="C817" s="9"/>
      <c r="D817" s="9"/>
      <c r="E817" s="9"/>
      <c r="F817" s="9"/>
      <c r="G817" s="9"/>
    </row>
    <row r="818" spans="1:7" x14ac:dyDescent="0.3">
      <c r="A818" s="9"/>
      <c r="B818" s="9"/>
      <c r="C818" s="9"/>
      <c r="D818" s="9"/>
      <c r="E818" s="9"/>
      <c r="F818" s="9"/>
      <c r="G818" s="9"/>
    </row>
    <row r="819" spans="1:7" x14ac:dyDescent="0.3">
      <c r="A819" s="9"/>
      <c r="B819" s="9"/>
      <c r="C819" s="9"/>
      <c r="D819" s="9"/>
      <c r="E819" s="9"/>
      <c r="F819" s="9"/>
      <c r="G819" s="9"/>
    </row>
    <row r="820" spans="1:7" x14ac:dyDescent="0.3">
      <c r="A820" s="9"/>
      <c r="B820" s="9"/>
      <c r="C820" s="9"/>
      <c r="D820" s="9"/>
      <c r="E820" s="9"/>
      <c r="F820" s="9"/>
      <c r="G820" s="9"/>
    </row>
    <row r="821" spans="1:7" x14ac:dyDescent="0.3">
      <c r="A821" s="9"/>
      <c r="B821" s="9"/>
      <c r="C821" s="9"/>
      <c r="D821" s="9"/>
      <c r="E821" s="9"/>
      <c r="F821" s="9"/>
      <c r="G821" s="9"/>
    </row>
    <row r="822" spans="1:7" x14ac:dyDescent="0.3">
      <c r="A822" s="9"/>
      <c r="B822" s="9"/>
      <c r="C822" s="9"/>
      <c r="D822" s="9"/>
      <c r="E822" s="9"/>
      <c r="F822" s="9"/>
      <c r="G822" s="9"/>
    </row>
    <row r="823" spans="1:7" x14ac:dyDescent="0.3">
      <c r="A823" s="9"/>
      <c r="B823" s="9"/>
      <c r="C823" s="9"/>
      <c r="D823" s="9"/>
      <c r="E823" s="9"/>
      <c r="F823" s="9"/>
      <c r="G823" s="9"/>
    </row>
    <row r="824" spans="1:7" x14ac:dyDescent="0.3">
      <c r="A824" s="9"/>
      <c r="B824" s="9"/>
      <c r="C824" s="9"/>
      <c r="D824" s="9"/>
      <c r="E824" s="9"/>
      <c r="F824" s="9"/>
      <c r="G824" s="9"/>
    </row>
    <row r="825" spans="1:7" x14ac:dyDescent="0.3">
      <c r="A825" s="9"/>
      <c r="B825" s="9"/>
      <c r="C825" s="9"/>
      <c r="D825" s="9"/>
      <c r="E825" s="9"/>
      <c r="F825" s="9"/>
      <c r="G825" s="9"/>
    </row>
    <row r="826" spans="1:7" x14ac:dyDescent="0.3">
      <c r="A826" s="9"/>
      <c r="B826" s="9"/>
      <c r="C826" s="9"/>
      <c r="D826" s="9"/>
      <c r="E826" s="9"/>
      <c r="F826" s="9"/>
      <c r="G826" s="9"/>
    </row>
    <row r="827" spans="1:7" x14ac:dyDescent="0.3">
      <c r="A827" s="9"/>
      <c r="B827" s="9"/>
      <c r="C827" s="9"/>
      <c r="D827" s="9"/>
      <c r="E827" s="9"/>
      <c r="F827" s="9"/>
      <c r="G827" s="9"/>
    </row>
    <row r="828" spans="1:7" x14ac:dyDescent="0.3">
      <c r="A828" s="9"/>
      <c r="B828" s="9"/>
      <c r="C828" s="9"/>
      <c r="D828" s="9"/>
      <c r="E828" s="9"/>
      <c r="F828" s="9"/>
      <c r="G828" s="9"/>
    </row>
    <row r="829" spans="1:7" x14ac:dyDescent="0.3">
      <c r="A829" s="9"/>
      <c r="B829" s="9"/>
      <c r="C829" s="9"/>
      <c r="D829" s="9"/>
      <c r="E829" s="9"/>
      <c r="F829" s="9"/>
      <c r="G829" s="9"/>
    </row>
    <row r="830" spans="1:7" x14ac:dyDescent="0.3">
      <c r="A830" s="9"/>
      <c r="B830" s="9"/>
      <c r="C830" s="9"/>
      <c r="D830" s="9"/>
      <c r="E830" s="9"/>
      <c r="F830" s="9"/>
      <c r="G830" s="9"/>
    </row>
    <row r="831" spans="1:7" x14ac:dyDescent="0.3">
      <c r="A831" s="9"/>
      <c r="B831" s="9"/>
      <c r="C831" s="9"/>
      <c r="D831" s="9"/>
      <c r="E831" s="9"/>
      <c r="F831" s="9"/>
      <c r="G831" s="9"/>
    </row>
    <row r="832" spans="1:7" x14ac:dyDescent="0.3">
      <c r="A832" s="9"/>
      <c r="B832" s="9"/>
      <c r="C832" s="9"/>
      <c r="D832" s="9"/>
      <c r="E832" s="9"/>
      <c r="F832" s="9"/>
      <c r="G832" s="9"/>
    </row>
    <row r="833" spans="1:7" x14ac:dyDescent="0.3">
      <c r="A833" s="9"/>
      <c r="B833" s="9"/>
      <c r="C833" s="9"/>
      <c r="D833" s="9"/>
      <c r="E833" s="9"/>
      <c r="F833" s="9"/>
      <c r="G833" s="9"/>
    </row>
    <row r="834" spans="1:7" x14ac:dyDescent="0.3">
      <c r="A834" s="9"/>
      <c r="B834" s="9"/>
      <c r="C834" s="9"/>
      <c r="D834" s="9"/>
      <c r="E834" s="9"/>
      <c r="F834" s="9"/>
      <c r="G834" s="9"/>
    </row>
    <row r="835" spans="1:7" x14ac:dyDescent="0.3">
      <c r="A835" s="9"/>
      <c r="B835" s="9"/>
      <c r="C835" s="9"/>
      <c r="D835" s="9"/>
      <c r="E835" s="9"/>
      <c r="F835" s="9"/>
      <c r="G835" s="9"/>
    </row>
    <row r="836" spans="1:7" x14ac:dyDescent="0.3">
      <c r="A836" s="9"/>
      <c r="B836" s="9"/>
      <c r="C836" s="9"/>
      <c r="D836" s="9"/>
      <c r="E836" s="9"/>
      <c r="F836" s="9"/>
      <c r="G836" s="9"/>
    </row>
    <row r="837" spans="1:7" x14ac:dyDescent="0.3">
      <c r="A837" s="9"/>
      <c r="B837" s="9"/>
      <c r="C837" s="9"/>
      <c r="D837" s="9"/>
      <c r="E837" s="9"/>
      <c r="F837" s="9"/>
      <c r="G837" s="9"/>
    </row>
    <row r="838" spans="1:7" x14ac:dyDescent="0.3">
      <c r="A838" s="9"/>
      <c r="B838" s="9"/>
      <c r="C838" s="9"/>
      <c r="D838" s="9"/>
      <c r="E838" s="9"/>
      <c r="F838" s="9"/>
      <c r="G838" s="9"/>
    </row>
    <row r="839" spans="1:7" x14ac:dyDescent="0.3">
      <c r="A839" s="9"/>
      <c r="B839" s="9"/>
      <c r="C839" s="9"/>
      <c r="D839" s="9"/>
      <c r="E839" s="9"/>
      <c r="F839" s="9"/>
      <c r="G839" s="9"/>
    </row>
    <row r="840" spans="1:7" x14ac:dyDescent="0.3">
      <c r="A840" s="9"/>
      <c r="B840" s="9"/>
      <c r="C840" s="9"/>
      <c r="D840" s="9"/>
      <c r="E840" s="9"/>
      <c r="F840" s="9"/>
      <c r="G840" s="9"/>
    </row>
    <row r="841" spans="1:7" x14ac:dyDescent="0.3">
      <c r="A841" s="9"/>
      <c r="B841" s="9"/>
      <c r="C841" s="9"/>
      <c r="D841" s="9"/>
      <c r="E841" s="9"/>
      <c r="F841" s="9"/>
      <c r="G841" s="9"/>
    </row>
    <row r="842" spans="1:7" x14ac:dyDescent="0.3">
      <c r="A842" s="9"/>
      <c r="B842" s="9"/>
      <c r="C842" s="9"/>
      <c r="D842" s="9"/>
      <c r="E842" s="9"/>
      <c r="F842" s="9"/>
      <c r="G842" s="9"/>
    </row>
    <row r="843" spans="1:7" x14ac:dyDescent="0.3">
      <c r="A843" s="9"/>
      <c r="B843" s="9"/>
      <c r="C843" s="9"/>
      <c r="D843" s="9"/>
      <c r="E843" s="9"/>
      <c r="F843" s="9"/>
      <c r="G843" s="9"/>
    </row>
    <row r="844" spans="1:7" x14ac:dyDescent="0.3">
      <c r="A844" s="9"/>
      <c r="B844" s="9"/>
      <c r="C844" s="9"/>
      <c r="D844" s="9"/>
      <c r="E844" s="9"/>
      <c r="F844" s="9"/>
      <c r="G844" s="9"/>
    </row>
    <row r="845" spans="1:7" x14ac:dyDescent="0.3">
      <c r="A845" s="9"/>
      <c r="B845" s="9"/>
      <c r="C845" s="9"/>
      <c r="D845" s="9"/>
      <c r="E845" s="9"/>
      <c r="F845" s="9"/>
      <c r="G845" s="9"/>
    </row>
    <row r="846" spans="1:7" x14ac:dyDescent="0.3">
      <c r="A846" s="9"/>
      <c r="B846" s="9"/>
      <c r="C846" s="9"/>
      <c r="D846" s="9"/>
      <c r="E846" s="9"/>
      <c r="F846" s="9"/>
      <c r="G846" s="9"/>
    </row>
    <row r="847" spans="1:7" x14ac:dyDescent="0.3">
      <c r="A847" s="9"/>
      <c r="B847" s="9"/>
      <c r="C847" s="9"/>
      <c r="D847" s="9"/>
      <c r="E847" s="9"/>
      <c r="F847" s="9"/>
      <c r="G847" s="9"/>
    </row>
    <row r="848" spans="1:7" x14ac:dyDescent="0.3">
      <c r="A848" s="9"/>
      <c r="B848" s="9"/>
      <c r="C848" s="9"/>
      <c r="D848" s="9"/>
      <c r="E848" s="9"/>
      <c r="F848" s="9"/>
      <c r="G848" s="9"/>
    </row>
    <row r="849" spans="1:7" x14ac:dyDescent="0.3">
      <c r="A849" s="9"/>
      <c r="B849" s="9"/>
      <c r="C849" s="9"/>
      <c r="D849" s="9"/>
      <c r="E849" s="9"/>
      <c r="F849" s="9"/>
      <c r="G849" s="9"/>
    </row>
    <row r="850" spans="1:7" x14ac:dyDescent="0.3">
      <c r="A850" s="9"/>
      <c r="B850" s="9"/>
      <c r="C850" s="9"/>
      <c r="D850" s="9"/>
      <c r="E850" s="9"/>
      <c r="F850" s="9"/>
      <c r="G850" s="9"/>
    </row>
    <row r="851" spans="1:7" x14ac:dyDescent="0.3">
      <c r="A851" s="9"/>
      <c r="B851" s="9"/>
      <c r="C851" s="9"/>
      <c r="D851" s="9"/>
      <c r="E851" s="9"/>
      <c r="F851" s="9"/>
      <c r="G851" s="9"/>
    </row>
    <row r="852" spans="1:7" x14ac:dyDescent="0.3">
      <c r="A852" s="9"/>
      <c r="B852" s="9"/>
      <c r="C852" s="9"/>
      <c r="D852" s="9"/>
      <c r="E852" s="9"/>
      <c r="F852" s="9"/>
      <c r="G852" s="9"/>
    </row>
    <row r="853" spans="1:7" x14ac:dyDescent="0.3">
      <c r="A853" s="9"/>
      <c r="B853" s="9"/>
      <c r="C853" s="9"/>
      <c r="D853" s="9"/>
      <c r="E853" s="9"/>
      <c r="F853" s="9"/>
      <c r="G853" s="9"/>
    </row>
    <row r="854" spans="1:7" x14ac:dyDescent="0.3">
      <c r="A854" s="9"/>
      <c r="B854" s="9"/>
      <c r="C854" s="9"/>
      <c r="D854" s="9"/>
      <c r="E854" s="9"/>
      <c r="F854" s="9"/>
      <c r="G854" s="9"/>
    </row>
    <row r="855" spans="1:7" x14ac:dyDescent="0.3">
      <c r="A855" s="9"/>
      <c r="B855" s="9"/>
      <c r="C855" s="9"/>
      <c r="D855" s="9"/>
      <c r="E855" s="9"/>
      <c r="F855" s="9"/>
      <c r="G855" s="9"/>
    </row>
    <row r="856" spans="1:7" x14ac:dyDescent="0.3">
      <c r="A856" s="9"/>
      <c r="B856" s="9"/>
      <c r="C856" s="9"/>
      <c r="D856" s="9"/>
      <c r="E856" s="9"/>
      <c r="F856" s="9"/>
      <c r="G856" s="9"/>
    </row>
    <row r="857" spans="1:7" x14ac:dyDescent="0.3">
      <c r="A857" s="9"/>
      <c r="B857" s="9"/>
      <c r="C857" s="9"/>
      <c r="D857" s="9"/>
      <c r="E857" s="9"/>
      <c r="F857" s="9"/>
      <c r="G857" s="9"/>
    </row>
    <row r="858" spans="1:7" x14ac:dyDescent="0.3">
      <c r="A858" s="9"/>
      <c r="B858" s="9"/>
      <c r="C858" s="9"/>
      <c r="D858" s="9"/>
      <c r="E858" s="9"/>
      <c r="F858" s="9"/>
      <c r="G858" s="9"/>
    </row>
    <row r="859" spans="1:7" x14ac:dyDescent="0.3">
      <c r="A859" s="9"/>
      <c r="B859" s="9"/>
      <c r="C859" s="9"/>
      <c r="D859" s="9"/>
      <c r="E859" s="9"/>
      <c r="F859" s="9"/>
      <c r="G859" s="9"/>
    </row>
    <row r="860" spans="1:7" x14ac:dyDescent="0.3">
      <c r="A860" s="9"/>
      <c r="B860" s="9"/>
      <c r="C860" s="9"/>
      <c r="D860" s="9"/>
      <c r="E860" s="9"/>
      <c r="F860" s="9"/>
      <c r="G860" s="9"/>
    </row>
    <row r="861" spans="1:7" x14ac:dyDescent="0.3">
      <c r="A861" s="9"/>
      <c r="B861" s="9"/>
      <c r="C861" s="9"/>
      <c r="D861" s="9"/>
      <c r="E861" s="9"/>
      <c r="F861" s="9"/>
      <c r="G861" s="9"/>
    </row>
    <row r="862" spans="1:7" x14ac:dyDescent="0.3">
      <c r="A862" s="9"/>
      <c r="B862" s="9"/>
      <c r="C862" s="9"/>
      <c r="D862" s="9"/>
      <c r="E862" s="9"/>
      <c r="F862" s="9"/>
      <c r="G862" s="9"/>
    </row>
    <row r="863" spans="1:7" x14ac:dyDescent="0.3">
      <c r="A863" s="9"/>
      <c r="B863" s="9"/>
      <c r="C863" s="9"/>
      <c r="D863" s="9"/>
      <c r="E863" s="9"/>
      <c r="F863" s="9"/>
      <c r="G863" s="9"/>
    </row>
    <row r="864" spans="1:7" x14ac:dyDescent="0.3">
      <c r="A864" s="9"/>
      <c r="B864" s="9"/>
      <c r="C864" s="9"/>
      <c r="D864" s="9"/>
      <c r="E864" s="9"/>
      <c r="F864" s="9"/>
      <c r="G864" s="9"/>
    </row>
    <row r="865" spans="1:7" x14ac:dyDescent="0.3">
      <c r="A865" s="9"/>
      <c r="B865" s="9"/>
      <c r="C865" s="9"/>
      <c r="D865" s="9"/>
      <c r="E865" s="9"/>
      <c r="F865" s="9"/>
      <c r="G865" s="9"/>
    </row>
    <row r="866" spans="1:7" x14ac:dyDescent="0.3">
      <c r="A866" s="9"/>
      <c r="B866" s="9"/>
      <c r="C866" s="9"/>
      <c r="D866" s="9"/>
      <c r="E866" s="9"/>
      <c r="F866" s="9"/>
      <c r="G866" s="9"/>
    </row>
    <row r="867" spans="1:7" x14ac:dyDescent="0.3">
      <c r="A867" s="9"/>
      <c r="B867" s="9"/>
      <c r="C867" s="9"/>
      <c r="D867" s="9"/>
      <c r="E867" s="9"/>
      <c r="F867" s="9"/>
      <c r="G867" s="9"/>
    </row>
    <row r="868" spans="1:7" x14ac:dyDescent="0.3">
      <c r="A868" s="9"/>
      <c r="B868" s="9"/>
      <c r="C868" s="9"/>
      <c r="D868" s="9"/>
      <c r="E868" s="9"/>
      <c r="F868" s="9"/>
      <c r="G868" s="9"/>
    </row>
    <row r="869" spans="1:7" x14ac:dyDescent="0.3">
      <c r="A869" s="9"/>
      <c r="B869" s="9"/>
      <c r="C869" s="9"/>
      <c r="D869" s="9"/>
      <c r="E869" s="9"/>
      <c r="F869" s="9"/>
      <c r="G869" s="9"/>
    </row>
    <row r="870" spans="1:7" x14ac:dyDescent="0.3">
      <c r="A870" s="9"/>
      <c r="B870" s="9"/>
      <c r="C870" s="9"/>
      <c r="D870" s="9"/>
      <c r="E870" s="9"/>
      <c r="F870" s="9"/>
      <c r="G870" s="9"/>
    </row>
    <row r="871" spans="1:7" x14ac:dyDescent="0.3">
      <c r="A871" s="9"/>
      <c r="B871" s="9"/>
      <c r="C871" s="9"/>
      <c r="D871" s="9"/>
      <c r="E871" s="9"/>
      <c r="F871" s="9"/>
      <c r="G871" s="9"/>
    </row>
    <row r="872" spans="1:7" x14ac:dyDescent="0.3">
      <c r="A872" s="9"/>
      <c r="B872" s="9"/>
      <c r="C872" s="9"/>
      <c r="D872" s="9"/>
      <c r="E872" s="9"/>
      <c r="F872" s="9"/>
      <c r="G872" s="9"/>
    </row>
    <row r="873" spans="1:7" x14ac:dyDescent="0.3">
      <c r="A873" s="9"/>
      <c r="B873" s="9"/>
      <c r="C873" s="9"/>
      <c r="D873" s="9"/>
      <c r="E873" s="9"/>
      <c r="F873" s="9"/>
      <c r="G873" s="9"/>
    </row>
    <row r="874" spans="1:7" x14ac:dyDescent="0.3">
      <c r="A874" s="9"/>
      <c r="B874" s="9"/>
      <c r="C874" s="9"/>
      <c r="D874" s="9"/>
      <c r="E874" s="9"/>
      <c r="F874" s="9"/>
      <c r="G874" s="9"/>
    </row>
    <row r="875" spans="1:7" x14ac:dyDescent="0.3">
      <c r="A875" s="9"/>
      <c r="B875" s="9"/>
      <c r="C875" s="9"/>
      <c r="D875" s="9"/>
      <c r="E875" s="9"/>
      <c r="F875" s="9"/>
      <c r="G875" s="9"/>
    </row>
    <row r="876" spans="1:7" x14ac:dyDescent="0.3">
      <c r="A876" s="9"/>
      <c r="B876" s="9"/>
      <c r="C876" s="9"/>
      <c r="D876" s="9"/>
      <c r="E876" s="9"/>
      <c r="F876" s="9"/>
      <c r="G876" s="9"/>
    </row>
    <row r="877" spans="1:7" x14ac:dyDescent="0.3">
      <c r="A877" s="9"/>
      <c r="B877" s="9"/>
      <c r="C877" s="9"/>
      <c r="D877" s="9"/>
      <c r="E877" s="9"/>
      <c r="F877" s="9"/>
      <c r="G877" s="9"/>
    </row>
    <row r="878" spans="1:7" x14ac:dyDescent="0.3">
      <c r="A878" s="9"/>
      <c r="B878" s="9"/>
      <c r="C878" s="9"/>
      <c r="D878" s="9"/>
      <c r="E878" s="9"/>
      <c r="F878" s="9"/>
      <c r="G878" s="9"/>
    </row>
    <row r="879" spans="1:7" x14ac:dyDescent="0.3">
      <c r="A879" s="9"/>
      <c r="B879" s="9"/>
      <c r="C879" s="9"/>
      <c r="D879" s="9"/>
      <c r="E879" s="9"/>
      <c r="F879" s="9"/>
      <c r="G879" s="9"/>
    </row>
    <row r="880" spans="1:7" x14ac:dyDescent="0.3">
      <c r="A880" s="9"/>
      <c r="B880" s="9"/>
      <c r="C880" s="9"/>
      <c r="D880" s="9"/>
      <c r="E880" s="9"/>
      <c r="F880" s="9"/>
      <c r="G880" s="9"/>
    </row>
    <row r="881" spans="1:7" x14ac:dyDescent="0.3">
      <c r="A881" s="9"/>
      <c r="B881" s="9"/>
      <c r="C881" s="9"/>
      <c r="D881" s="9"/>
      <c r="E881" s="9"/>
      <c r="F881" s="9"/>
      <c r="G881" s="9"/>
    </row>
    <row r="882" spans="1:7" x14ac:dyDescent="0.3">
      <c r="A882" s="9"/>
      <c r="B882" s="9"/>
      <c r="C882" s="9"/>
      <c r="D882" s="9"/>
      <c r="E882" s="9"/>
      <c r="F882" s="9"/>
      <c r="G882" s="9"/>
    </row>
    <row r="883" spans="1:7" x14ac:dyDescent="0.3">
      <c r="A883" s="9"/>
      <c r="B883" s="9"/>
      <c r="C883" s="9"/>
      <c r="D883" s="9"/>
      <c r="E883" s="9"/>
      <c r="F883" s="9"/>
      <c r="G883" s="9"/>
    </row>
    <row r="884" spans="1:7" x14ac:dyDescent="0.3">
      <c r="A884" s="9"/>
      <c r="B884" s="9"/>
      <c r="C884" s="9"/>
      <c r="D884" s="9"/>
      <c r="E884" s="9"/>
      <c r="F884" s="9"/>
      <c r="G884" s="9"/>
    </row>
    <row r="885" spans="1:7" x14ac:dyDescent="0.3">
      <c r="A885" s="9"/>
      <c r="B885" s="9"/>
      <c r="C885" s="9"/>
      <c r="D885" s="9"/>
      <c r="E885" s="9"/>
      <c r="F885" s="9"/>
      <c r="G885" s="9"/>
    </row>
    <row r="886" spans="1:7" x14ac:dyDescent="0.3">
      <c r="A886" s="9"/>
      <c r="B886" s="9"/>
      <c r="C886" s="9"/>
      <c r="D886" s="9"/>
      <c r="E886" s="9"/>
      <c r="F886" s="9"/>
      <c r="G886" s="9"/>
    </row>
    <row r="887" spans="1:7" x14ac:dyDescent="0.3">
      <c r="A887" s="9"/>
      <c r="B887" s="9"/>
      <c r="C887" s="9"/>
      <c r="D887" s="9"/>
      <c r="E887" s="9"/>
      <c r="F887" s="9"/>
      <c r="G887" s="9"/>
    </row>
    <row r="888" spans="1:7" x14ac:dyDescent="0.3">
      <c r="A888" s="9"/>
      <c r="B888" s="9"/>
      <c r="C888" s="9"/>
      <c r="D888" s="9"/>
      <c r="E888" s="9"/>
      <c r="F888" s="9"/>
      <c r="G888" s="9"/>
    </row>
    <row r="889" spans="1:7" x14ac:dyDescent="0.3">
      <c r="A889" s="9"/>
      <c r="B889" s="9"/>
      <c r="C889" s="9"/>
      <c r="D889" s="9"/>
      <c r="E889" s="9"/>
      <c r="F889" s="9"/>
      <c r="G889" s="9"/>
    </row>
    <row r="890" spans="1:7" x14ac:dyDescent="0.3">
      <c r="A890" s="9"/>
      <c r="B890" s="9"/>
      <c r="C890" s="9"/>
      <c r="D890" s="9"/>
      <c r="E890" s="9"/>
      <c r="F890" s="9"/>
      <c r="G890" s="9"/>
    </row>
    <row r="891" spans="1:7" x14ac:dyDescent="0.3">
      <c r="A891" s="9"/>
      <c r="B891" s="9"/>
      <c r="C891" s="9"/>
      <c r="D891" s="9"/>
      <c r="E891" s="9"/>
      <c r="F891" s="9"/>
      <c r="G891" s="9"/>
    </row>
    <row r="892" spans="1:7" x14ac:dyDescent="0.3">
      <c r="A892" s="9"/>
      <c r="B892" s="9"/>
      <c r="C892" s="9"/>
      <c r="D892" s="9"/>
      <c r="E892" s="9"/>
      <c r="F892" s="9"/>
      <c r="G892" s="9"/>
    </row>
    <row r="893" spans="1:7" x14ac:dyDescent="0.3">
      <c r="A893" s="9"/>
      <c r="B893" s="9"/>
      <c r="C893" s="9"/>
      <c r="D893" s="9"/>
      <c r="E893" s="9"/>
      <c r="F893" s="9"/>
      <c r="G893" s="9"/>
    </row>
    <row r="894" spans="1:7" x14ac:dyDescent="0.3">
      <c r="A894" s="9"/>
      <c r="B894" s="9"/>
      <c r="C894" s="9"/>
      <c r="D894" s="9"/>
      <c r="E894" s="9"/>
      <c r="F894" s="9"/>
      <c r="G894" s="9"/>
    </row>
    <row r="895" spans="1:7" x14ac:dyDescent="0.3">
      <c r="A895" s="9"/>
      <c r="B895" s="9"/>
      <c r="C895" s="9"/>
      <c r="D895" s="9"/>
      <c r="E895" s="9"/>
      <c r="F895" s="9"/>
      <c r="G895" s="9"/>
    </row>
    <row r="896" spans="1:7" x14ac:dyDescent="0.3">
      <c r="A896" s="9"/>
      <c r="B896" s="9"/>
      <c r="C896" s="9"/>
      <c r="D896" s="9"/>
      <c r="E896" s="9"/>
      <c r="F896" s="9"/>
      <c r="G896" s="9"/>
    </row>
    <row r="897" spans="1:7" x14ac:dyDescent="0.3">
      <c r="A897" s="9"/>
      <c r="B897" s="9"/>
      <c r="C897" s="9"/>
      <c r="D897" s="9"/>
      <c r="E897" s="9"/>
      <c r="F897" s="9"/>
      <c r="G897" s="9"/>
    </row>
    <row r="898" spans="1:7" x14ac:dyDescent="0.3">
      <c r="A898" s="9"/>
      <c r="B898" s="9"/>
      <c r="C898" s="9"/>
      <c r="D898" s="9"/>
      <c r="E898" s="9"/>
      <c r="F898" s="9"/>
      <c r="G898" s="9"/>
    </row>
    <row r="899" spans="1:7" x14ac:dyDescent="0.3">
      <c r="A899" s="9"/>
      <c r="B899" s="9"/>
      <c r="C899" s="9"/>
      <c r="D899" s="9"/>
      <c r="E899" s="9"/>
      <c r="F899" s="9"/>
      <c r="G899" s="9"/>
    </row>
    <row r="900" spans="1:7" x14ac:dyDescent="0.3">
      <c r="A900" s="9"/>
      <c r="B900" s="9"/>
      <c r="C900" s="9"/>
      <c r="D900" s="9"/>
      <c r="E900" s="9"/>
      <c r="F900" s="9"/>
      <c r="G900" s="9"/>
    </row>
    <row r="901" spans="1:7" x14ac:dyDescent="0.3">
      <c r="A901" s="9"/>
      <c r="B901" s="9"/>
      <c r="C901" s="9"/>
      <c r="D901" s="9"/>
      <c r="E901" s="9"/>
      <c r="F901" s="9"/>
      <c r="G901" s="9"/>
    </row>
    <row r="902" spans="1:7" x14ac:dyDescent="0.3">
      <c r="A902" s="9"/>
      <c r="B902" s="9"/>
      <c r="C902" s="9"/>
      <c r="D902" s="9"/>
      <c r="E902" s="9"/>
      <c r="F902" s="9"/>
      <c r="G902" s="9"/>
    </row>
    <row r="903" spans="1:7" x14ac:dyDescent="0.3">
      <c r="A903" s="9"/>
      <c r="B903" s="9"/>
      <c r="C903" s="9"/>
      <c r="D903" s="9"/>
      <c r="E903" s="9"/>
      <c r="F903" s="9"/>
      <c r="G903" s="9"/>
    </row>
    <row r="904" spans="1:7" x14ac:dyDescent="0.3">
      <c r="A904" s="9"/>
      <c r="B904" s="9"/>
      <c r="C904" s="9"/>
      <c r="D904" s="9"/>
      <c r="E904" s="9"/>
      <c r="F904" s="9"/>
      <c r="G904" s="9"/>
    </row>
    <row r="905" spans="1:7" x14ac:dyDescent="0.3">
      <c r="A905" s="9"/>
      <c r="B905" s="9"/>
      <c r="C905" s="9"/>
      <c r="D905" s="9"/>
      <c r="E905" s="9"/>
      <c r="F905" s="9"/>
      <c r="G905" s="9"/>
    </row>
    <row r="906" spans="1:7" x14ac:dyDescent="0.3">
      <c r="A906" s="9"/>
      <c r="B906" s="9"/>
      <c r="C906" s="9"/>
      <c r="D906" s="9"/>
      <c r="E906" s="9"/>
      <c r="F906" s="9"/>
      <c r="G906" s="9"/>
    </row>
    <row r="907" spans="1:7" x14ac:dyDescent="0.3">
      <c r="A907" s="9"/>
      <c r="B907" s="9"/>
      <c r="C907" s="9"/>
      <c r="D907" s="9"/>
      <c r="E907" s="9"/>
      <c r="F907" s="9"/>
      <c r="G907" s="9"/>
    </row>
    <row r="908" spans="1:7" x14ac:dyDescent="0.3">
      <c r="A908" s="9"/>
      <c r="B908" s="9"/>
      <c r="C908" s="9"/>
      <c r="D908" s="9"/>
      <c r="E908" s="9"/>
      <c r="F908" s="9"/>
      <c r="G908" s="9"/>
    </row>
    <row r="909" spans="1:7" x14ac:dyDescent="0.3">
      <c r="A909" s="9"/>
      <c r="B909" s="9"/>
      <c r="C909" s="9"/>
      <c r="D909" s="9"/>
      <c r="E909" s="9"/>
      <c r="F909" s="9"/>
      <c r="G909" s="9"/>
    </row>
    <row r="910" spans="1:7" x14ac:dyDescent="0.3">
      <c r="A910" s="9"/>
      <c r="B910" s="9"/>
      <c r="C910" s="9"/>
      <c r="D910" s="9"/>
      <c r="E910" s="9"/>
      <c r="F910" s="9"/>
      <c r="G910" s="9"/>
    </row>
    <row r="911" spans="1:7" x14ac:dyDescent="0.3">
      <c r="A911" s="9"/>
      <c r="B911" s="9"/>
      <c r="C911" s="9"/>
      <c r="D911" s="9"/>
      <c r="E911" s="9"/>
      <c r="F911" s="9"/>
      <c r="G911" s="9"/>
    </row>
    <row r="912" spans="1:7" x14ac:dyDescent="0.3">
      <c r="A912" s="9"/>
      <c r="B912" s="9"/>
      <c r="C912" s="9"/>
      <c r="D912" s="9"/>
      <c r="E912" s="9"/>
      <c r="F912" s="9"/>
      <c r="G912" s="9"/>
    </row>
    <row r="913" spans="1:7" x14ac:dyDescent="0.3">
      <c r="A913" s="9"/>
      <c r="B913" s="9"/>
      <c r="C913" s="9"/>
      <c r="D913" s="9"/>
      <c r="E913" s="9"/>
      <c r="F913" s="9"/>
      <c r="G913" s="9"/>
    </row>
    <row r="914" spans="1:7" x14ac:dyDescent="0.3">
      <c r="A914" s="9"/>
      <c r="B914" s="9"/>
      <c r="C914" s="9"/>
      <c r="D914" s="9"/>
      <c r="E914" s="9"/>
      <c r="F914" s="9"/>
      <c r="G914" s="9"/>
    </row>
    <row r="915" spans="1:7" x14ac:dyDescent="0.3">
      <c r="A915" s="9"/>
      <c r="B915" s="9"/>
      <c r="C915" s="9"/>
      <c r="D915" s="9"/>
      <c r="E915" s="9"/>
      <c r="F915" s="9"/>
      <c r="G915" s="9"/>
    </row>
    <row r="916" spans="1:7" x14ac:dyDescent="0.3">
      <c r="A916" s="9"/>
      <c r="B916" s="9"/>
      <c r="C916" s="9"/>
      <c r="D916" s="9"/>
      <c r="E916" s="9"/>
      <c r="F916" s="9"/>
      <c r="G916" s="9"/>
    </row>
    <row r="917" spans="1:7" x14ac:dyDescent="0.3">
      <c r="A917" s="9"/>
      <c r="B917" s="9"/>
      <c r="C917" s="9"/>
      <c r="D917" s="9"/>
      <c r="E917" s="9"/>
      <c r="F917" s="9"/>
      <c r="G917" s="9"/>
    </row>
    <row r="918" spans="1:7" x14ac:dyDescent="0.3">
      <c r="A918" s="9"/>
      <c r="B918" s="9"/>
      <c r="C918" s="9"/>
      <c r="D918" s="9"/>
      <c r="E918" s="9"/>
      <c r="F918" s="9"/>
      <c r="G918" s="9"/>
    </row>
    <row r="919" spans="1:7" x14ac:dyDescent="0.3">
      <c r="A919" s="9"/>
      <c r="B919" s="9"/>
      <c r="C919" s="9"/>
      <c r="D919" s="9"/>
      <c r="E919" s="9"/>
      <c r="F919" s="9"/>
      <c r="G919" s="9"/>
    </row>
    <row r="920" spans="1:7" x14ac:dyDescent="0.3">
      <c r="A920" s="9"/>
      <c r="B920" s="9"/>
      <c r="C920" s="9"/>
      <c r="D920" s="9"/>
      <c r="E920" s="9"/>
      <c r="F920" s="9"/>
      <c r="G920" s="9"/>
    </row>
    <row r="921" spans="1:7" x14ac:dyDescent="0.3">
      <c r="A921" s="9"/>
      <c r="B921" s="9"/>
      <c r="C921" s="9"/>
      <c r="D921" s="9"/>
      <c r="E921" s="9"/>
      <c r="F921" s="9"/>
      <c r="G921" s="9"/>
    </row>
    <row r="922" spans="1:7" x14ac:dyDescent="0.3">
      <c r="A922" s="9"/>
      <c r="B922" s="9"/>
      <c r="C922" s="9"/>
      <c r="D922" s="9"/>
      <c r="E922" s="9"/>
      <c r="F922" s="9"/>
      <c r="G922" s="9"/>
    </row>
    <row r="923" spans="1:7" x14ac:dyDescent="0.3">
      <c r="A923" s="9"/>
      <c r="B923" s="9"/>
      <c r="C923" s="9"/>
      <c r="D923" s="9"/>
      <c r="E923" s="9"/>
      <c r="F923" s="9"/>
      <c r="G923" s="9"/>
    </row>
    <row r="924" spans="1:7" x14ac:dyDescent="0.3">
      <c r="A924" s="9"/>
      <c r="B924" s="9"/>
      <c r="C924" s="9"/>
      <c r="D924" s="9"/>
      <c r="E924" s="9"/>
      <c r="F924" s="9"/>
      <c r="G924" s="9"/>
    </row>
    <row r="925" spans="1:7" x14ac:dyDescent="0.3">
      <c r="A925" s="9"/>
      <c r="B925" s="9"/>
      <c r="C925" s="9"/>
      <c r="D925" s="9"/>
      <c r="E925" s="9"/>
      <c r="F925" s="9"/>
      <c r="G925" s="9"/>
    </row>
    <row r="926" spans="1:7" x14ac:dyDescent="0.3">
      <c r="A926" s="9"/>
      <c r="B926" s="9"/>
      <c r="C926" s="9"/>
      <c r="D926" s="9"/>
      <c r="E926" s="9"/>
      <c r="F926" s="9"/>
      <c r="G926" s="9"/>
    </row>
    <row r="927" spans="1:7" x14ac:dyDescent="0.3">
      <c r="A927" s="9"/>
      <c r="B927" s="9"/>
      <c r="C927" s="9"/>
      <c r="D927" s="9"/>
      <c r="E927" s="9"/>
      <c r="F927" s="9"/>
      <c r="G927" s="9"/>
    </row>
    <row r="928" spans="1:7" x14ac:dyDescent="0.3">
      <c r="A928" s="9"/>
      <c r="B928" s="9"/>
      <c r="C928" s="9"/>
      <c r="D928" s="9"/>
      <c r="E928" s="9"/>
      <c r="F928" s="9"/>
      <c r="G928" s="9"/>
    </row>
    <row r="929" spans="1:7" x14ac:dyDescent="0.3">
      <c r="A929" s="9"/>
      <c r="B929" s="9"/>
      <c r="C929" s="9"/>
      <c r="D929" s="9"/>
      <c r="E929" s="9"/>
      <c r="F929" s="9"/>
      <c r="G929" s="9"/>
    </row>
    <row r="930" spans="1:7" x14ac:dyDescent="0.3">
      <c r="A930" s="9"/>
      <c r="B930" s="9"/>
      <c r="C930" s="9"/>
      <c r="D930" s="9"/>
      <c r="E930" s="9"/>
      <c r="F930" s="9"/>
      <c r="G930" s="9"/>
    </row>
    <row r="931" spans="1:7" x14ac:dyDescent="0.3">
      <c r="A931" s="9"/>
      <c r="B931" s="9"/>
      <c r="C931" s="9"/>
      <c r="D931" s="9"/>
      <c r="E931" s="9"/>
      <c r="F931" s="9"/>
      <c r="G931" s="9"/>
    </row>
    <row r="932" spans="1:7" x14ac:dyDescent="0.3">
      <c r="A932" s="9"/>
      <c r="B932" s="9"/>
      <c r="C932" s="9"/>
      <c r="D932" s="9"/>
      <c r="E932" s="9"/>
      <c r="F932" s="9"/>
      <c r="G932" s="9"/>
    </row>
    <row r="933" spans="1:7" x14ac:dyDescent="0.3">
      <c r="A933" s="9"/>
      <c r="B933" s="9"/>
      <c r="C933" s="9"/>
      <c r="D933" s="9"/>
      <c r="E933" s="9"/>
      <c r="F933" s="9"/>
      <c r="G933" s="9"/>
    </row>
    <row r="934" spans="1:7" x14ac:dyDescent="0.3">
      <c r="A934" s="9"/>
      <c r="B934" s="9"/>
      <c r="C934" s="9"/>
      <c r="D934" s="9"/>
      <c r="E934" s="9"/>
      <c r="F934" s="9"/>
      <c r="G934" s="9"/>
    </row>
    <row r="935" spans="1:7" x14ac:dyDescent="0.3">
      <c r="A935" s="9"/>
      <c r="B935" s="9"/>
      <c r="C935" s="9"/>
      <c r="D935" s="9"/>
      <c r="E935" s="9"/>
      <c r="F935" s="9"/>
      <c r="G935" s="9"/>
    </row>
    <row r="936" spans="1:7" x14ac:dyDescent="0.3">
      <c r="A936" s="9"/>
      <c r="B936" s="9"/>
      <c r="C936" s="9"/>
      <c r="D936" s="9"/>
      <c r="E936" s="9"/>
      <c r="F936" s="9"/>
      <c r="G936" s="9"/>
    </row>
    <row r="937" spans="1:7" x14ac:dyDescent="0.3">
      <c r="A937" s="9"/>
      <c r="B937" s="9"/>
      <c r="C937" s="9"/>
      <c r="D937" s="9"/>
      <c r="E937" s="9"/>
      <c r="F937" s="9"/>
      <c r="G937" s="9"/>
    </row>
    <row r="938" spans="1:7" x14ac:dyDescent="0.3">
      <c r="A938" s="9"/>
      <c r="B938" s="9"/>
      <c r="C938" s="9"/>
      <c r="D938" s="9"/>
      <c r="E938" s="9"/>
      <c r="F938" s="9"/>
      <c r="G938" s="9"/>
    </row>
    <row r="939" spans="1:7" x14ac:dyDescent="0.3">
      <c r="A939" s="9"/>
      <c r="B939" s="9"/>
      <c r="C939" s="9"/>
      <c r="D939" s="9"/>
      <c r="E939" s="9"/>
      <c r="F939" s="9"/>
      <c r="G939" s="9"/>
    </row>
    <row r="940" spans="1:7" x14ac:dyDescent="0.3">
      <c r="A940" s="9"/>
      <c r="B940" s="9"/>
      <c r="C940" s="9"/>
      <c r="D940" s="9"/>
      <c r="E940" s="9"/>
      <c r="F940" s="9"/>
      <c r="G940" s="9"/>
    </row>
    <row r="941" spans="1:7" x14ac:dyDescent="0.3">
      <c r="A941" s="9"/>
      <c r="B941" s="9"/>
      <c r="C941" s="9"/>
      <c r="D941" s="9"/>
      <c r="E941" s="9"/>
      <c r="F941" s="9"/>
      <c r="G941" s="9"/>
    </row>
    <row r="942" spans="1:7" x14ac:dyDescent="0.3">
      <c r="A942" s="9"/>
      <c r="B942" s="9"/>
      <c r="C942" s="9"/>
      <c r="D942" s="9"/>
      <c r="E942" s="9"/>
      <c r="F942" s="9"/>
      <c r="G942" s="9"/>
    </row>
    <row r="943" spans="1:7" x14ac:dyDescent="0.3">
      <c r="A943" s="9"/>
      <c r="B943" s="9"/>
      <c r="C943" s="9"/>
      <c r="D943" s="9"/>
      <c r="E943" s="9"/>
      <c r="F943" s="9"/>
      <c r="G943" s="9"/>
    </row>
    <row r="944" spans="1:7" x14ac:dyDescent="0.3">
      <c r="A944" s="9"/>
      <c r="B944" s="9"/>
      <c r="C944" s="9"/>
      <c r="D944" s="9"/>
      <c r="E944" s="9"/>
      <c r="F944" s="9"/>
      <c r="G944" s="9"/>
    </row>
    <row r="945" spans="1:7" x14ac:dyDescent="0.3">
      <c r="A945" s="9"/>
      <c r="B945" s="9"/>
      <c r="C945" s="9"/>
      <c r="D945" s="9"/>
      <c r="E945" s="9"/>
      <c r="F945" s="9"/>
      <c r="G945" s="9"/>
    </row>
    <row r="946" spans="1:7" x14ac:dyDescent="0.3">
      <c r="A946" s="9"/>
      <c r="B946" s="9"/>
      <c r="C946" s="9"/>
      <c r="D946" s="9"/>
      <c r="E946" s="9"/>
      <c r="F946" s="9"/>
      <c r="G946" s="9"/>
    </row>
    <row r="947" spans="1:7" x14ac:dyDescent="0.3">
      <c r="A947" s="9"/>
      <c r="B947" s="9"/>
      <c r="C947" s="9"/>
      <c r="D947" s="9"/>
      <c r="E947" s="9"/>
      <c r="F947" s="9"/>
      <c r="G947" s="9"/>
    </row>
    <row r="948" spans="1:7" x14ac:dyDescent="0.3">
      <c r="A948" s="9"/>
      <c r="B948" s="9"/>
      <c r="C948" s="9"/>
      <c r="D948" s="9"/>
      <c r="E948" s="9"/>
      <c r="F948" s="9"/>
      <c r="G948" s="9"/>
    </row>
    <row r="949" spans="1:7" x14ac:dyDescent="0.3">
      <c r="A949" s="9"/>
      <c r="B949" s="9"/>
      <c r="C949" s="9"/>
      <c r="D949" s="9"/>
      <c r="E949" s="9"/>
      <c r="F949" s="9"/>
      <c r="G949" s="9"/>
    </row>
    <row r="950" spans="1:7" x14ac:dyDescent="0.3">
      <c r="A950" s="9"/>
      <c r="B950" s="9"/>
      <c r="C950" s="9"/>
      <c r="D950" s="9"/>
      <c r="E950" s="9"/>
      <c r="F950" s="9"/>
      <c r="G950" s="9"/>
    </row>
    <row r="951" spans="1:7" x14ac:dyDescent="0.3">
      <c r="A951" s="9"/>
      <c r="B951" s="9"/>
      <c r="C951" s="9"/>
      <c r="D951" s="9"/>
      <c r="E951" s="9"/>
      <c r="F951" s="9"/>
      <c r="G951" s="9"/>
    </row>
    <row r="952" spans="1:7" x14ac:dyDescent="0.3">
      <c r="A952" s="9"/>
      <c r="B952" s="9"/>
      <c r="C952" s="9"/>
      <c r="D952" s="9"/>
      <c r="E952" s="9"/>
      <c r="F952" s="9"/>
      <c r="G952" s="9"/>
    </row>
    <row r="953" spans="1:7" x14ac:dyDescent="0.3">
      <c r="A953" s="9"/>
      <c r="B953" s="9"/>
      <c r="C953" s="9"/>
      <c r="D953" s="9"/>
      <c r="E953" s="9"/>
      <c r="F953" s="9"/>
      <c r="G953" s="9"/>
    </row>
    <row r="954" spans="1:7" x14ac:dyDescent="0.3">
      <c r="A954" s="9"/>
      <c r="B954" s="9"/>
      <c r="C954" s="9"/>
      <c r="D954" s="9"/>
      <c r="E954" s="9"/>
      <c r="F954" s="9"/>
      <c r="G954" s="9"/>
    </row>
    <row r="955" spans="1:7" x14ac:dyDescent="0.3">
      <c r="A955" s="9"/>
      <c r="B955" s="9"/>
      <c r="C955" s="9"/>
      <c r="D955" s="9"/>
      <c r="E955" s="9"/>
      <c r="F955" s="9"/>
      <c r="G955" s="9"/>
    </row>
    <row r="956" spans="1:7" x14ac:dyDescent="0.3">
      <c r="A956" s="9"/>
      <c r="B956" s="9"/>
      <c r="C956" s="9"/>
      <c r="D956" s="9"/>
      <c r="E956" s="9"/>
      <c r="F956" s="9"/>
      <c r="G956" s="9"/>
    </row>
    <row r="957" spans="1:7" x14ac:dyDescent="0.3">
      <c r="A957" s="9"/>
      <c r="B957" s="9"/>
      <c r="C957" s="9"/>
      <c r="D957" s="9"/>
      <c r="E957" s="9"/>
      <c r="F957" s="9"/>
      <c r="G957" s="9"/>
    </row>
    <row r="958" spans="1:7" x14ac:dyDescent="0.3">
      <c r="A958" s="9"/>
      <c r="B958" s="9"/>
      <c r="C958" s="9"/>
      <c r="D958" s="9"/>
      <c r="E958" s="9"/>
      <c r="F958" s="9"/>
      <c r="G958" s="9"/>
    </row>
    <row r="959" spans="1:7" x14ac:dyDescent="0.3">
      <c r="A959" s="9"/>
      <c r="B959" s="9"/>
      <c r="C959" s="9"/>
      <c r="D959" s="9"/>
      <c r="E959" s="9"/>
      <c r="F959" s="9"/>
      <c r="G959" s="9"/>
    </row>
    <row r="960" spans="1:7" x14ac:dyDescent="0.3">
      <c r="A960" s="9"/>
      <c r="B960" s="9"/>
      <c r="C960" s="9"/>
      <c r="D960" s="9"/>
      <c r="E960" s="9"/>
      <c r="F960" s="9"/>
      <c r="G960" s="9"/>
    </row>
    <row r="961" spans="1:7" x14ac:dyDescent="0.3">
      <c r="A961" s="9"/>
      <c r="B961" s="9"/>
      <c r="C961" s="9"/>
      <c r="D961" s="9"/>
      <c r="E961" s="9"/>
      <c r="F961" s="9"/>
      <c r="G961" s="9"/>
    </row>
    <row r="962" spans="1:7" x14ac:dyDescent="0.3">
      <c r="A962" s="9"/>
      <c r="B962" s="9"/>
      <c r="C962" s="9"/>
      <c r="D962" s="9"/>
      <c r="E962" s="9"/>
      <c r="F962" s="9"/>
      <c r="G962" s="9"/>
    </row>
    <row r="963" spans="1:7" x14ac:dyDescent="0.3">
      <c r="A963" s="9"/>
      <c r="B963" s="9"/>
      <c r="C963" s="9"/>
      <c r="D963" s="9"/>
      <c r="E963" s="9"/>
      <c r="F963" s="9"/>
      <c r="G963" s="9"/>
    </row>
    <row r="964" spans="1:7" x14ac:dyDescent="0.3">
      <c r="A964" s="9"/>
      <c r="B964" s="9"/>
      <c r="C964" s="9"/>
      <c r="D964" s="9"/>
      <c r="E964" s="9"/>
      <c r="F964" s="9"/>
      <c r="G964" s="9"/>
    </row>
    <row r="965" spans="1:7" x14ac:dyDescent="0.3">
      <c r="A965" s="9"/>
      <c r="B965" s="9"/>
      <c r="C965" s="9"/>
      <c r="D965" s="9"/>
      <c r="E965" s="9"/>
      <c r="F965" s="9"/>
      <c r="G965" s="9"/>
    </row>
    <row r="966" spans="1:7" x14ac:dyDescent="0.3">
      <c r="A966" s="9"/>
      <c r="B966" s="9"/>
      <c r="C966" s="9"/>
      <c r="D966" s="9"/>
      <c r="E966" s="9"/>
      <c r="F966" s="9"/>
      <c r="G966" s="9"/>
    </row>
    <row r="967" spans="1:7" x14ac:dyDescent="0.3">
      <c r="A967" s="9"/>
      <c r="B967" s="9"/>
      <c r="C967" s="9"/>
      <c r="D967" s="9"/>
      <c r="E967" s="9"/>
      <c r="F967" s="9"/>
      <c r="G967" s="9"/>
    </row>
    <row r="968" spans="1:7" x14ac:dyDescent="0.3">
      <c r="A968" s="9"/>
      <c r="B968" s="9"/>
      <c r="C968" s="9"/>
      <c r="D968" s="9"/>
      <c r="E968" s="9"/>
      <c r="F968" s="9"/>
      <c r="G968" s="9"/>
    </row>
    <row r="969" spans="1:7" x14ac:dyDescent="0.3">
      <c r="A969" s="9"/>
      <c r="B969" s="9"/>
      <c r="C969" s="9"/>
      <c r="D969" s="9"/>
      <c r="E969" s="9"/>
      <c r="F969" s="9"/>
      <c r="G969" s="9"/>
    </row>
    <row r="970" spans="1:7" x14ac:dyDescent="0.3">
      <c r="A970" s="9"/>
      <c r="B970" s="9"/>
      <c r="C970" s="9"/>
      <c r="D970" s="9"/>
      <c r="E970" s="9"/>
      <c r="F970" s="9"/>
      <c r="G970" s="9"/>
    </row>
    <row r="971" spans="1:7" x14ac:dyDescent="0.3">
      <c r="A971" s="9"/>
      <c r="B971" s="9"/>
      <c r="C971" s="9"/>
      <c r="D971" s="9"/>
      <c r="E971" s="9"/>
      <c r="F971" s="9"/>
      <c r="G971" s="9"/>
    </row>
    <row r="972" spans="1:7" x14ac:dyDescent="0.3">
      <c r="A972" s="9"/>
      <c r="B972" s="9"/>
      <c r="C972" s="9"/>
      <c r="D972" s="9"/>
      <c r="E972" s="9"/>
      <c r="F972" s="9"/>
      <c r="G972" s="9"/>
    </row>
    <row r="973" spans="1:7" x14ac:dyDescent="0.3">
      <c r="A973" s="9"/>
      <c r="B973" s="9"/>
      <c r="C973" s="9"/>
      <c r="D973" s="9"/>
      <c r="E973" s="9"/>
      <c r="F973" s="9"/>
      <c r="G973" s="9"/>
    </row>
    <row r="974" spans="1:7" x14ac:dyDescent="0.3">
      <c r="A974" s="9"/>
      <c r="B974" s="9"/>
      <c r="C974" s="9"/>
      <c r="D974" s="9"/>
      <c r="E974" s="9"/>
      <c r="F974" s="9"/>
      <c r="G974" s="9"/>
    </row>
    <row r="975" spans="1:7" x14ac:dyDescent="0.3">
      <c r="A975" s="9"/>
      <c r="B975" s="9"/>
      <c r="C975" s="9"/>
      <c r="D975" s="9"/>
      <c r="E975" s="9"/>
      <c r="F975" s="9"/>
      <c r="G975" s="9"/>
    </row>
    <row r="976" spans="1:7" x14ac:dyDescent="0.3">
      <c r="A976" s="9"/>
      <c r="B976" s="9"/>
      <c r="C976" s="9"/>
      <c r="D976" s="9"/>
      <c r="E976" s="9"/>
      <c r="F976" s="9"/>
      <c r="G976" s="9"/>
    </row>
    <row r="977" spans="1:7" x14ac:dyDescent="0.3">
      <c r="A977" s="9"/>
      <c r="B977" s="9"/>
      <c r="C977" s="9"/>
      <c r="D977" s="9"/>
      <c r="E977" s="9"/>
      <c r="F977" s="9"/>
      <c r="G977" s="9"/>
    </row>
    <row r="978" spans="1:7" x14ac:dyDescent="0.3">
      <c r="A978" s="9"/>
      <c r="B978" s="9"/>
      <c r="C978" s="9"/>
      <c r="D978" s="9"/>
      <c r="E978" s="9"/>
      <c r="F978" s="9"/>
      <c r="G978" s="9"/>
    </row>
    <row r="979" spans="1:7" x14ac:dyDescent="0.3">
      <c r="A979" s="9"/>
      <c r="B979" s="9"/>
      <c r="C979" s="9"/>
      <c r="D979" s="9"/>
      <c r="E979" s="9"/>
      <c r="F979" s="9"/>
      <c r="G979" s="9"/>
    </row>
    <row r="980" spans="1:7" x14ac:dyDescent="0.3">
      <c r="A980" s="9"/>
      <c r="B980" s="9"/>
      <c r="C980" s="9"/>
      <c r="D980" s="9"/>
      <c r="E980" s="9"/>
      <c r="F980" s="9"/>
      <c r="G980" s="9"/>
    </row>
    <row r="981" spans="1:7" x14ac:dyDescent="0.3">
      <c r="A981" s="9"/>
      <c r="B981" s="9"/>
      <c r="C981" s="9"/>
      <c r="D981" s="9"/>
      <c r="E981" s="9"/>
      <c r="F981" s="9"/>
      <c r="G981" s="9"/>
    </row>
    <row r="982" spans="1:7" x14ac:dyDescent="0.3">
      <c r="A982" s="9"/>
      <c r="B982" s="9"/>
      <c r="C982" s="9"/>
      <c r="D982" s="9"/>
      <c r="E982" s="9"/>
      <c r="F982" s="9"/>
      <c r="G982" s="9"/>
    </row>
    <row r="983" spans="1:7" x14ac:dyDescent="0.3">
      <c r="A983" s="9"/>
      <c r="B983" s="9"/>
      <c r="C983" s="9"/>
      <c r="D983" s="9"/>
      <c r="E983" s="9"/>
      <c r="F983" s="9"/>
      <c r="G983" s="9"/>
    </row>
    <row r="984" spans="1:7" x14ac:dyDescent="0.3">
      <c r="A984" s="9"/>
      <c r="B984" s="9"/>
      <c r="C984" s="9"/>
      <c r="D984" s="9"/>
      <c r="E984" s="9"/>
      <c r="F984" s="9"/>
      <c r="G984" s="9"/>
    </row>
    <row r="985" spans="1:7" x14ac:dyDescent="0.3">
      <c r="A985" s="9"/>
      <c r="B985" s="9"/>
      <c r="C985" s="9"/>
      <c r="D985" s="9"/>
      <c r="E985" s="9"/>
      <c r="F985" s="9"/>
      <c r="G985" s="9"/>
    </row>
    <row r="986" spans="1:7" x14ac:dyDescent="0.3">
      <c r="A986" s="9"/>
      <c r="B986" s="9"/>
      <c r="C986" s="9"/>
      <c r="D986" s="9"/>
      <c r="E986" s="9"/>
      <c r="F986" s="9"/>
      <c r="G986" s="9"/>
    </row>
    <row r="987" spans="1:7" x14ac:dyDescent="0.3">
      <c r="A987" s="9"/>
      <c r="B987" s="9"/>
      <c r="C987" s="9"/>
      <c r="D987" s="9"/>
      <c r="E987" s="9"/>
      <c r="F987" s="9"/>
      <c r="G987" s="9"/>
    </row>
    <row r="988" spans="1:7" x14ac:dyDescent="0.3">
      <c r="A988" s="9"/>
      <c r="B988" s="9"/>
      <c r="C988" s="9"/>
      <c r="D988" s="9"/>
      <c r="E988" s="9"/>
      <c r="F988" s="9"/>
      <c r="G988" s="9"/>
    </row>
    <row r="989" spans="1:7" x14ac:dyDescent="0.3">
      <c r="A989" s="9"/>
      <c r="B989" s="9"/>
      <c r="C989" s="9"/>
      <c r="D989" s="9"/>
      <c r="E989" s="9"/>
      <c r="F989" s="9"/>
      <c r="G989" s="9"/>
    </row>
    <row r="990" spans="1:7" x14ac:dyDescent="0.3">
      <c r="A990" s="9"/>
      <c r="B990" s="9"/>
      <c r="C990" s="9"/>
      <c r="D990" s="9"/>
      <c r="E990" s="9"/>
      <c r="F990" s="9"/>
      <c r="G990" s="9"/>
    </row>
    <row r="991" spans="1:7" x14ac:dyDescent="0.3">
      <c r="A991" s="9"/>
      <c r="B991" s="9"/>
      <c r="C991" s="9"/>
      <c r="D991" s="9"/>
      <c r="E991" s="9"/>
      <c r="F991" s="9"/>
      <c r="G991" s="9"/>
    </row>
    <row r="992" spans="1:7" x14ac:dyDescent="0.3">
      <c r="A992" s="9"/>
      <c r="B992" s="9"/>
      <c r="C992" s="9"/>
      <c r="D992" s="9"/>
      <c r="E992" s="9"/>
      <c r="F992" s="9"/>
      <c r="G992" s="9"/>
    </row>
    <row r="993" spans="1:7" x14ac:dyDescent="0.3">
      <c r="A993" s="9"/>
      <c r="B993" s="9"/>
      <c r="C993" s="9"/>
      <c r="D993" s="9"/>
      <c r="E993" s="9"/>
      <c r="F993" s="9"/>
      <c r="G993" s="9"/>
    </row>
    <row r="994" spans="1:7" x14ac:dyDescent="0.3">
      <c r="A994" s="9"/>
      <c r="B994" s="9"/>
      <c r="C994" s="9"/>
      <c r="D994" s="9"/>
      <c r="E994" s="9"/>
      <c r="F994" s="9"/>
      <c r="G994" s="9"/>
    </row>
    <row r="995" spans="1:7" x14ac:dyDescent="0.3">
      <c r="A995" s="9"/>
      <c r="B995" s="9"/>
      <c r="C995" s="9"/>
      <c r="D995" s="9"/>
      <c r="E995" s="9"/>
      <c r="F995" s="9"/>
      <c r="G995" s="9"/>
    </row>
    <row r="996" spans="1:7" x14ac:dyDescent="0.3">
      <c r="A996" s="9"/>
      <c r="B996" s="9"/>
      <c r="C996" s="9"/>
      <c r="D996" s="9"/>
      <c r="E996" s="9"/>
      <c r="F996" s="9"/>
      <c r="G996" s="9"/>
    </row>
    <row r="997" spans="1:7" x14ac:dyDescent="0.3">
      <c r="A997" s="9"/>
      <c r="B997" s="9"/>
      <c r="C997" s="9"/>
      <c r="D997" s="9"/>
      <c r="E997" s="9"/>
      <c r="F997" s="9"/>
      <c r="G997" s="9"/>
    </row>
    <row r="998" spans="1:7" x14ac:dyDescent="0.3">
      <c r="A998" s="9"/>
      <c r="B998" s="9"/>
      <c r="C998" s="9"/>
      <c r="D998" s="9"/>
      <c r="E998" s="9"/>
      <c r="F998" s="9"/>
      <c r="G998" s="9"/>
    </row>
    <row r="999" spans="1:7" x14ac:dyDescent="0.3">
      <c r="A999" s="9"/>
      <c r="B999" s="9"/>
      <c r="C999" s="9"/>
      <c r="D999" s="9"/>
      <c r="E999" s="9"/>
      <c r="F999" s="9"/>
      <c r="G999" s="9"/>
    </row>
    <row r="1000" spans="1:7" x14ac:dyDescent="0.3">
      <c r="A1000" s="9"/>
      <c r="B1000" s="9"/>
      <c r="C1000" s="9"/>
      <c r="D1000" s="9"/>
      <c r="E1000" s="9"/>
      <c r="F1000" s="9"/>
      <c r="G1000" s="9"/>
    </row>
    <row r="1001" spans="1:7" x14ac:dyDescent="0.3">
      <c r="A1001" s="9"/>
      <c r="B1001" s="9"/>
      <c r="C1001" s="9"/>
      <c r="D1001" s="9"/>
      <c r="E1001" s="9"/>
      <c r="F1001" s="9"/>
      <c r="G1001" s="9"/>
    </row>
    <row r="1002" spans="1:7" x14ac:dyDescent="0.3">
      <c r="A1002" s="9"/>
      <c r="B1002" s="9"/>
      <c r="C1002" s="9"/>
      <c r="D1002" s="9"/>
      <c r="E1002" s="9"/>
      <c r="F1002" s="9"/>
      <c r="G1002" s="9"/>
    </row>
    <row r="1003" spans="1:7" x14ac:dyDescent="0.3">
      <c r="A1003" s="9"/>
      <c r="B1003" s="9"/>
      <c r="C1003" s="9"/>
      <c r="D1003" s="9"/>
      <c r="E1003" s="9"/>
      <c r="F1003" s="9"/>
      <c r="G1003" s="9"/>
    </row>
    <row r="1004" spans="1:7" x14ac:dyDescent="0.3">
      <c r="A1004" s="9"/>
      <c r="B1004" s="9"/>
      <c r="C1004" s="9"/>
      <c r="D1004" s="9"/>
      <c r="E1004" s="9"/>
      <c r="F1004" s="9"/>
      <c r="G1004" s="9"/>
    </row>
    <row r="1005" spans="1:7" x14ac:dyDescent="0.3">
      <c r="A1005" s="9"/>
      <c r="B1005" s="9"/>
      <c r="C1005" s="9"/>
      <c r="D1005" s="9"/>
      <c r="E1005" s="9"/>
      <c r="F1005" s="9"/>
      <c r="G1005" s="9"/>
    </row>
    <row r="1006" spans="1:7" x14ac:dyDescent="0.3">
      <c r="A1006" s="9"/>
      <c r="B1006" s="9"/>
      <c r="C1006" s="9"/>
      <c r="D1006" s="9"/>
      <c r="E1006" s="9"/>
      <c r="F1006" s="9"/>
      <c r="G1006" s="9"/>
    </row>
    <row r="1007" spans="1:7" x14ac:dyDescent="0.3">
      <c r="A1007" s="9"/>
      <c r="B1007" s="9"/>
      <c r="C1007" s="9"/>
      <c r="D1007" s="9"/>
      <c r="E1007" s="9"/>
      <c r="F1007" s="9"/>
      <c r="G1007" s="9"/>
    </row>
    <row r="1008" spans="1:7" x14ac:dyDescent="0.3">
      <c r="A1008" s="9"/>
      <c r="B1008" s="9"/>
      <c r="C1008" s="9"/>
      <c r="D1008" s="9"/>
      <c r="E1008" s="9"/>
      <c r="F1008" s="9"/>
      <c r="G1008" s="9"/>
    </row>
    <row r="1009" spans="1:7" x14ac:dyDescent="0.3">
      <c r="A1009" s="9"/>
      <c r="B1009" s="9"/>
      <c r="C1009" s="9"/>
      <c r="D1009" s="9"/>
      <c r="E1009" s="9"/>
      <c r="F1009" s="9"/>
      <c r="G1009" s="9"/>
    </row>
    <row r="1010" spans="1:7" x14ac:dyDescent="0.3">
      <c r="A1010" s="9"/>
      <c r="B1010" s="9"/>
      <c r="C1010" s="9"/>
      <c r="D1010" s="9"/>
      <c r="E1010" s="9"/>
      <c r="F1010" s="9"/>
      <c r="G1010" s="9"/>
    </row>
    <row r="1011" spans="1:7" x14ac:dyDescent="0.3">
      <c r="A1011" s="9"/>
      <c r="B1011" s="9"/>
      <c r="C1011" s="9"/>
      <c r="D1011" s="9"/>
      <c r="E1011" s="9"/>
      <c r="F1011" s="9"/>
      <c r="G1011" s="9"/>
    </row>
    <row r="1012" spans="1:7" x14ac:dyDescent="0.3">
      <c r="A1012" s="9"/>
      <c r="B1012" s="9"/>
      <c r="C1012" s="9"/>
      <c r="D1012" s="9"/>
      <c r="E1012" s="9"/>
      <c r="F1012" s="9"/>
      <c r="G1012" s="9"/>
    </row>
    <row r="1013" spans="1:7" x14ac:dyDescent="0.3">
      <c r="A1013" s="9"/>
      <c r="B1013" s="9"/>
      <c r="C1013" s="9"/>
      <c r="D1013" s="9"/>
      <c r="E1013" s="9"/>
      <c r="F1013" s="9"/>
      <c r="G1013" s="9"/>
    </row>
    <row r="1014" spans="1:7" x14ac:dyDescent="0.3">
      <c r="A1014" s="9"/>
      <c r="B1014" s="9"/>
      <c r="C1014" s="9"/>
      <c r="D1014" s="9"/>
      <c r="E1014" s="9"/>
      <c r="F1014" s="9"/>
      <c r="G1014" s="9"/>
    </row>
    <row r="1015" spans="1:7" x14ac:dyDescent="0.3">
      <c r="A1015" s="9"/>
      <c r="B1015" s="9"/>
      <c r="C1015" s="9"/>
      <c r="D1015" s="9"/>
      <c r="E1015" s="9"/>
      <c r="F1015" s="9"/>
      <c r="G1015" s="9"/>
    </row>
    <row r="1016" spans="1:7" x14ac:dyDescent="0.3">
      <c r="A1016" s="9"/>
      <c r="B1016" s="9"/>
      <c r="C1016" s="9"/>
      <c r="D1016" s="9"/>
      <c r="E1016" s="9"/>
      <c r="F1016" s="9"/>
      <c r="G1016" s="9"/>
    </row>
    <row r="1017" spans="1:7" x14ac:dyDescent="0.3">
      <c r="A1017" s="9"/>
      <c r="B1017" s="9"/>
      <c r="C1017" s="9"/>
      <c r="D1017" s="9"/>
      <c r="E1017" s="9"/>
      <c r="F1017" s="9"/>
      <c r="G1017" s="9"/>
    </row>
    <row r="1018" spans="1:7" x14ac:dyDescent="0.3">
      <c r="A1018" s="9"/>
      <c r="B1018" s="9"/>
      <c r="C1018" s="9"/>
      <c r="D1018" s="9"/>
      <c r="E1018" s="9"/>
      <c r="F1018" s="9"/>
      <c r="G1018" s="9"/>
    </row>
    <row r="1019" spans="1:7" x14ac:dyDescent="0.3">
      <c r="A1019" s="9"/>
      <c r="B1019" s="9"/>
      <c r="C1019" s="9"/>
      <c r="D1019" s="9"/>
      <c r="E1019" s="9"/>
      <c r="F1019" s="9"/>
      <c r="G1019" s="9"/>
    </row>
    <row r="1020" spans="1:7" x14ac:dyDescent="0.3">
      <c r="A1020" s="9"/>
      <c r="B1020" s="9"/>
      <c r="C1020" s="9"/>
      <c r="D1020" s="9"/>
      <c r="E1020" s="9"/>
      <c r="F1020" s="9"/>
      <c r="G1020" s="9"/>
    </row>
    <row r="1021" spans="1:7" x14ac:dyDescent="0.3">
      <c r="A1021" s="9"/>
      <c r="B1021" s="9"/>
      <c r="C1021" s="9"/>
      <c r="D1021" s="9"/>
      <c r="E1021" s="9"/>
      <c r="F1021" s="9"/>
      <c r="G1021" s="9"/>
    </row>
    <row r="1022" spans="1:7" x14ac:dyDescent="0.3">
      <c r="A1022" s="9"/>
      <c r="B1022" s="9"/>
      <c r="C1022" s="9"/>
      <c r="D1022" s="9"/>
      <c r="E1022" s="9"/>
      <c r="F1022" s="9"/>
      <c r="G1022" s="9"/>
    </row>
    <row r="1023" spans="1:7" x14ac:dyDescent="0.3">
      <c r="A1023" s="9"/>
      <c r="B1023" s="9"/>
      <c r="C1023" s="9"/>
      <c r="D1023" s="9"/>
      <c r="E1023" s="9"/>
      <c r="F1023" s="9"/>
      <c r="G1023" s="9"/>
    </row>
    <row r="1024" spans="1:7" x14ac:dyDescent="0.3">
      <c r="A1024" s="9"/>
      <c r="B1024" s="9"/>
      <c r="C1024" s="9"/>
      <c r="D1024" s="9"/>
      <c r="E1024" s="9"/>
      <c r="F1024" s="9"/>
      <c r="G1024" s="9"/>
    </row>
    <row r="1025" spans="1:7" x14ac:dyDescent="0.3">
      <c r="A1025" s="9"/>
      <c r="B1025" s="9"/>
      <c r="C1025" s="9"/>
      <c r="D1025" s="9"/>
      <c r="E1025" s="9"/>
      <c r="F1025" s="9"/>
      <c r="G1025" s="9"/>
    </row>
    <row r="1026" spans="1:7" x14ac:dyDescent="0.3">
      <c r="A1026" s="9"/>
      <c r="B1026" s="9"/>
      <c r="C1026" s="9"/>
      <c r="D1026" s="9"/>
      <c r="E1026" s="9"/>
      <c r="F1026" s="9"/>
      <c r="G1026" s="9"/>
    </row>
    <row r="1027" spans="1:7" x14ac:dyDescent="0.3">
      <c r="A1027" s="9"/>
      <c r="B1027" s="9"/>
      <c r="C1027" s="9"/>
      <c r="D1027" s="9"/>
      <c r="E1027" s="9"/>
      <c r="F1027" s="9"/>
      <c r="G1027" s="9"/>
    </row>
    <row r="1028" spans="1:7" x14ac:dyDescent="0.3">
      <c r="A1028" s="9"/>
      <c r="B1028" s="9"/>
      <c r="C1028" s="9"/>
      <c r="D1028" s="9"/>
      <c r="E1028" s="9"/>
      <c r="F1028" s="9"/>
      <c r="G1028" s="9"/>
    </row>
    <row r="1029" spans="1:7" x14ac:dyDescent="0.3">
      <c r="A1029" s="9"/>
      <c r="B1029" s="9"/>
      <c r="C1029" s="9"/>
      <c r="D1029" s="9"/>
      <c r="E1029" s="9"/>
      <c r="F1029" s="9"/>
      <c r="G1029" s="9"/>
    </row>
    <row r="1030" spans="1:7" x14ac:dyDescent="0.3">
      <c r="A1030" s="9"/>
      <c r="B1030" s="9"/>
      <c r="C1030" s="9"/>
      <c r="D1030" s="9"/>
      <c r="E1030" s="9"/>
      <c r="F1030" s="9"/>
      <c r="G1030" s="9"/>
    </row>
    <row r="1031" spans="1:7" x14ac:dyDescent="0.3">
      <c r="A1031" s="9"/>
      <c r="B1031" s="9"/>
      <c r="C1031" s="9"/>
      <c r="D1031" s="9"/>
      <c r="E1031" s="9"/>
      <c r="F1031" s="9"/>
      <c r="G1031" s="9"/>
    </row>
    <row r="1032" spans="1:7" x14ac:dyDescent="0.3">
      <c r="A1032" s="9"/>
      <c r="B1032" s="9"/>
      <c r="C1032" s="9"/>
      <c r="D1032" s="9"/>
      <c r="E1032" s="9"/>
      <c r="F1032" s="9"/>
      <c r="G1032" s="9"/>
    </row>
    <row r="1033" spans="1:7" x14ac:dyDescent="0.3">
      <c r="A1033" s="9"/>
      <c r="B1033" s="9"/>
      <c r="C1033" s="9"/>
      <c r="D1033" s="9"/>
      <c r="E1033" s="9"/>
      <c r="F1033" s="9"/>
      <c r="G1033" s="9"/>
    </row>
    <row r="1034" spans="1:7" x14ac:dyDescent="0.3">
      <c r="A1034" s="9"/>
      <c r="B1034" s="9"/>
      <c r="C1034" s="9"/>
      <c r="D1034" s="9"/>
      <c r="E1034" s="9"/>
      <c r="F1034" s="9"/>
      <c r="G1034" s="9"/>
    </row>
    <row r="1035" spans="1:7" x14ac:dyDescent="0.3">
      <c r="A1035" s="9"/>
      <c r="B1035" s="9"/>
      <c r="C1035" s="9"/>
      <c r="D1035" s="9"/>
      <c r="E1035" s="9"/>
      <c r="F1035" s="9"/>
      <c r="G1035" s="9"/>
    </row>
    <row r="1036" spans="1:7" x14ac:dyDescent="0.3">
      <c r="A1036" s="9"/>
      <c r="B1036" s="9"/>
      <c r="C1036" s="9"/>
      <c r="D1036" s="9"/>
      <c r="E1036" s="9"/>
      <c r="F1036" s="9"/>
      <c r="G1036" s="9"/>
    </row>
    <row r="1037" spans="1:7" x14ac:dyDescent="0.3">
      <c r="A1037" s="9"/>
      <c r="B1037" s="9"/>
      <c r="C1037" s="9"/>
      <c r="D1037" s="9"/>
      <c r="E1037" s="9"/>
      <c r="F1037" s="9"/>
      <c r="G1037" s="9"/>
    </row>
  </sheetData>
  <mergeCells count="7">
    <mergeCell ref="A1:G1"/>
    <mergeCell ref="A3:B3"/>
    <mergeCell ref="C3:C4"/>
    <mergeCell ref="D3:D4"/>
    <mergeCell ref="E3:E4"/>
    <mergeCell ref="F3:F4"/>
    <mergeCell ref="G3:G4"/>
  </mergeCells>
  <phoneticPr fontId="5" type="noConversion"/>
  <pageMargins left="0.7" right="0.7" top="0.75" bottom="0.75" header="0.3" footer="0.3"/>
  <pageSetup orientation="portrait" horizontalDpi="360" verticalDpi="36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3E9B7-D3A3-4FEB-8050-ADD76C82CF3B}">
  <dimension ref="A1:U412"/>
  <sheetViews>
    <sheetView zoomScale="70" zoomScaleNormal="70" workbookViewId="0">
      <pane ySplit="4" topLeftCell="A212" activePane="bottomLeft" state="frozen"/>
      <selection pane="bottomLeft" activeCell="G226" sqref="G226"/>
    </sheetView>
  </sheetViews>
  <sheetFormatPr defaultRowHeight="20.25" x14ac:dyDescent="0.3"/>
  <cols>
    <col min="1" max="2" width="20.7109375" style="1" customWidth="1"/>
    <col min="3" max="3" width="15.7109375" style="1" customWidth="1"/>
    <col min="4" max="4" width="45.7109375" style="1" customWidth="1"/>
    <col min="5" max="5" width="30.7109375" style="1" customWidth="1"/>
    <col min="6" max="7" width="25.7109375" style="1" customWidth="1"/>
    <col min="8" max="8" width="45.7109375" style="1" customWidth="1"/>
    <col min="9" max="16384" width="9.140625" style="1"/>
  </cols>
  <sheetData>
    <row r="1" spans="1:21" ht="30" x14ac:dyDescent="0.4">
      <c r="A1" s="109" t="s">
        <v>81</v>
      </c>
      <c r="B1" s="109"/>
      <c r="C1" s="109"/>
      <c r="D1" s="109"/>
      <c r="E1" s="109"/>
      <c r="F1" s="109"/>
      <c r="G1" s="109"/>
      <c r="H1" s="109"/>
      <c r="U1" s="1" t="s">
        <v>407</v>
      </c>
    </row>
    <row r="3" spans="1:21" x14ac:dyDescent="0.3">
      <c r="A3" s="110" t="s">
        <v>1</v>
      </c>
      <c r="B3" s="110"/>
      <c r="C3" s="110" t="s">
        <v>4</v>
      </c>
      <c r="D3" s="110" t="s">
        <v>5</v>
      </c>
      <c r="E3" s="110" t="s">
        <v>1</v>
      </c>
      <c r="F3" s="111" t="s">
        <v>82</v>
      </c>
      <c r="G3" s="110" t="s">
        <v>83</v>
      </c>
      <c r="H3" s="110" t="s">
        <v>11</v>
      </c>
    </row>
    <row r="4" spans="1:21" x14ac:dyDescent="0.3">
      <c r="A4" s="4" t="s">
        <v>2</v>
      </c>
      <c r="B4" s="4" t="s">
        <v>3</v>
      </c>
      <c r="C4" s="110"/>
      <c r="D4" s="110"/>
      <c r="E4" s="110"/>
      <c r="F4" s="111"/>
      <c r="G4" s="110"/>
      <c r="H4" s="110"/>
    </row>
    <row r="5" spans="1:21" ht="30" customHeight="1" x14ac:dyDescent="0.3">
      <c r="A5" s="7" t="s">
        <v>84</v>
      </c>
      <c r="B5" s="8"/>
      <c r="C5" s="8"/>
      <c r="D5" s="6" t="s">
        <v>85</v>
      </c>
      <c r="E5" s="7" t="s">
        <v>86</v>
      </c>
      <c r="F5" s="8" t="s">
        <v>87</v>
      </c>
      <c r="G5" s="23" t="s">
        <v>88</v>
      </c>
      <c r="H5" s="9"/>
    </row>
    <row r="6" spans="1:21" ht="30" customHeight="1" x14ac:dyDescent="0.3">
      <c r="A6" s="7">
        <v>46204</v>
      </c>
      <c r="B6" s="8"/>
      <c r="C6" s="8"/>
      <c r="D6" s="6" t="s">
        <v>89</v>
      </c>
      <c r="E6" s="7">
        <v>46143</v>
      </c>
      <c r="F6" s="8" t="s">
        <v>91</v>
      </c>
      <c r="G6" s="23" t="s">
        <v>93</v>
      </c>
      <c r="H6" s="9"/>
    </row>
    <row r="7" spans="1:21" ht="30" customHeight="1" x14ac:dyDescent="0.3">
      <c r="A7" s="8"/>
      <c r="B7" s="8"/>
      <c r="C7" s="8"/>
      <c r="D7" s="6" t="s">
        <v>18</v>
      </c>
      <c r="E7" s="7" t="s">
        <v>90</v>
      </c>
      <c r="F7" s="8" t="s">
        <v>92</v>
      </c>
      <c r="G7" s="23" t="s">
        <v>88</v>
      </c>
      <c r="H7" s="9"/>
    </row>
    <row r="8" spans="1:21" ht="30" customHeight="1" x14ac:dyDescent="0.3">
      <c r="A8" s="8"/>
      <c r="B8" s="8"/>
      <c r="C8" s="8"/>
      <c r="D8" s="6"/>
      <c r="E8" s="7" t="s">
        <v>94</v>
      </c>
      <c r="F8" s="8" t="s">
        <v>92</v>
      </c>
      <c r="G8" s="23" t="s">
        <v>99</v>
      </c>
      <c r="H8" s="9"/>
      <c r="O8" s="1" t="s">
        <v>407</v>
      </c>
    </row>
    <row r="9" spans="1:21" ht="30" customHeight="1" x14ac:dyDescent="0.3">
      <c r="A9" s="7"/>
      <c r="B9" s="8"/>
      <c r="C9" s="8"/>
      <c r="D9" s="6"/>
      <c r="E9" s="7" t="s">
        <v>95</v>
      </c>
      <c r="F9" s="8" t="s">
        <v>92</v>
      </c>
      <c r="G9" s="23" t="s">
        <v>88</v>
      </c>
      <c r="H9" s="9"/>
    </row>
    <row r="10" spans="1:21" s="26" customFormat="1" ht="30" customHeight="1" x14ac:dyDescent="0.3">
      <c r="A10" s="14" t="s">
        <v>97</v>
      </c>
      <c r="B10" s="15"/>
      <c r="C10" s="8"/>
      <c r="D10" s="16" t="s">
        <v>100</v>
      </c>
      <c r="E10" s="14">
        <v>46266</v>
      </c>
      <c r="F10" s="15" t="s">
        <v>91</v>
      </c>
      <c r="G10" s="24" t="s">
        <v>93</v>
      </c>
      <c r="H10" s="20"/>
    </row>
    <row r="11" spans="1:21" ht="30" customHeight="1" x14ac:dyDescent="0.3">
      <c r="A11" s="8"/>
      <c r="B11" s="8"/>
      <c r="C11" s="8"/>
      <c r="D11" s="6" t="s">
        <v>101</v>
      </c>
      <c r="E11" s="7">
        <v>46357</v>
      </c>
      <c r="F11" s="8" t="s">
        <v>91</v>
      </c>
      <c r="G11" s="23" t="s">
        <v>93</v>
      </c>
      <c r="H11" s="9"/>
    </row>
    <row r="12" spans="1:21" ht="30" customHeight="1" x14ac:dyDescent="0.3">
      <c r="A12" s="8"/>
      <c r="B12" s="8"/>
      <c r="C12" s="8"/>
      <c r="D12" s="6" t="s">
        <v>100</v>
      </c>
      <c r="E12" s="7" t="s">
        <v>96</v>
      </c>
      <c r="F12" s="8" t="s">
        <v>98</v>
      </c>
      <c r="G12" s="23" t="s">
        <v>99</v>
      </c>
      <c r="H12" s="9"/>
    </row>
    <row r="13" spans="1:21" ht="30" customHeight="1" x14ac:dyDescent="0.3">
      <c r="A13" s="8"/>
      <c r="B13" s="8"/>
      <c r="C13" s="8"/>
      <c r="D13" s="6"/>
      <c r="E13" s="7"/>
      <c r="F13" s="8"/>
      <c r="G13" s="23"/>
      <c r="H13" s="9"/>
    </row>
    <row r="14" spans="1:21" ht="30" customHeight="1" x14ac:dyDescent="0.3">
      <c r="A14" s="8" t="s">
        <v>102</v>
      </c>
      <c r="B14" s="8"/>
      <c r="C14" s="8"/>
      <c r="D14" s="6" t="s">
        <v>53</v>
      </c>
      <c r="E14" s="7" t="s">
        <v>97</v>
      </c>
      <c r="F14" s="8" t="s">
        <v>91</v>
      </c>
      <c r="G14" s="23" t="s">
        <v>93</v>
      </c>
      <c r="H14" s="9"/>
    </row>
    <row r="15" spans="1:21" ht="30" customHeight="1" x14ac:dyDescent="0.3">
      <c r="A15" s="8"/>
      <c r="B15" s="8"/>
      <c r="C15" s="8"/>
      <c r="D15" s="6"/>
      <c r="E15" s="7"/>
      <c r="F15" s="8"/>
      <c r="G15" s="23"/>
      <c r="H15" s="9"/>
    </row>
    <row r="16" spans="1:21" ht="30" customHeight="1" x14ac:dyDescent="0.3">
      <c r="A16" s="8" t="s">
        <v>239</v>
      </c>
      <c r="B16" s="8"/>
      <c r="C16" s="8"/>
      <c r="D16" s="6" t="s">
        <v>240</v>
      </c>
      <c r="E16" s="7" t="s">
        <v>241</v>
      </c>
      <c r="F16" s="8" t="s">
        <v>98</v>
      </c>
      <c r="G16" s="23" t="s">
        <v>99</v>
      </c>
      <c r="H16" s="9"/>
    </row>
    <row r="17" spans="1:8" ht="30" customHeight="1" x14ac:dyDescent="0.3">
      <c r="A17" s="8"/>
      <c r="B17" s="8"/>
      <c r="C17" s="8"/>
      <c r="D17" s="6"/>
      <c r="E17" s="7"/>
      <c r="F17" s="8"/>
      <c r="G17" s="23"/>
      <c r="H17" s="9"/>
    </row>
    <row r="18" spans="1:8" ht="30" customHeight="1" x14ac:dyDescent="0.3">
      <c r="A18" s="8" t="s">
        <v>263</v>
      </c>
      <c r="B18" s="8"/>
      <c r="C18" s="8"/>
      <c r="D18" s="6" t="s">
        <v>85</v>
      </c>
      <c r="E18" s="7" t="s">
        <v>302</v>
      </c>
      <c r="F18" s="8" t="s">
        <v>303</v>
      </c>
      <c r="G18" s="23" t="s">
        <v>304</v>
      </c>
      <c r="H18" s="9"/>
    </row>
    <row r="19" spans="1:8" ht="30" customHeight="1" x14ac:dyDescent="0.3">
      <c r="A19" s="8"/>
      <c r="B19" s="8"/>
      <c r="C19" s="8"/>
      <c r="D19" s="6"/>
      <c r="E19" s="7"/>
      <c r="F19" s="8"/>
      <c r="G19" s="23"/>
      <c r="H19" s="9"/>
    </row>
    <row r="20" spans="1:8" ht="30" customHeight="1" x14ac:dyDescent="0.3">
      <c r="A20" s="8" t="s">
        <v>364</v>
      </c>
      <c r="B20" s="8"/>
      <c r="C20" s="8"/>
      <c r="D20" s="6" t="s">
        <v>30</v>
      </c>
      <c r="E20" s="7" t="s">
        <v>435</v>
      </c>
      <c r="F20" s="8" t="s">
        <v>434</v>
      </c>
      <c r="G20" s="23" t="s">
        <v>357</v>
      </c>
      <c r="H20" s="9"/>
    </row>
    <row r="21" spans="1:8" ht="30" customHeight="1" x14ac:dyDescent="0.3">
      <c r="A21" s="8" t="s">
        <v>457</v>
      </c>
      <c r="B21" s="8"/>
      <c r="C21" s="8"/>
      <c r="D21" s="6" t="s">
        <v>458</v>
      </c>
      <c r="E21" s="7" t="s">
        <v>459</v>
      </c>
      <c r="F21" s="8" t="s">
        <v>303</v>
      </c>
      <c r="G21" s="23" t="s">
        <v>459</v>
      </c>
      <c r="H21" s="9"/>
    </row>
    <row r="22" spans="1:8" ht="30" customHeight="1" x14ac:dyDescent="0.3">
      <c r="A22" s="8"/>
      <c r="B22" s="8"/>
      <c r="C22" s="8"/>
      <c r="D22" s="6" t="s">
        <v>36</v>
      </c>
      <c r="E22" s="7" t="s">
        <v>460</v>
      </c>
      <c r="F22" s="8" t="s">
        <v>303</v>
      </c>
      <c r="G22" s="23" t="s">
        <v>460</v>
      </c>
      <c r="H22" s="9"/>
    </row>
    <row r="23" spans="1:8" ht="30" customHeight="1" x14ac:dyDescent="0.3">
      <c r="A23" s="8"/>
      <c r="B23" s="8"/>
      <c r="C23" s="8"/>
      <c r="D23" s="6" t="s">
        <v>461</v>
      </c>
      <c r="E23" s="7" t="s">
        <v>460</v>
      </c>
      <c r="F23" s="8" t="s">
        <v>303</v>
      </c>
      <c r="G23" s="23" t="s">
        <v>460</v>
      </c>
      <c r="H23" s="9"/>
    </row>
    <row r="24" spans="1:8" ht="30" customHeight="1" x14ac:dyDescent="0.3">
      <c r="A24" s="8"/>
      <c r="B24" s="8"/>
      <c r="C24" s="8"/>
      <c r="D24" s="6"/>
      <c r="E24" s="7"/>
      <c r="F24" s="8"/>
      <c r="G24" s="23"/>
      <c r="H24" s="9"/>
    </row>
    <row r="25" spans="1:8" ht="30" customHeight="1" x14ac:dyDescent="0.3">
      <c r="A25" s="8" t="s">
        <v>397</v>
      </c>
      <c r="B25" s="8"/>
      <c r="C25" s="8"/>
      <c r="D25" s="6" t="s">
        <v>504</v>
      </c>
      <c r="E25" s="7" t="s">
        <v>459</v>
      </c>
      <c r="F25" s="8" t="s">
        <v>303</v>
      </c>
      <c r="G25" s="23" t="s">
        <v>459</v>
      </c>
      <c r="H25" s="9"/>
    </row>
    <row r="26" spans="1:8" ht="30" customHeight="1" x14ac:dyDescent="0.3">
      <c r="A26" s="8"/>
      <c r="B26" s="8"/>
      <c r="C26" s="8"/>
      <c r="D26" s="6" t="s">
        <v>505</v>
      </c>
      <c r="E26" s="7" t="s">
        <v>460</v>
      </c>
      <c r="F26" s="8" t="s">
        <v>303</v>
      </c>
      <c r="G26" s="23" t="s">
        <v>460</v>
      </c>
      <c r="H26" s="9"/>
    </row>
    <row r="27" spans="1:8" ht="30" customHeight="1" x14ac:dyDescent="0.3">
      <c r="A27" s="8"/>
      <c r="B27" s="8"/>
      <c r="C27" s="8"/>
      <c r="D27" s="6" t="s">
        <v>506</v>
      </c>
      <c r="E27" s="7" t="s">
        <v>460</v>
      </c>
      <c r="F27" s="8" t="s">
        <v>303</v>
      </c>
      <c r="G27" s="23" t="s">
        <v>460</v>
      </c>
      <c r="H27" s="9"/>
    </row>
    <row r="28" spans="1:8" ht="30" customHeight="1" x14ac:dyDescent="0.3">
      <c r="A28" s="8"/>
      <c r="B28" s="8"/>
      <c r="C28" s="8"/>
      <c r="D28" s="6" t="s">
        <v>89</v>
      </c>
      <c r="E28" s="7" t="s">
        <v>457</v>
      </c>
      <c r="F28" s="8" t="s">
        <v>434</v>
      </c>
      <c r="G28" s="23" t="s">
        <v>517</v>
      </c>
      <c r="H28" s="9"/>
    </row>
    <row r="29" spans="1:8" ht="30" customHeight="1" x14ac:dyDescent="0.3">
      <c r="A29" s="8"/>
      <c r="B29" s="8"/>
      <c r="C29" s="8"/>
      <c r="D29" s="6"/>
      <c r="E29" s="7"/>
      <c r="F29" s="21"/>
      <c r="G29" s="21"/>
      <c r="H29" s="9"/>
    </row>
    <row r="30" spans="1:8" ht="30" customHeight="1" x14ac:dyDescent="0.3">
      <c r="A30" s="8" t="s">
        <v>594</v>
      </c>
      <c r="B30" s="8"/>
      <c r="C30" s="8"/>
      <c r="D30" s="6" t="s">
        <v>595</v>
      </c>
      <c r="E30" s="7" t="s">
        <v>596</v>
      </c>
      <c r="F30" s="21" t="s">
        <v>87</v>
      </c>
      <c r="G30" s="21" t="s">
        <v>517</v>
      </c>
      <c r="H30" s="9"/>
    </row>
    <row r="31" spans="1:8" ht="30" customHeight="1" x14ac:dyDescent="0.3">
      <c r="A31" s="8"/>
      <c r="B31" s="8"/>
      <c r="C31" s="8"/>
      <c r="D31" s="6" t="s">
        <v>21</v>
      </c>
      <c r="E31" s="8" t="s">
        <v>597</v>
      </c>
      <c r="F31" s="21" t="s">
        <v>598</v>
      </c>
      <c r="G31" s="21" t="s">
        <v>599</v>
      </c>
      <c r="H31" s="9"/>
    </row>
    <row r="32" spans="1:8" ht="30" customHeight="1" x14ac:dyDescent="0.3">
      <c r="A32" s="8" t="s">
        <v>609</v>
      </c>
      <c r="B32" s="8"/>
      <c r="C32" s="8"/>
      <c r="D32" s="6" t="s">
        <v>646</v>
      </c>
      <c r="E32" s="8" t="s">
        <v>594</v>
      </c>
      <c r="F32" s="21" t="s">
        <v>434</v>
      </c>
      <c r="G32" s="25" t="s">
        <v>517</v>
      </c>
      <c r="H32" s="9"/>
    </row>
    <row r="33" spans="1:8" ht="30" customHeight="1" x14ac:dyDescent="0.3">
      <c r="A33" s="8" t="s">
        <v>639</v>
      </c>
      <c r="B33" s="8"/>
      <c r="C33" s="8"/>
      <c r="D33" s="6" t="s">
        <v>52</v>
      </c>
      <c r="E33" s="8" t="s">
        <v>675</v>
      </c>
      <c r="F33" s="21" t="s">
        <v>676</v>
      </c>
      <c r="G33" s="21" t="s">
        <v>677</v>
      </c>
      <c r="H33" s="9"/>
    </row>
    <row r="34" spans="1:8" ht="30" customHeight="1" x14ac:dyDescent="0.3">
      <c r="A34" s="8" t="s">
        <v>596</v>
      </c>
      <c r="B34" s="8"/>
      <c r="C34" s="8"/>
      <c r="D34" s="6" t="s">
        <v>699</v>
      </c>
      <c r="E34" s="8" t="s">
        <v>675</v>
      </c>
      <c r="F34" s="21" t="s">
        <v>700</v>
      </c>
      <c r="G34" s="21" t="s">
        <v>677</v>
      </c>
      <c r="H34" s="9"/>
    </row>
    <row r="35" spans="1:8" ht="30" customHeight="1" x14ac:dyDescent="0.3">
      <c r="A35" s="8"/>
      <c r="B35" s="8"/>
      <c r="C35" s="8"/>
      <c r="D35" s="6" t="s">
        <v>504</v>
      </c>
      <c r="E35" s="8" t="s">
        <v>701</v>
      </c>
      <c r="F35" s="21" t="s">
        <v>303</v>
      </c>
      <c r="G35" s="21" t="s">
        <v>459</v>
      </c>
      <c r="H35" s="9"/>
    </row>
    <row r="36" spans="1:8" ht="30" customHeight="1" x14ac:dyDescent="0.3">
      <c r="A36" s="8"/>
      <c r="B36" s="8"/>
      <c r="C36" s="8"/>
      <c r="D36" s="6" t="s">
        <v>23</v>
      </c>
      <c r="E36" s="8" t="s">
        <v>702</v>
      </c>
      <c r="F36" s="21" t="s">
        <v>87</v>
      </c>
      <c r="G36" s="21" t="s">
        <v>517</v>
      </c>
      <c r="H36" s="9"/>
    </row>
    <row r="37" spans="1:8" ht="30" customHeight="1" x14ac:dyDescent="0.3">
      <c r="A37" s="7">
        <v>46055</v>
      </c>
      <c r="B37" s="8"/>
      <c r="C37" s="8"/>
      <c r="D37" s="6" t="s">
        <v>705</v>
      </c>
      <c r="E37" s="8" t="s">
        <v>675</v>
      </c>
      <c r="F37" s="21" t="s">
        <v>87</v>
      </c>
      <c r="G37" s="21" t="s">
        <v>677</v>
      </c>
      <c r="H37" s="54" t="str">
        <f>HYPERLINK("https://drive.google.com/file/d/1odDPbHTFOrJWnNsCA0DzTuD0ehr2RCta/view?usp=sharing", "Leave 1")</f>
        <v>Leave 1</v>
      </c>
    </row>
    <row r="38" spans="1:8" ht="30" customHeight="1" x14ac:dyDescent="0.3">
      <c r="A38" s="7">
        <v>46083</v>
      </c>
      <c r="B38" s="8"/>
      <c r="C38" s="8"/>
      <c r="D38" s="6" t="s">
        <v>58</v>
      </c>
      <c r="E38" s="8" t="s">
        <v>567</v>
      </c>
      <c r="F38" s="21" t="s">
        <v>91</v>
      </c>
      <c r="G38" s="21" t="s">
        <v>517</v>
      </c>
      <c r="H38" s="54" t="str">
        <f>HYPERLINK("https://drive.google.com/file/d/1I9S5pm4HZ7YIAuCDErKBCO8PVU6xlhi1/view?usp=sharing", "DIOSEL LOPEZ")</f>
        <v>DIOSEL LOPEZ</v>
      </c>
    </row>
    <row r="39" spans="1:8" ht="30" customHeight="1" x14ac:dyDescent="0.3">
      <c r="A39" s="8"/>
      <c r="B39" s="8"/>
      <c r="C39" s="8"/>
      <c r="D39" s="6" t="s">
        <v>699</v>
      </c>
      <c r="E39" s="8" t="s">
        <v>302</v>
      </c>
      <c r="F39" s="21" t="s">
        <v>303</v>
      </c>
      <c r="G39" s="21" t="s">
        <v>302</v>
      </c>
      <c r="H39" s="54" t="str">
        <f>HYPERLINK("https://drive.google.com/file/d/1o7hQN16Q-C7Ra_Ehg0BR0zzUSx3K9tRQ/view?usp=sharing", "MA. FATIMA BELEN")</f>
        <v>MA. FATIMA BELEN</v>
      </c>
    </row>
    <row r="40" spans="1:8" ht="30" customHeight="1" x14ac:dyDescent="0.3">
      <c r="A40" s="8"/>
      <c r="B40" s="8"/>
      <c r="C40" s="8"/>
      <c r="D40" s="6" t="s">
        <v>24</v>
      </c>
      <c r="E40" s="8" t="s">
        <v>702</v>
      </c>
      <c r="F40" s="21" t="s">
        <v>87</v>
      </c>
      <c r="G40" s="21" t="s">
        <v>517</v>
      </c>
      <c r="H40" s="54" t="str">
        <f>HYPERLINK("https://drive.google.com/file/d/1J8RZwZIfIkPtujj4Z2O-eCOcowIgtZdX/view?usp=sharing", "JOYCELINDA REYES")</f>
        <v>JOYCELINDA REYES</v>
      </c>
    </row>
    <row r="41" spans="1:8" ht="30" customHeight="1" x14ac:dyDescent="0.3">
      <c r="A41" s="8"/>
      <c r="B41" s="8"/>
      <c r="C41" s="8"/>
      <c r="D41" s="6" t="s">
        <v>635</v>
      </c>
      <c r="E41" s="8" t="s">
        <v>755</v>
      </c>
      <c r="F41" s="21" t="s">
        <v>87</v>
      </c>
      <c r="G41" s="21" t="s">
        <v>517</v>
      </c>
      <c r="H41" s="54" t="str">
        <f>HYPERLINK("https://drive.google.com/file/d/1HbNGEU0hDw51Un4cftYWLcu1-EVgxaSt/view?usp=sharing", "DARWIN BAUTISTA")</f>
        <v>DARWIN BAUTISTA</v>
      </c>
    </row>
    <row r="42" spans="1:8" ht="30" customHeight="1" x14ac:dyDescent="0.3">
      <c r="A42" s="8"/>
      <c r="B42" s="8"/>
      <c r="C42" s="8"/>
      <c r="D42" s="6" t="s">
        <v>635</v>
      </c>
      <c r="E42" s="8" t="s">
        <v>302</v>
      </c>
      <c r="F42" s="21" t="s">
        <v>303</v>
      </c>
      <c r="G42" s="21" t="s">
        <v>302</v>
      </c>
      <c r="H42" s="54" t="str">
        <f>HYPERLINK("https://drive.google.com/file/d/1TnbhTOr8Zj3FLZnKHwiOn33IarCTbvDz/view?usp=sharing", "LARAINE GINES")</f>
        <v>LARAINE GINES</v>
      </c>
    </row>
    <row r="43" spans="1:8" ht="30" customHeight="1" x14ac:dyDescent="0.3">
      <c r="A43" s="8"/>
      <c r="B43" s="8"/>
      <c r="C43" s="8"/>
      <c r="D43" s="6" t="s">
        <v>15</v>
      </c>
      <c r="E43" s="8" t="s">
        <v>302</v>
      </c>
      <c r="F43" s="21" t="s">
        <v>303</v>
      </c>
      <c r="G43" s="21" t="s">
        <v>302</v>
      </c>
      <c r="H43" s="9"/>
    </row>
    <row r="44" spans="1:8" ht="30" customHeight="1" x14ac:dyDescent="0.3">
      <c r="A44" s="8"/>
      <c r="B44" s="8"/>
      <c r="C44" s="8"/>
      <c r="D44" s="6" t="s">
        <v>20</v>
      </c>
      <c r="E44" s="8" t="s">
        <v>302</v>
      </c>
      <c r="F44" s="21" t="s">
        <v>303</v>
      </c>
      <c r="G44" s="21" t="s">
        <v>302</v>
      </c>
      <c r="H44" s="9"/>
    </row>
    <row r="45" spans="1:8" ht="34.5" customHeight="1" x14ac:dyDescent="0.3">
      <c r="A45" s="7">
        <v>46144</v>
      </c>
      <c r="B45" s="8"/>
      <c r="C45" s="8"/>
      <c r="D45" s="6" t="s">
        <v>49</v>
      </c>
      <c r="E45" s="8" t="s">
        <v>765</v>
      </c>
      <c r="F45" s="21" t="s">
        <v>98</v>
      </c>
      <c r="G45" s="21" t="s">
        <v>357</v>
      </c>
      <c r="H45" s="9"/>
    </row>
    <row r="46" spans="1:8" ht="30" customHeight="1" x14ac:dyDescent="0.3">
      <c r="A46" s="7">
        <v>46267</v>
      </c>
      <c r="B46" s="8"/>
      <c r="C46" s="8"/>
      <c r="D46" s="6" t="s">
        <v>89</v>
      </c>
      <c r="E46" s="8" t="s">
        <v>790</v>
      </c>
      <c r="F46" s="21" t="s">
        <v>98</v>
      </c>
      <c r="G46" s="21" t="s">
        <v>357</v>
      </c>
      <c r="H46" s="9"/>
    </row>
    <row r="47" spans="1:8" ht="30" customHeight="1" x14ac:dyDescent="0.3">
      <c r="A47" s="8"/>
      <c r="B47" s="8"/>
      <c r="C47" s="8"/>
      <c r="D47" s="6" t="s">
        <v>24</v>
      </c>
      <c r="E47" s="7">
        <v>46328</v>
      </c>
      <c r="F47" s="21" t="s">
        <v>87</v>
      </c>
      <c r="G47" s="21" t="s">
        <v>517</v>
      </c>
      <c r="H47" s="9"/>
    </row>
    <row r="48" spans="1:8" ht="30" customHeight="1" x14ac:dyDescent="0.3">
      <c r="A48" s="8"/>
      <c r="B48" s="8"/>
      <c r="C48" s="8"/>
      <c r="D48" s="6" t="s">
        <v>646</v>
      </c>
      <c r="E48" s="8" t="s">
        <v>795</v>
      </c>
      <c r="F48" s="21" t="s">
        <v>676</v>
      </c>
      <c r="G48" s="21" t="s">
        <v>517</v>
      </c>
      <c r="H48" s="9"/>
    </row>
    <row r="49" spans="1:17" ht="30" customHeight="1" x14ac:dyDescent="0.3">
      <c r="A49" s="8"/>
      <c r="B49" s="8"/>
      <c r="C49" s="8"/>
      <c r="D49" s="6" t="s">
        <v>182</v>
      </c>
      <c r="E49" s="8" t="s">
        <v>795</v>
      </c>
      <c r="F49" s="21" t="s">
        <v>87</v>
      </c>
      <c r="G49" s="21" t="s">
        <v>517</v>
      </c>
      <c r="H49" s="9"/>
    </row>
    <row r="50" spans="1:17" ht="30" customHeight="1" x14ac:dyDescent="0.3">
      <c r="A50" s="8"/>
      <c r="B50" s="8"/>
      <c r="C50" s="8"/>
      <c r="D50" s="6"/>
      <c r="E50" s="8"/>
      <c r="F50" s="21"/>
      <c r="G50" s="21"/>
      <c r="H50" s="9"/>
    </row>
    <row r="51" spans="1:17" ht="30" customHeight="1" x14ac:dyDescent="0.3">
      <c r="A51" s="7">
        <v>46297</v>
      </c>
      <c r="B51" s="8"/>
      <c r="C51" s="8"/>
      <c r="D51" s="6" t="s">
        <v>54</v>
      </c>
      <c r="E51" s="8" t="s">
        <v>852</v>
      </c>
      <c r="F51" s="25" t="s">
        <v>851</v>
      </c>
      <c r="G51" s="21" t="s">
        <v>853</v>
      </c>
      <c r="H51" s="9"/>
    </row>
    <row r="52" spans="1:17" ht="30" customHeight="1" x14ac:dyDescent="0.3">
      <c r="A52" s="8"/>
      <c r="B52" s="8"/>
      <c r="C52" s="8"/>
      <c r="D52" s="6" t="s">
        <v>42</v>
      </c>
      <c r="E52" s="8" t="s">
        <v>854</v>
      </c>
      <c r="F52" s="21" t="s">
        <v>87</v>
      </c>
      <c r="G52" s="21" t="s">
        <v>517</v>
      </c>
      <c r="H52" s="9"/>
      <c r="Q52" s="1" t="s">
        <v>407</v>
      </c>
    </row>
    <row r="53" spans="1:17" ht="30" customHeight="1" x14ac:dyDescent="0.3">
      <c r="A53" s="8"/>
      <c r="B53" s="8"/>
      <c r="C53" s="8"/>
      <c r="D53" s="6" t="s">
        <v>16</v>
      </c>
      <c r="E53" s="8" t="s">
        <v>855</v>
      </c>
      <c r="F53" s="21" t="s">
        <v>98</v>
      </c>
      <c r="G53" s="21" t="s">
        <v>357</v>
      </c>
      <c r="H53" s="9"/>
    </row>
    <row r="54" spans="1:17" ht="30" customHeight="1" x14ac:dyDescent="0.3">
      <c r="A54" s="8"/>
      <c r="B54" s="8"/>
      <c r="C54" s="8"/>
      <c r="D54" s="6" t="s">
        <v>860</v>
      </c>
      <c r="E54" s="8" t="s">
        <v>702</v>
      </c>
      <c r="F54" s="21" t="s">
        <v>700</v>
      </c>
      <c r="G54" s="21" t="s">
        <v>834</v>
      </c>
      <c r="H54" s="9"/>
    </row>
    <row r="55" spans="1:17" ht="30" customHeight="1" x14ac:dyDescent="0.3">
      <c r="A55" s="8"/>
      <c r="B55" s="8"/>
      <c r="C55" s="8"/>
      <c r="D55" s="6" t="s">
        <v>861</v>
      </c>
      <c r="E55" s="8" t="s">
        <v>702</v>
      </c>
      <c r="F55" s="21" t="s">
        <v>98</v>
      </c>
      <c r="G55" s="21" t="s">
        <v>517</v>
      </c>
      <c r="H55" s="9"/>
    </row>
    <row r="56" spans="1:17" ht="30" customHeight="1" x14ac:dyDescent="0.3">
      <c r="A56" s="8"/>
      <c r="B56" s="8"/>
      <c r="C56" s="8"/>
      <c r="D56" s="6" t="s">
        <v>26</v>
      </c>
      <c r="E56" s="8" t="s">
        <v>855</v>
      </c>
      <c r="F56" s="21" t="s">
        <v>700</v>
      </c>
      <c r="G56" s="21" t="s">
        <v>357</v>
      </c>
      <c r="H56" s="9"/>
    </row>
    <row r="57" spans="1:17" ht="30" customHeight="1" x14ac:dyDescent="0.3">
      <c r="A57" s="8" t="s">
        <v>702</v>
      </c>
      <c r="B57" s="8"/>
      <c r="C57" s="8"/>
      <c r="D57" s="6" t="s">
        <v>17</v>
      </c>
      <c r="E57" s="8" t="s">
        <v>755</v>
      </c>
      <c r="F57" s="21" t="s">
        <v>98</v>
      </c>
      <c r="G57" s="21" t="s">
        <v>517</v>
      </c>
      <c r="H57" s="9"/>
    </row>
    <row r="58" spans="1:17" ht="30" customHeight="1" x14ac:dyDescent="0.3">
      <c r="A58" s="8"/>
      <c r="B58" s="8"/>
      <c r="C58" s="8"/>
      <c r="D58" s="6" t="s">
        <v>25</v>
      </c>
      <c r="E58" s="7">
        <v>46328</v>
      </c>
      <c r="F58" s="21" t="s">
        <v>91</v>
      </c>
      <c r="G58" s="21" t="s">
        <v>517</v>
      </c>
      <c r="H58" s="9"/>
    </row>
    <row r="59" spans="1:17" ht="30" customHeight="1" x14ac:dyDescent="0.3">
      <c r="A59" s="8"/>
      <c r="B59" s="8"/>
      <c r="C59" s="8"/>
      <c r="D59" s="6" t="s">
        <v>913</v>
      </c>
      <c r="E59" s="8" t="s">
        <v>914</v>
      </c>
      <c r="F59" s="21" t="s">
        <v>915</v>
      </c>
      <c r="G59" s="21" t="s">
        <v>916</v>
      </c>
      <c r="H59" s="9"/>
    </row>
    <row r="60" spans="1:17" ht="30" customHeight="1" x14ac:dyDescent="0.3">
      <c r="A60" s="8" t="s">
        <v>795</v>
      </c>
      <c r="B60" s="8"/>
      <c r="C60" s="8"/>
      <c r="D60" s="6" t="s">
        <v>28</v>
      </c>
      <c r="E60" s="8" t="s">
        <v>1005</v>
      </c>
      <c r="F60" s="21" t="s">
        <v>98</v>
      </c>
      <c r="G60" s="21" t="s">
        <v>834</v>
      </c>
      <c r="H60" s="9"/>
    </row>
    <row r="61" spans="1:17" ht="30" customHeight="1" x14ac:dyDescent="0.3">
      <c r="A61" s="8" t="s">
        <v>854</v>
      </c>
      <c r="B61" s="8"/>
      <c r="C61" s="8"/>
      <c r="D61" s="6" t="s">
        <v>602</v>
      </c>
      <c r="E61" s="8" t="s">
        <v>1115</v>
      </c>
      <c r="F61" s="21" t="s">
        <v>91</v>
      </c>
      <c r="G61" s="21" t="s">
        <v>517</v>
      </c>
      <c r="H61" s="9"/>
    </row>
    <row r="62" spans="1:17" ht="30" customHeight="1" x14ac:dyDescent="0.3">
      <c r="A62" s="8"/>
      <c r="B62" s="8"/>
      <c r="C62" s="8"/>
      <c r="D62" s="6" t="s">
        <v>89</v>
      </c>
      <c r="E62" s="8" t="s">
        <v>1115</v>
      </c>
      <c r="F62" s="21" t="s">
        <v>91</v>
      </c>
      <c r="G62" s="21" t="s">
        <v>517</v>
      </c>
      <c r="H62" s="9"/>
    </row>
    <row r="63" spans="1:17" ht="30" customHeight="1" x14ac:dyDescent="0.3">
      <c r="A63" s="8"/>
      <c r="B63" s="8"/>
      <c r="C63" s="8"/>
      <c r="D63" s="6" t="s">
        <v>89</v>
      </c>
      <c r="E63" s="8" t="s">
        <v>1154</v>
      </c>
      <c r="F63" s="21" t="s">
        <v>1153</v>
      </c>
      <c r="G63" s="25" t="s">
        <v>357</v>
      </c>
      <c r="H63" s="9"/>
    </row>
    <row r="64" spans="1:17" ht="30" customHeight="1" x14ac:dyDescent="0.3">
      <c r="A64" s="8" t="s">
        <v>1005</v>
      </c>
      <c r="B64" s="8"/>
      <c r="C64" s="8"/>
      <c r="D64" s="6" t="s">
        <v>699</v>
      </c>
      <c r="E64" s="8" t="s">
        <v>1199</v>
      </c>
      <c r="F64" s="21" t="s">
        <v>91</v>
      </c>
      <c r="G64" s="25" t="s">
        <v>357</v>
      </c>
      <c r="H64" s="9"/>
    </row>
    <row r="65" spans="1:15" ht="30" customHeight="1" x14ac:dyDescent="0.3">
      <c r="A65" s="8"/>
      <c r="B65" s="8"/>
      <c r="C65" s="8"/>
      <c r="D65" s="6" t="s">
        <v>58</v>
      </c>
      <c r="E65" s="8" t="s">
        <v>854</v>
      </c>
      <c r="F65" s="21" t="s">
        <v>91</v>
      </c>
      <c r="G65" s="21" t="s">
        <v>517</v>
      </c>
      <c r="H65" s="9"/>
    </row>
    <row r="66" spans="1:15" ht="30" customHeight="1" x14ac:dyDescent="0.3">
      <c r="A66" s="8"/>
      <c r="B66" s="8"/>
      <c r="C66" s="8"/>
      <c r="D66" s="6" t="s">
        <v>240</v>
      </c>
      <c r="E66" s="8" t="s">
        <v>854</v>
      </c>
      <c r="F66" s="21" t="s">
        <v>91</v>
      </c>
      <c r="G66" s="21" t="s">
        <v>517</v>
      </c>
      <c r="H66" s="9"/>
    </row>
    <row r="67" spans="1:15" ht="30" customHeight="1" x14ac:dyDescent="0.3">
      <c r="A67" s="8"/>
      <c r="B67" s="8"/>
      <c r="C67" s="8"/>
      <c r="D67" s="6" t="s">
        <v>342</v>
      </c>
      <c r="E67" s="8" t="s">
        <v>1205</v>
      </c>
      <c r="F67" s="21" t="s">
        <v>98</v>
      </c>
      <c r="G67" s="21" t="s">
        <v>654</v>
      </c>
      <c r="H67" s="9"/>
    </row>
    <row r="68" spans="1:15" ht="30" customHeight="1" x14ac:dyDescent="0.3">
      <c r="A68" s="7">
        <v>46056</v>
      </c>
      <c r="B68" s="8"/>
      <c r="C68" s="8"/>
      <c r="D68" s="6" t="s">
        <v>240</v>
      </c>
      <c r="E68" s="8" t="s">
        <v>1267</v>
      </c>
      <c r="F68" s="21" t="s">
        <v>700</v>
      </c>
      <c r="G68" s="21" t="s">
        <v>357</v>
      </c>
      <c r="H68" s="9"/>
    </row>
    <row r="69" spans="1:15" ht="30" customHeight="1" x14ac:dyDescent="0.3">
      <c r="A69" s="7">
        <v>46056</v>
      </c>
      <c r="B69" s="8"/>
      <c r="C69" s="8"/>
      <c r="D69" s="6" t="s">
        <v>646</v>
      </c>
      <c r="E69" s="8" t="s">
        <v>1275</v>
      </c>
      <c r="F69" s="21" t="s">
        <v>1276</v>
      </c>
      <c r="G69" s="21" t="s">
        <v>677</v>
      </c>
      <c r="H69" s="9"/>
    </row>
    <row r="70" spans="1:15" ht="30" customHeight="1" x14ac:dyDescent="0.3">
      <c r="A70" s="7">
        <v>46056</v>
      </c>
      <c r="B70" s="8"/>
      <c r="C70" s="8"/>
      <c r="D70" s="6" t="s">
        <v>28</v>
      </c>
      <c r="E70" s="8" t="s">
        <v>1281</v>
      </c>
      <c r="F70" s="21" t="s">
        <v>1276</v>
      </c>
      <c r="G70" s="21" t="s">
        <v>357</v>
      </c>
      <c r="H70" s="9"/>
    </row>
    <row r="71" spans="1:15" ht="30" customHeight="1" x14ac:dyDescent="0.3">
      <c r="A71" s="7">
        <v>46084</v>
      </c>
      <c r="B71" s="8"/>
      <c r="C71" s="8"/>
      <c r="D71" s="6" t="s">
        <v>27</v>
      </c>
      <c r="E71" s="7">
        <v>46056</v>
      </c>
      <c r="F71" s="21" t="s">
        <v>91</v>
      </c>
      <c r="G71" s="21" t="s">
        <v>517</v>
      </c>
      <c r="H71" s="9"/>
    </row>
    <row r="72" spans="1:15" ht="30" customHeight="1" x14ac:dyDescent="0.3">
      <c r="A72" s="8"/>
      <c r="B72" s="8"/>
      <c r="C72" s="8"/>
      <c r="D72" s="6" t="s">
        <v>27</v>
      </c>
      <c r="E72" s="8" t="s">
        <v>1319</v>
      </c>
      <c r="F72" s="21" t="s">
        <v>98</v>
      </c>
      <c r="G72" s="21" t="s">
        <v>677</v>
      </c>
      <c r="H72" s="9"/>
    </row>
    <row r="73" spans="1:15" ht="30" customHeight="1" x14ac:dyDescent="0.3">
      <c r="A73" s="8"/>
      <c r="B73" s="8"/>
      <c r="C73" s="8"/>
      <c r="D73" s="6" t="s">
        <v>53</v>
      </c>
      <c r="E73" s="7">
        <v>46056</v>
      </c>
      <c r="F73" s="21" t="s">
        <v>91</v>
      </c>
      <c r="G73" s="25" t="s">
        <v>517</v>
      </c>
      <c r="H73" s="9"/>
    </row>
    <row r="74" spans="1:15" ht="30" customHeight="1" x14ac:dyDescent="0.3">
      <c r="A74" s="7">
        <v>46115</v>
      </c>
      <c r="B74" s="8"/>
      <c r="C74" s="8"/>
      <c r="D74" s="6" t="s">
        <v>24</v>
      </c>
      <c r="E74" s="7">
        <v>46176</v>
      </c>
      <c r="F74" s="21" t="s">
        <v>1276</v>
      </c>
      <c r="G74" s="21" t="s">
        <v>517</v>
      </c>
      <c r="H74" s="9"/>
    </row>
    <row r="75" spans="1:15" ht="30" customHeight="1" x14ac:dyDescent="0.3">
      <c r="A75" s="7">
        <v>46145</v>
      </c>
      <c r="B75" s="8"/>
      <c r="C75" s="8"/>
      <c r="D75" s="6" t="s">
        <v>49</v>
      </c>
      <c r="E75" s="8" t="s">
        <v>1405</v>
      </c>
      <c r="F75" s="21" t="s">
        <v>98</v>
      </c>
      <c r="G75" s="25" t="s">
        <v>357</v>
      </c>
      <c r="H75" s="9"/>
    </row>
    <row r="76" spans="1:15" ht="30" customHeight="1" x14ac:dyDescent="0.3">
      <c r="A76" s="8"/>
      <c r="B76" s="8"/>
      <c r="C76" s="8"/>
      <c r="D76" s="6" t="s">
        <v>51</v>
      </c>
      <c r="E76" s="8" t="s">
        <v>1406</v>
      </c>
      <c r="F76" s="21" t="s">
        <v>1153</v>
      </c>
      <c r="G76" s="21" t="s">
        <v>1407</v>
      </c>
      <c r="H76" s="9"/>
    </row>
    <row r="77" spans="1:15" ht="30" customHeight="1" x14ac:dyDescent="0.3">
      <c r="A77" s="7">
        <v>46268</v>
      </c>
      <c r="B77" s="8"/>
      <c r="C77" s="8"/>
      <c r="D77" s="6" t="s">
        <v>100</v>
      </c>
      <c r="E77" s="7">
        <v>46176</v>
      </c>
      <c r="F77" s="21" t="s">
        <v>91</v>
      </c>
      <c r="G77" s="21" t="s">
        <v>517</v>
      </c>
      <c r="H77" s="9"/>
    </row>
    <row r="78" spans="1:15" ht="30" customHeight="1" x14ac:dyDescent="0.3">
      <c r="A78" s="8"/>
      <c r="B78" s="8"/>
      <c r="C78" s="8"/>
      <c r="D78" s="6" t="s">
        <v>24</v>
      </c>
      <c r="E78" s="8" t="s">
        <v>1436</v>
      </c>
      <c r="F78" s="21" t="s">
        <v>98</v>
      </c>
      <c r="G78" s="21" t="s">
        <v>407</v>
      </c>
      <c r="H78" s="9"/>
    </row>
    <row r="79" spans="1:15" ht="30" customHeight="1" x14ac:dyDescent="0.3">
      <c r="A79" s="8"/>
      <c r="B79" s="8"/>
      <c r="C79" s="8"/>
      <c r="D79" s="6" t="s">
        <v>26</v>
      </c>
      <c r="E79" s="8" t="s">
        <v>1437</v>
      </c>
      <c r="F79" s="21" t="s">
        <v>700</v>
      </c>
      <c r="G79" s="21" t="s">
        <v>677</v>
      </c>
      <c r="H79" s="9"/>
    </row>
    <row r="80" spans="1:15" ht="30" customHeight="1" x14ac:dyDescent="0.3">
      <c r="A80" s="8"/>
      <c r="B80" s="8"/>
      <c r="C80" s="8"/>
      <c r="D80" s="6" t="s">
        <v>861</v>
      </c>
      <c r="E80" s="8" t="s">
        <v>1445</v>
      </c>
      <c r="F80" s="21" t="s">
        <v>700</v>
      </c>
      <c r="G80" s="21" t="s">
        <v>517</v>
      </c>
      <c r="H80" s="9"/>
      <c r="O80" s="1" t="s">
        <v>407</v>
      </c>
    </row>
    <row r="81" spans="1:8" ht="30" customHeight="1" x14ac:dyDescent="0.3">
      <c r="A81" s="8"/>
      <c r="B81" s="8"/>
      <c r="C81" s="8"/>
      <c r="D81" s="6" t="s">
        <v>25</v>
      </c>
      <c r="E81" s="8" t="s">
        <v>1446</v>
      </c>
      <c r="F81" s="21" t="s">
        <v>700</v>
      </c>
      <c r="G81" s="21" t="s">
        <v>357</v>
      </c>
      <c r="H81" s="9"/>
    </row>
    <row r="82" spans="1:8" ht="30" customHeight="1" x14ac:dyDescent="0.3">
      <c r="A82" s="8"/>
      <c r="B82" s="8"/>
      <c r="C82" s="8"/>
      <c r="D82" s="6" t="s">
        <v>1447</v>
      </c>
      <c r="E82" s="7">
        <v>46177</v>
      </c>
      <c r="F82" s="21" t="s">
        <v>700</v>
      </c>
      <c r="G82" s="21" t="s">
        <v>517</v>
      </c>
      <c r="H82" s="9"/>
    </row>
    <row r="83" spans="1:8" ht="30" customHeight="1" x14ac:dyDescent="0.3">
      <c r="A83" s="8"/>
      <c r="B83" s="8"/>
      <c r="C83" s="8"/>
      <c r="D83" s="6" t="s">
        <v>343</v>
      </c>
      <c r="E83" s="8" t="s">
        <v>1453</v>
      </c>
      <c r="F83" s="21" t="s">
        <v>98</v>
      </c>
      <c r="G83" s="21" t="s">
        <v>357</v>
      </c>
      <c r="H83" s="9"/>
    </row>
    <row r="84" spans="1:8" ht="30" customHeight="1" x14ac:dyDescent="0.3">
      <c r="A84" s="8"/>
      <c r="B84" s="8"/>
      <c r="C84" s="8"/>
      <c r="D84" s="6" t="s">
        <v>1463</v>
      </c>
      <c r="E84" s="8" t="s">
        <v>1464</v>
      </c>
      <c r="F84" s="21" t="s">
        <v>87</v>
      </c>
      <c r="G84" s="21" t="s">
        <v>517</v>
      </c>
      <c r="H84" s="9"/>
    </row>
    <row r="85" spans="1:8" ht="30" customHeight="1" x14ac:dyDescent="0.3">
      <c r="A85" s="8"/>
      <c r="B85" s="8"/>
      <c r="C85" s="8"/>
      <c r="D85" s="6" t="s">
        <v>1463</v>
      </c>
      <c r="E85" s="8" t="s">
        <v>1465</v>
      </c>
      <c r="F85" s="21" t="s">
        <v>700</v>
      </c>
      <c r="G85" s="21" t="s">
        <v>357</v>
      </c>
      <c r="H85" s="9"/>
    </row>
    <row r="86" spans="1:8" ht="30" customHeight="1" x14ac:dyDescent="0.3">
      <c r="A86" s="8"/>
      <c r="B86" s="8"/>
      <c r="C86" s="8"/>
      <c r="D86" s="6" t="s">
        <v>1521</v>
      </c>
      <c r="E86" s="8" t="s">
        <v>1522</v>
      </c>
      <c r="F86" s="21" t="s">
        <v>91</v>
      </c>
      <c r="G86" s="21" t="s">
        <v>517</v>
      </c>
      <c r="H86" s="9"/>
    </row>
    <row r="87" spans="1:8" ht="30" customHeight="1" x14ac:dyDescent="0.3">
      <c r="A87" s="8" t="s">
        <v>1582</v>
      </c>
      <c r="B87" s="8"/>
      <c r="C87" s="8"/>
      <c r="D87" s="6" t="s">
        <v>861</v>
      </c>
      <c r="E87" s="8" t="s">
        <v>1599</v>
      </c>
      <c r="F87" s="21" t="s">
        <v>700</v>
      </c>
      <c r="G87" s="21" t="s">
        <v>357</v>
      </c>
      <c r="H87" s="9"/>
    </row>
    <row r="88" spans="1:8" ht="30" customHeight="1" x14ac:dyDescent="0.3">
      <c r="A88" s="8"/>
      <c r="B88" s="8"/>
      <c r="C88" s="8"/>
      <c r="D88" s="6" t="s">
        <v>1600</v>
      </c>
      <c r="E88" s="8" t="s">
        <v>1171</v>
      </c>
      <c r="F88" s="21" t="s">
        <v>87</v>
      </c>
      <c r="G88" s="21" t="s">
        <v>517</v>
      </c>
      <c r="H88" s="9"/>
    </row>
    <row r="89" spans="1:8" ht="30" customHeight="1" x14ac:dyDescent="0.3">
      <c r="A89" s="8" t="s">
        <v>1464</v>
      </c>
      <c r="B89" s="8"/>
      <c r="C89" s="8"/>
      <c r="D89" s="6" t="s">
        <v>27</v>
      </c>
      <c r="E89" s="8" t="s">
        <v>1687</v>
      </c>
      <c r="F89" s="21" t="s">
        <v>91</v>
      </c>
      <c r="G89" s="21" t="s">
        <v>517</v>
      </c>
      <c r="H89" s="9"/>
    </row>
    <row r="90" spans="1:8" ht="30" customHeight="1" x14ac:dyDescent="0.3">
      <c r="A90" s="8"/>
      <c r="B90" s="8"/>
      <c r="C90" s="8"/>
      <c r="D90" s="6" t="s">
        <v>913</v>
      </c>
      <c r="E90" s="8" t="s">
        <v>302</v>
      </c>
      <c r="F90" s="21" t="s">
        <v>303</v>
      </c>
      <c r="G90" s="21" t="s">
        <v>302</v>
      </c>
      <c r="H90" s="9"/>
    </row>
    <row r="91" spans="1:8" ht="30" customHeight="1" x14ac:dyDescent="0.3">
      <c r="A91" s="8" t="s">
        <v>1714</v>
      </c>
      <c r="B91" s="8"/>
      <c r="C91" s="8"/>
      <c r="D91" s="6" t="s">
        <v>1447</v>
      </c>
      <c r="E91" s="8" t="s">
        <v>1464</v>
      </c>
      <c r="F91" s="21" t="s">
        <v>91</v>
      </c>
      <c r="G91" s="21" t="s">
        <v>517</v>
      </c>
      <c r="H91" s="9"/>
    </row>
    <row r="92" spans="1:8" ht="30" customHeight="1" x14ac:dyDescent="0.3">
      <c r="A92" s="8"/>
      <c r="B92" s="8"/>
      <c r="C92" s="8"/>
      <c r="D92" s="6" t="s">
        <v>699</v>
      </c>
      <c r="E92" s="8" t="s">
        <v>1464</v>
      </c>
      <c r="F92" s="21" t="s">
        <v>91</v>
      </c>
      <c r="G92" s="21" t="s">
        <v>517</v>
      </c>
      <c r="H92" s="9"/>
    </row>
    <row r="93" spans="1:8" ht="30" customHeight="1" x14ac:dyDescent="0.3">
      <c r="A93" s="8"/>
      <c r="B93" s="8"/>
      <c r="C93" s="8"/>
      <c r="D93" s="6" t="s">
        <v>635</v>
      </c>
      <c r="E93" s="8" t="s">
        <v>1723</v>
      </c>
      <c r="F93" s="21" t="s">
        <v>98</v>
      </c>
      <c r="G93" s="21" t="s">
        <v>357</v>
      </c>
      <c r="H93" s="9"/>
    </row>
    <row r="94" spans="1:8" ht="30" customHeight="1" x14ac:dyDescent="0.3">
      <c r="A94" s="8" t="s">
        <v>1731</v>
      </c>
      <c r="B94" s="8"/>
      <c r="C94" s="8"/>
      <c r="D94" s="6" t="s">
        <v>30</v>
      </c>
      <c r="E94" s="8" t="s">
        <v>1750</v>
      </c>
      <c r="F94" s="21" t="s">
        <v>98</v>
      </c>
      <c r="G94" s="21" t="s">
        <v>357</v>
      </c>
      <c r="H94" s="9"/>
    </row>
    <row r="95" spans="1:8" ht="30" customHeight="1" x14ac:dyDescent="0.3">
      <c r="A95" s="8" t="s">
        <v>1731</v>
      </c>
      <c r="B95" s="8"/>
      <c r="C95" s="8"/>
      <c r="D95" s="6" t="s">
        <v>51</v>
      </c>
      <c r="E95" s="8" t="s">
        <v>1781</v>
      </c>
      <c r="F95" s="21" t="s">
        <v>434</v>
      </c>
      <c r="G95" s="21" t="s">
        <v>357</v>
      </c>
      <c r="H95" s="9"/>
    </row>
    <row r="96" spans="1:8" ht="30" customHeight="1" x14ac:dyDescent="0.3">
      <c r="A96" s="8"/>
      <c r="B96" s="8"/>
      <c r="C96" s="8"/>
      <c r="D96" s="6" t="s">
        <v>699</v>
      </c>
      <c r="E96" s="8" t="s">
        <v>1786</v>
      </c>
      <c r="F96" s="21" t="s">
        <v>700</v>
      </c>
      <c r="G96" s="21" t="s">
        <v>357</v>
      </c>
      <c r="H96" s="9"/>
    </row>
    <row r="97" spans="1:8" ht="30" customHeight="1" x14ac:dyDescent="0.3">
      <c r="A97" s="8" t="s">
        <v>1795</v>
      </c>
      <c r="B97" s="8"/>
      <c r="C97" s="8"/>
      <c r="D97" s="6" t="s">
        <v>1801</v>
      </c>
      <c r="E97" s="8" t="s">
        <v>1802</v>
      </c>
      <c r="F97" s="21" t="s">
        <v>700</v>
      </c>
      <c r="G97" s="21" t="s">
        <v>517</v>
      </c>
      <c r="H97" s="9"/>
    </row>
    <row r="98" spans="1:8" ht="30" customHeight="1" x14ac:dyDescent="0.3">
      <c r="A98" s="8"/>
      <c r="B98" s="8"/>
      <c r="C98" s="8"/>
      <c r="D98" s="6" t="s">
        <v>1803</v>
      </c>
      <c r="E98" s="8" t="s">
        <v>1802</v>
      </c>
      <c r="F98" s="21" t="s">
        <v>87</v>
      </c>
      <c r="G98" s="21" t="s">
        <v>517</v>
      </c>
      <c r="H98" s="9"/>
    </row>
    <row r="99" spans="1:8" ht="30" customHeight="1" x14ac:dyDescent="0.3">
      <c r="A99" s="5" t="s">
        <v>1819</v>
      </c>
      <c r="B99" s="3"/>
      <c r="C99" s="8"/>
      <c r="D99" s="6" t="s">
        <v>42</v>
      </c>
      <c r="E99" s="8" t="s">
        <v>1820</v>
      </c>
      <c r="F99" s="21" t="s">
        <v>87</v>
      </c>
      <c r="G99" s="21" t="s">
        <v>517</v>
      </c>
      <c r="H99" s="9" t="s">
        <v>407</v>
      </c>
    </row>
    <row r="100" spans="1:8" ht="30" customHeight="1" x14ac:dyDescent="0.3">
      <c r="A100" s="5" t="s">
        <v>1819</v>
      </c>
      <c r="B100" s="3"/>
      <c r="C100" s="8"/>
      <c r="D100" s="6" t="s">
        <v>53</v>
      </c>
      <c r="E100" s="8" t="s">
        <v>1821</v>
      </c>
      <c r="F100" s="21" t="s">
        <v>98</v>
      </c>
      <c r="G100" s="21" t="s">
        <v>1822</v>
      </c>
      <c r="H100" s="9"/>
    </row>
    <row r="101" spans="1:8" ht="30" customHeight="1" x14ac:dyDescent="0.3">
      <c r="A101" s="5" t="s">
        <v>1819</v>
      </c>
      <c r="B101" s="3"/>
      <c r="C101" s="8"/>
      <c r="D101" s="6" t="s">
        <v>53</v>
      </c>
      <c r="E101" s="8" t="s">
        <v>1823</v>
      </c>
      <c r="F101" s="21" t="s">
        <v>87</v>
      </c>
      <c r="G101" s="21" t="s">
        <v>677</v>
      </c>
      <c r="H101" s="9"/>
    </row>
    <row r="102" spans="1:8" ht="30" customHeight="1" x14ac:dyDescent="0.3">
      <c r="A102" s="5" t="s">
        <v>1824</v>
      </c>
      <c r="B102" s="3"/>
      <c r="C102" s="8"/>
      <c r="D102" s="6" t="s">
        <v>85</v>
      </c>
      <c r="E102" s="8" t="s">
        <v>1825</v>
      </c>
      <c r="F102" s="21" t="s">
        <v>98</v>
      </c>
      <c r="G102" s="21" t="s">
        <v>677</v>
      </c>
      <c r="H102" s="9"/>
    </row>
    <row r="103" spans="1:8" ht="30" customHeight="1" x14ac:dyDescent="0.3">
      <c r="A103" s="5" t="s">
        <v>1839</v>
      </c>
      <c r="B103" s="3"/>
      <c r="C103" s="8"/>
      <c r="D103" s="6" t="s">
        <v>28</v>
      </c>
      <c r="E103" s="8" t="s">
        <v>1840</v>
      </c>
      <c r="F103" s="21" t="s">
        <v>98</v>
      </c>
      <c r="G103" s="21" t="s">
        <v>677</v>
      </c>
      <c r="H103" s="9"/>
    </row>
    <row r="104" spans="1:8" ht="30" customHeight="1" x14ac:dyDescent="0.3">
      <c r="A104" s="5" t="s">
        <v>1839</v>
      </c>
      <c r="B104" s="3"/>
      <c r="C104" s="8"/>
      <c r="D104" s="6" t="s">
        <v>89</v>
      </c>
      <c r="E104" s="8" t="s">
        <v>1844</v>
      </c>
      <c r="F104" s="21" t="s">
        <v>87</v>
      </c>
      <c r="G104" s="21" t="s">
        <v>517</v>
      </c>
      <c r="H104" s="9"/>
    </row>
    <row r="105" spans="1:8" ht="30" customHeight="1" x14ac:dyDescent="0.3">
      <c r="A105" s="74">
        <v>415072</v>
      </c>
      <c r="B105" s="3"/>
      <c r="C105" s="8"/>
      <c r="D105" s="6" t="s">
        <v>1803</v>
      </c>
      <c r="E105" s="8" t="s">
        <v>1871</v>
      </c>
      <c r="F105" s="21" t="s">
        <v>98</v>
      </c>
      <c r="G105" s="21" t="s">
        <v>677</v>
      </c>
      <c r="H105" s="9"/>
    </row>
    <row r="106" spans="1:8" ht="30" customHeight="1" x14ac:dyDescent="0.3">
      <c r="A106" s="74">
        <v>415072</v>
      </c>
      <c r="B106" s="3"/>
      <c r="C106" s="8"/>
      <c r="D106" s="6" t="s">
        <v>144</v>
      </c>
      <c r="E106" s="8" t="s">
        <v>1874</v>
      </c>
      <c r="F106" s="21" t="s">
        <v>87</v>
      </c>
      <c r="G106" s="21" t="s">
        <v>517</v>
      </c>
      <c r="H106" s="9"/>
    </row>
    <row r="107" spans="1:8" ht="30" customHeight="1" x14ac:dyDescent="0.3">
      <c r="A107" s="74">
        <v>415072</v>
      </c>
      <c r="B107" s="3"/>
      <c r="C107" s="8"/>
      <c r="D107" s="6" t="s">
        <v>1875</v>
      </c>
      <c r="E107" s="8" t="s">
        <v>1876</v>
      </c>
      <c r="F107" s="21" t="s">
        <v>98</v>
      </c>
      <c r="G107" s="21" t="s">
        <v>1822</v>
      </c>
      <c r="H107" s="9"/>
    </row>
    <row r="108" spans="1:8" ht="30" customHeight="1" x14ac:dyDescent="0.3">
      <c r="A108" s="74">
        <v>415072</v>
      </c>
      <c r="B108" s="3"/>
      <c r="C108" s="8"/>
      <c r="D108" s="6" t="s">
        <v>42</v>
      </c>
      <c r="E108" s="8" t="s">
        <v>1876</v>
      </c>
      <c r="F108" s="21" t="s">
        <v>98</v>
      </c>
      <c r="G108" s="21" t="s">
        <v>1822</v>
      </c>
      <c r="H108" s="9"/>
    </row>
    <row r="109" spans="1:8" ht="30" customHeight="1" x14ac:dyDescent="0.3">
      <c r="A109" s="74">
        <v>415072</v>
      </c>
      <c r="B109" s="3"/>
      <c r="C109" s="8"/>
      <c r="D109" s="6" t="s">
        <v>53</v>
      </c>
      <c r="E109" s="8" t="s">
        <v>1877</v>
      </c>
      <c r="F109" s="21" t="s">
        <v>700</v>
      </c>
      <c r="G109" s="21" t="s">
        <v>916</v>
      </c>
      <c r="H109" s="9"/>
    </row>
    <row r="110" spans="1:8" ht="30" customHeight="1" x14ac:dyDescent="0.3">
      <c r="A110" s="74">
        <v>46207</v>
      </c>
      <c r="B110" s="3"/>
      <c r="C110" s="8"/>
      <c r="D110" s="6" t="s">
        <v>89</v>
      </c>
      <c r="E110" s="8" t="s">
        <v>1883</v>
      </c>
      <c r="F110" s="21" t="s">
        <v>434</v>
      </c>
      <c r="G110" s="21" t="s">
        <v>517</v>
      </c>
      <c r="H110" s="9"/>
    </row>
    <row r="111" spans="1:8" ht="30" customHeight="1" x14ac:dyDescent="0.3">
      <c r="A111" s="74">
        <v>46238</v>
      </c>
      <c r="B111" s="3"/>
      <c r="C111" s="8"/>
      <c r="D111" s="6" t="s">
        <v>53</v>
      </c>
      <c r="E111" s="8" t="s">
        <v>1844</v>
      </c>
      <c r="F111" s="21" t="s">
        <v>87</v>
      </c>
      <c r="G111" s="21" t="s">
        <v>517</v>
      </c>
      <c r="H111" s="9"/>
    </row>
    <row r="112" spans="1:8" ht="30" customHeight="1" x14ac:dyDescent="0.3">
      <c r="A112" s="21" t="s">
        <v>1924</v>
      </c>
      <c r="B112" s="3"/>
      <c r="C112" s="8"/>
      <c r="D112" s="6" t="s">
        <v>33</v>
      </c>
      <c r="E112" s="8" t="s">
        <v>1808</v>
      </c>
      <c r="F112" s="21" t="s">
        <v>434</v>
      </c>
      <c r="G112" s="21" t="s">
        <v>517</v>
      </c>
      <c r="H112" s="9"/>
    </row>
    <row r="113" spans="1:8" ht="30" customHeight="1" x14ac:dyDescent="0.3">
      <c r="A113" s="5"/>
      <c r="B113" s="3"/>
      <c r="C113" s="8"/>
      <c r="D113" s="6" t="s">
        <v>1925</v>
      </c>
      <c r="E113" s="8" t="s">
        <v>1883</v>
      </c>
      <c r="F113" s="21"/>
      <c r="G113" s="21" t="s">
        <v>517</v>
      </c>
      <c r="H113" s="9"/>
    </row>
    <row r="114" spans="1:8" ht="30" customHeight="1" x14ac:dyDescent="0.3">
      <c r="A114" s="5"/>
      <c r="B114" s="3"/>
      <c r="C114" s="8"/>
      <c r="D114" s="6" t="s">
        <v>342</v>
      </c>
      <c r="E114" s="23" t="s">
        <v>1926</v>
      </c>
      <c r="F114" s="21"/>
      <c r="G114" s="21" t="s">
        <v>357</v>
      </c>
      <c r="H114" s="9"/>
    </row>
    <row r="115" spans="1:8" ht="30" customHeight="1" x14ac:dyDescent="0.3">
      <c r="A115" s="21" t="s">
        <v>1979</v>
      </c>
      <c r="B115" s="3"/>
      <c r="C115" s="8"/>
      <c r="D115" s="6" t="s">
        <v>42</v>
      </c>
      <c r="E115" s="8" t="s">
        <v>1844</v>
      </c>
      <c r="F115" s="21" t="s">
        <v>91</v>
      </c>
      <c r="G115" s="21" t="s">
        <v>517</v>
      </c>
      <c r="H115" s="9"/>
    </row>
    <row r="116" spans="1:8" ht="30" customHeight="1" x14ac:dyDescent="0.3">
      <c r="A116" s="5"/>
      <c r="B116" s="3"/>
      <c r="C116" s="8"/>
      <c r="D116" s="6" t="s">
        <v>861</v>
      </c>
      <c r="E116" s="8" t="s">
        <v>2006</v>
      </c>
      <c r="F116" s="21" t="s">
        <v>98</v>
      </c>
      <c r="G116" s="21" t="s">
        <v>517</v>
      </c>
      <c r="H116" s="9"/>
    </row>
    <row r="117" spans="1:8" ht="30" customHeight="1" x14ac:dyDescent="0.3">
      <c r="A117" s="5"/>
      <c r="B117" s="3"/>
      <c r="C117" s="8"/>
      <c r="D117" s="6" t="s">
        <v>54</v>
      </c>
      <c r="E117" s="8" t="s">
        <v>2006</v>
      </c>
      <c r="F117" s="21" t="s">
        <v>87</v>
      </c>
      <c r="G117" s="21" t="s">
        <v>517</v>
      </c>
      <c r="H117" s="9"/>
    </row>
    <row r="118" spans="1:8" ht="30" customHeight="1" x14ac:dyDescent="0.3">
      <c r="A118" s="5"/>
      <c r="B118" s="3"/>
      <c r="C118" s="8"/>
      <c r="D118" s="6" t="s">
        <v>24</v>
      </c>
      <c r="E118" s="8" t="s">
        <v>2007</v>
      </c>
      <c r="F118" s="21" t="s">
        <v>92</v>
      </c>
      <c r="G118" s="21" t="s">
        <v>517</v>
      </c>
      <c r="H118" s="9"/>
    </row>
    <row r="119" spans="1:8" ht="30" customHeight="1" x14ac:dyDescent="0.3">
      <c r="A119" s="5"/>
      <c r="B119" s="3"/>
      <c r="C119" s="8"/>
      <c r="D119" s="6" t="s">
        <v>860</v>
      </c>
      <c r="E119" s="8" t="s">
        <v>1844</v>
      </c>
      <c r="F119" s="21" t="s">
        <v>91</v>
      </c>
      <c r="G119" s="21" t="s">
        <v>517</v>
      </c>
      <c r="H119" s="9"/>
    </row>
    <row r="120" spans="1:8" ht="30" customHeight="1" x14ac:dyDescent="0.3">
      <c r="A120" s="5"/>
      <c r="B120" s="3"/>
      <c r="C120" s="8"/>
      <c r="D120" s="6" t="s">
        <v>30</v>
      </c>
      <c r="E120" s="8" t="s">
        <v>2008</v>
      </c>
      <c r="F120" s="21" t="s">
        <v>98</v>
      </c>
      <c r="G120" s="21" t="s">
        <v>517</v>
      </c>
      <c r="H120" s="9"/>
    </row>
    <row r="121" spans="1:8" ht="30" customHeight="1" x14ac:dyDescent="0.3">
      <c r="A121" s="5"/>
      <c r="B121" s="3"/>
      <c r="C121" s="8"/>
      <c r="D121" s="6" t="s">
        <v>21</v>
      </c>
      <c r="E121" s="8" t="s">
        <v>2009</v>
      </c>
      <c r="F121" s="21" t="s">
        <v>98</v>
      </c>
      <c r="G121" s="21" t="s">
        <v>517</v>
      </c>
      <c r="H121" s="9"/>
    </row>
    <row r="122" spans="1:8" ht="30" customHeight="1" x14ac:dyDescent="0.3">
      <c r="A122" s="5"/>
      <c r="B122" s="3"/>
      <c r="C122" s="8"/>
      <c r="D122" s="6" t="s">
        <v>100</v>
      </c>
      <c r="E122" s="8" t="s">
        <v>1844</v>
      </c>
      <c r="F122" s="21" t="s">
        <v>91</v>
      </c>
      <c r="G122" s="21" t="s">
        <v>517</v>
      </c>
      <c r="H122" s="9"/>
    </row>
    <row r="123" spans="1:8" ht="30" customHeight="1" x14ac:dyDescent="0.3">
      <c r="A123" s="5"/>
      <c r="B123" s="3"/>
      <c r="C123" s="8"/>
      <c r="D123" s="6" t="s">
        <v>28</v>
      </c>
      <c r="E123" s="8" t="s">
        <v>2029</v>
      </c>
      <c r="F123" s="21" t="s">
        <v>98</v>
      </c>
      <c r="G123" s="21" t="s">
        <v>357</v>
      </c>
      <c r="H123" s="9"/>
    </row>
    <row r="124" spans="1:8" ht="30" customHeight="1" x14ac:dyDescent="0.3">
      <c r="A124" s="21" t="s">
        <v>2062</v>
      </c>
      <c r="B124" s="3"/>
      <c r="C124" s="8"/>
      <c r="D124" s="6" t="s">
        <v>89</v>
      </c>
      <c r="E124" s="8" t="s">
        <v>1983</v>
      </c>
      <c r="F124" s="21" t="s">
        <v>91</v>
      </c>
      <c r="G124" s="21" t="s">
        <v>517</v>
      </c>
      <c r="H124" s="9"/>
    </row>
    <row r="125" spans="1:8" ht="30" customHeight="1" x14ac:dyDescent="0.3">
      <c r="A125" s="5"/>
      <c r="B125" s="3"/>
      <c r="C125" s="8"/>
      <c r="D125" s="6" t="s">
        <v>635</v>
      </c>
      <c r="E125" s="8" t="s">
        <v>2069</v>
      </c>
      <c r="F125" s="21" t="s">
        <v>98</v>
      </c>
      <c r="G125" s="21" t="s">
        <v>357</v>
      </c>
      <c r="H125" s="9"/>
    </row>
    <row r="126" spans="1:8" ht="30" customHeight="1" x14ac:dyDescent="0.3">
      <c r="A126" s="5"/>
      <c r="B126" s="3"/>
      <c r="C126" s="8"/>
      <c r="D126" s="6" t="s">
        <v>699</v>
      </c>
      <c r="E126" s="8" t="s">
        <v>1983</v>
      </c>
      <c r="F126" s="21" t="s">
        <v>91</v>
      </c>
      <c r="G126" s="21" t="s">
        <v>654</v>
      </c>
      <c r="H126" s="9"/>
    </row>
    <row r="127" spans="1:8" ht="30" customHeight="1" x14ac:dyDescent="0.3">
      <c r="A127" s="21" t="s">
        <v>2104</v>
      </c>
      <c r="B127" s="3"/>
      <c r="C127" s="8"/>
      <c r="D127" s="6" t="s">
        <v>30</v>
      </c>
      <c r="E127" s="8" t="s">
        <v>2008</v>
      </c>
      <c r="F127" s="21" t="s">
        <v>91</v>
      </c>
      <c r="G127" s="21" t="s">
        <v>517</v>
      </c>
      <c r="H127" s="9"/>
    </row>
    <row r="128" spans="1:8" ht="30" customHeight="1" x14ac:dyDescent="0.3">
      <c r="A128" s="5"/>
      <c r="B128" s="3"/>
      <c r="C128" s="8"/>
      <c r="D128" s="6" t="s">
        <v>182</v>
      </c>
      <c r="E128" s="8" t="s">
        <v>2107</v>
      </c>
      <c r="F128" s="21" t="s">
        <v>98</v>
      </c>
      <c r="G128" s="21" t="s">
        <v>357</v>
      </c>
      <c r="H128" s="9"/>
    </row>
    <row r="129" spans="1:8" ht="30" customHeight="1" x14ac:dyDescent="0.3">
      <c r="A129" s="5"/>
      <c r="B129" s="3"/>
      <c r="C129" s="8"/>
      <c r="D129" s="6" t="s">
        <v>89</v>
      </c>
      <c r="E129" s="8" t="s">
        <v>2108</v>
      </c>
      <c r="F129" s="21" t="s">
        <v>98</v>
      </c>
      <c r="G129" s="21" t="s">
        <v>357</v>
      </c>
      <c r="H129" s="9"/>
    </row>
    <row r="130" spans="1:8" ht="30" customHeight="1" x14ac:dyDescent="0.3">
      <c r="A130" s="5"/>
      <c r="B130" s="3"/>
      <c r="C130" s="8"/>
      <c r="D130" s="6" t="s">
        <v>635</v>
      </c>
      <c r="E130" s="8" t="s">
        <v>2111</v>
      </c>
      <c r="F130" s="21" t="s">
        <v>700</v>
      </c>
      <c r="G130" s="21" t="s">
        <v>357</v>
      </c>
      <c r="H130" s="9"/>
    </row>
    <row r="131" spans="1:8" ht="30" customHeight="1" x14ac:dyDescent="0.3">
      <c r="A131" s="5" t="s">
        <v>2118</v>
      </c>
      <c r="B131" s="3"/>
      <c r="C131" s="8"/>
      <c r="D131" s="6" t="s">
        <v>85</v>
      </c>
      <c r="E131" s="8" t="s">
        <v>2081</v>
      </c>
      <c r="F131" s="21" t="s">
        <v>87</v>
      </c>
      <c r="G131" s="21" t="s">
        <v>517</v>
      </c>
      <c r="H131" s="9"/>
    </row>
    <row r="132" spans="1:8" ht="30" customHeight="1" x14ac:dyDescent="0.3">
      <c r="A132" s="21"/>
      <c r="B132" s="3"/>
      <c r="C132" s="8"/>
      <c r="D132" s="6" t="s">
        <v>699</v>
      </c>
      <c r="E132" s="8" t="s">
        <v>1980</v>
      </c>
      <c r="F132" s="21" t="s">
        <v>91</v>
      </c>
      <c r="G132" s="21" t="s">
        <v>517</v>
      </c>
      <c r="H132" s="9"/>
    </row>
    <row r="133" spans="1:8" ht="30" customHeight="1" x14ac:dyDescent="0.3">
      <c r="A133" s="5"/>
      <c r="B133" s="3"/>
      <c r="C133" s="8"/>
      <c r="D133" s="6" t="s">
        <v>699</v>
      </c>
      <c r="E133" s="8" t="s">
        <v>2133</v>
      </c>
      <c r="F133" s="21" t="s">
        <v>98</v>
      </c>
      <c r="G133" s="21" t="s">
        <v>677</v>
      </c>
      <c r="H133" s="9"/>
    </row>
    <row r="134" spans="1:8" ht="30" customHeight="1" x14ac:dyDescent="0.3">
      <c r="A134" s="5"/>
      <c r="B134" s="3"/>
      <c r="C134" s="8"/>
      <c r="D134" s="6" t="s">
        <v>30</v>
      </c>
      <c r="E134" s="8" t="s">
        <v>2111</v>
      </c>
      <c r="F134" s="21" t="s">
        <v>98</v>
      </c>
      <c r="G134" s="21" t="s">
        <v>357</v>
      </c>
      <c r="H134" s="9"/>
    </row>
    <row r="135" spans="1:8" ht="30" customHeight="1" x14ac:dyDescent="0.3">
      <c r="A135" s="5" t="s">
        <v>2210</v>
      </c>
      <c r="B135" s="3"/>
      <c r="C135" s="8"/>
      <c r="D135" s="6" t="s">
        <v>1803</v>
      </c>
      <c r="E135" s="8" t="s">
        <v>2155</v>
      </c>
      <c r="F135" s="21" t="s">
        <v>91</v>
      </c>
      <c r="G135" s="21" t="s">
        <v>517</v>
      </c>
      <c r="H135" s="9"/>
    </row>
    <row r="136" spans="1:8" ht="30" customHeight="1" x14ac:dyDescent="0.3">
      <c r="A136" s="5"/>
      <c r="B136" s="3"/>
      <c r="C136" s="8"/>
      <c r="D136" s="6" t="s">
        <v>182</v>
      </c>
      <c r="E136" s="8" t="s">
        <v>2009</v>
      </c>
      <c r="F136" s="21" t="s">
        <v>87</v>
      </c>
      <c r="G136" s="21" t="s">
        <v>517</v>
      </c>
      <c r="H136" s="9"/>
    </row>
    <row r="137" spans="1:8" ht="30" customHeight="1" x14ac:dyDescent="0.3">
      <c r="A137" s="5" t="s">
        <v>2238</v>
      </c>
      <c r="B137" s="3"/>
      <c r="C137" s="8"/>
      <c r="D137" s="6" t="s">
        <v>2239</v>
      </c>
      <c r="E137" s="8" t="s">
        <v>2081</v>
      </c>
      <c r="F137" s="21" t="s">
        <v>91</v>
      </c>
      <c r="G137" s="21" t="s">
        <v>517</v>
      </c>
      <c r="H137" s="9"/>
    </row>
    <row r="138" spans="1:8" ht="30" customHeight="1" x14ac:dyDescent="0.3">
      <c r="A138" s="5" t="s">
        <v>2254</v>
      </c>
      <c r="B138" s="3"/>
      <c r="C138" s="8"/>
      <c r="D138" s="6" t="s">
        <v>595</v>
      </c>
      <c r="E138" s="8" t="s">
        <v>2304</v>
      </c>
      <c r="F138" s="21" t="s">
        <v>87</v>
      </c>
      <c r="G138" s="21" t="s">
        <v>517</v>
      </c>
      <c r="H138" s="9"/>
    </row>
    <row r="139" spans="1:8" ht="30" customHeight="1" x14ac:dyDescent="0.3">
      <c r="A139" s="5" t="s">
        <v>2350</v>
      </c>
      <c r="B139" s="3"/>
      <c r="C139" s="8"/>
      <c r="D139" s="6" t="s">
        <v>1463</v>
      </c>
      <c r="E139" s="8" t="s">
        <v>2351</v>
      </c>
      <c r="F139" s="21" t="s">
        <v>700</v>
      </c>
      <c r="G139" s="21" t="s">
        <v>677</v>
      </c>
      <c r="H139" s="9"/>
    </row>
    <row r="140" spans="1:8" ht="30" customHeight="1" x14ac:dyDescent="0.3">
      <c r="A140" s="64">
        <v>46117</v>
      </c>
      <c r="B140" s="3"/>
      <c r="C140" s="8"/>
      <c r="D140" s="6" t="s">
        <v>52</v>
      </c>
      <c r="E140" s="8" t="s">
        <v>2388</v>
      </c>
      <c r="F140" s="21" t="s">
        <v>98</v>
      </c>
      <c r="G140" s="21" t="s">
        <v>357</v>
      </c>
      <c r="H140" s="9"/>
    </row>
    <row r="141" spans="1:8" ht="30" customHeight="1" x14ac:dyDescent="0.3">
      <c r="A141" s="5"/>
      <c r="B141" s="3"/>
      <c r="C141" s="8"/>
      <c r="D141" s="6" t="s">
        <v>861</v>
      </c>
      <c r="E141" s="8" t="s">
        <v>2389</v>
      </c>
      <c r="F141" s="21" t="s">
        <v>91</v>
      </c>
      <c r="G141" s="21" t="s">
        <v>517</v>
      </c>
      <c r="H141" s="9"/>
    </row>
    <row r="142" spans="1:8" ht="30" customHeight="1" x14ac:dyDescent="0.3">
      <c r="A142" s="5"/>
      <c r="B142" s="3"/>
      <c r="C142" s="8"/>
      <c r="D142" s="6" t="s">
        <v>2401</v>
      </c>
      <c r="E142" s="8" t="s">
        <v>2402</v>
      </c>
      <c r="F142" s="21" t="s">
        <v>87</v>
      </c>
      <c r="G142" s="21" t="s">
        <v>517</v>
      </c>
      <c r="H142" s="9"/>
    </row>
    <row r="143" spans="1:8" ht="30" customHeight="1" x14ac:dyDescent="0.3">
      <c r="A143" s="64">
        <v>46331</v>
      </c>
      <c r="B143" s="3"/>
      <c r="C143" s="8"/>
      <c r="D143" s="6" t="s">
        <v>2401</v>
      </c>
      <c r="E143" s="8" t="s">
        <v>1823</v>
      </c>
      <c r="F143" s="21" t="s">
        <v>87</v>
      </c>
      <c r="G143" s="21" t="s">
        <v>357</v>
      </c>
      <c r="H143" s="9"/>
    </row>
    <row r="144" spans="1:8" ht="30" customHeight="1" x14ac:dyDescent="0.3">
      <c r="A144" s="5"/>
      <c r="B144" s="3"/>
      <c r="C144" s="8"/>
      <c r="D144" s="6" t="s">
        <v>2401</v>
      </c>
      <c r="E144" s="8" t="s">
        <v>2513</v>
      </c>
      <c r="F144" s="21" t="s">
        <v>98</v>
      </c>
      <c r="G144" s="21" t="s">
        <v>677</v>
      </c>
      <c r="H144" s="9"/>
    </row>
    <row r="145" spans="1:8" ht="30" customHeight="1" x14ac:dyDescent="0.3">
      <c r="A145" s="64"/>
      <c r="B145" s="3"/>
      <c r="C145" s="8"/>
      <c r="D145" s="6" t="s">
        <v>100</v>
      </c>
      <c r="E145" s="8" t="s">
        <v>2518</v>
      </c>
      <c r="F145" s="21" t="s">
        <v>87</v>
      </c>
      <c r="G145" s="21" t="s">
        <v>517</v>
      </c>
      <c r="H145" s="9"/>
    </row>
    <row r="146" spans="1:8" ht="30" customHeight="1" x14ac:dyDescent="0.3">
      <c r="A146" s="64">
        <v>46361</v>
      </c>
      <c r="B146" s="3"/>
      <c r="C146" s="8"/>
      <c r="D146" s="6" t="s">
        <v>1570</v>
      </c>
      <c r="E146" s="8" t="s">
        <v>1932</v>
      </c>
      <c r="F146" s="21" t="s">
        <v>98</v>
      </c>
      <c r="G146" s="21" t="s">
        <v>357</v>
      </c>
      <c r="H146" s="9"/>
    </row>
    <row r="147" spans="1:8" ht="30" customHeight="1" x14ac:dyDescent="0.3">
      <c r="A147" s="5"/>
      <c r="B147" s="3"/>
      <c r="C147" s="8"/>
      <c r="D147" s="6" t="s">
        <v>89</v>
      </c>
      <c r="E147" s="8" t="s">
        <v>2506</v>
      </c>
      <c r="F147" s="21" t="s">
        <v>91</v>
      </c>
      <c r="G147" s="21" t="s">
        <v>517</v>
      </c>
      <c r="H147" s="9"/>
    </row>
    <row r="148" spans="1:8" ht="30" customHeight="1" x14ac:dyDescent="0.3">
      <c r="A148" s="5" t="s">
        <v>2554</v>
      </c>
      <c r="B148" s="3"/>
      <c r="C148" s="8"/>
      <c r="D148" s="6" t="s">
        <v>861</v>
      </c>
      <c r="E148" s="8" t="s">
        <v>2526</v>
      </c>
      <c r="F148" s="21" t="s">
        <v>91</v>
      </c>
      <c r="G148" s="21"/>
      <c r="H148" s="9"/>
    </row>
    <row r="149" spans="1:8" ht="30" customHeight="1" x14ac:dyDescent="0.3">
      <c r="A149" s="5" t="s">
        <v>2571</v>
      </c>
      <c r="B149" s="3"/>
      <c r="C149" s="8"/>
      <c r="D149" s="6" t="s">
        <v>25</v>
      </c>
      <c r="E149" s="8" t="s">
        <v>2583</v>
      </c>
      <c r="F149" s="21" t="s">
        <v>87</v>
      </c>
      <c r="G149" s="21" t="s">
        <v>517</v>
      </c>
      <c r="H149" s="9"/>
    </row>
    <row r="150" spans="1:8" ht="30" customHeight="1" x14ac:dyDescent="0.3">
      <c r="A150" s="5"/>
      <c r="B150" s="3"/>
      <c r="C150" s="8"/>
      <c r="D150" s="6" t="s">
        <v>861</v>
      </c>
      <c r="E150" s="8" t="s">
        <v>2584</v>
      </c>
      <c r="F150" s="21" t="s">
        <v>98</v>
      </c>
      <c r="G150" s="21" t="s">
        <v>357</v>
      </c>
      <c r="H150" s="9"/>
    </row>
    <row r="151" spans="1:8" ht="30" customHeight="1" x14ac:dyDescent="0.3">
      <c r="A151" s="5"/>
      <c r="B151" s="3"/>
      <c r="C151" s="8"/>
      <c r="D151" s="6" t="s">
        <v>1801</v>
      </c>
      <c r="E151" s="8" t="s">
        <v>2594</v>
      </c>
      <c r="F151" s="21" t="s">
        <v>87</v>
      </c>
      <c r="G151" s="21" t="s">
        <v>517</v>
      </c>
      <c r="H151" s="9"/>
    </row>
    <row r="152" spans="1:8" ht="30" customHeight="1" x14ac:dyDescent="0.3">
      <c r="A152" s="5"/>
      <c r="B152" s="3"/>
      <c r="C152" s="8"/>
      <c r="D152" s="6" t="s">
        <v>49</v>
      </c>
      <c r="E152" s="8" t="s">
        <v>2574</v>
      </c>
      <c r="F152" s="21" t="s">
        <v>98</v>
      </c>
      <c r="G152" s="3" t="s">
        <v>654</v>
      </c>
      <c r="H152" s="9"/>
    </row>
    <row r="153" spans="1:8" ht="30" customHeight="1" x14ac:dyDescent="0.3">
      <c r="A153" s="5"/>
      <c r="B153" s="3"/>
      <c r="C153" s="8"/>
      <c r="D153" s="6" t="s">
        <v>24</v>
      </c>
      <c r="E153" s="8" t="s">
        <v>2574</v>
      </c>
      <c r="F153" s="21" t="s">
        <v>98</v>
      </c>
      <c r="G153" s="21" t="s">
        <v>517</v>
      </c>
      <c r="H153" s="9"/>
    </row>
    <row r="154" spans="1:8" ht="30" customHeight="1" x14ac:dyDescent="0.3">
      <c r="A154" s="5"/>
      <c r="B154" s="3"/>
      <c r="C154" s="8"/>
      <c r="D154" s="6" t="s">
        <v>1447</v>
      </c>
      <c r="E154" s="8" t="s">
        <v>2615</v>
      </c>
      <c r="F154" s="21" t="s">
        <v>700</v>
      </c>
      <c r="G154" s="21" t="s">
        <v>99</v>
      </c>
      <c r="H154" s="9"/>
    </row>
    <row r="155" spans="1:8" ht="30" customHeight="1" x14ac:dyDescent="0.3">
      <c r="A155" s="5"/>
      <c r="B155" s="3"/>
      <c r="C155" s="8" t="s">
        <v>513</v>
      </c>
      <c r="D155" s="6" t="s">
        <v>1447</v>
      </c>
      <c r="E155" s="8" t="s">
        <v>2616</v>
      </c>
      <c r="F155" s="21" t="s">
        <v>87</v>
      </c>
      <c r="G155" s="21" t="s">
        <v>517</v>
      </c>
      <c r="H155" s="9"/>
    </row>
    <row r="156" spans="1:8" ht="30" customHeight="1" x14ac:dyDescent="0.3">
      <c r="A156" s="5" t="s">
        <v>2617</v>
      </c>
      <c r="B156" s="3"/>
      <c r="C156" s="8"/>
      <c r="D156" s="6" t="s">
        <v>240</v>
      </c>
      <c r="E156" s="8" t="s">
        <v>2402</v>
      </c>
      <c r="F156" s="21" t="s">
        <v>98</v>
      </c>
      <c r="G156" s="8" t="s">
        <v>517</v>
      </c>
      <c r="H156" s="9"/>
    </row>
    <row r="157" spans="1:8" ht="30" customHeight="1" x14ac:dyDescent="0.3">
      <c r="A157" s="5"/>
      <c r="B157" s="3"/>
      <c r="C157" s="8"/>
      <c r="D157" s="6" t="s">
        <v>58</v>
      </c>
      <c r="E157" s="8" t="s">
        <v>2627</v>
      </c>
      <c r="F157" s="21" t="s">
        <v>98</v>
      </c>
      <c r="G157" s="8" t="s">
        <v>357</v>
      </c>
      <c r="H157" s="9"/>
    </row>
    <row r="158" spans="1:8" ht="30" customHeight="1" x14ac:dyDescent="0.3">
      <c r="A158" s="5" t="s">
        <v>2629</v>
      </c>
      <c r="B158" s="3"/>
      <c r="C158" s="8"/>
      <c r="D158" s="6" t="s">
        <v>343</v>
      </c>
      <c r="E158" s="8"/>
      <c r="F158" s="21"/>
      <c r="G158" s="8" t="s">
        <v>517</v>
      </c>
      <c r="H158" s="9"/>
    </row>
    <row r="159" spans="1:8" ht="30" customHeight="1" x14ac:dyDescent="0.3">
      <c r="A159" s="5" t="s">
        <v>2681</v>
      </c>
      <c r="B159" s="3"/>
      <c r="C159" s="8"/>
      <c r="D159" s="6" t="s">
        <v>30</v>
      </c>
      <c r="E159" s="8" t="s">
        <v>2682</v>
      </c>
      <c r="F159" s="21" t="s">
        <v>87</v>
      </c>
      <c r="G159" s="8" t="s">
        <v>357</v>
      </c>
      <c r="H159" s="9"/>
    </row>
    <row r="160" spans="1:8" ht="30" customHeight="1" x14ac:dyDescent="0.3">
      <c r="A160" s="5"/>
      <c r="B160" s="3"/>
      <c r="C160" s="8"/>
      <c r="D160" s="6" t="s">
        <v>1459</v>
      </c>
      <c r="E160" s="8" t="s">
        <v>2533</v>
      </c>
      <c r="F160" s="21" t="s">
        <v>91</v>
      </c>
      <c r="G160" s="8" t="s">
        <v>517</v>
      </c>
      <c r="H160" s="9"/>
    </row>
    <row r="161" spans="1:8" ht="30" customHeight="1" x14ac:dyDescent="0.3">
      <c r="A161" s="5"/>
      <c r="B161" s="3"/>
      <c r="C161" s="8"/>
      <c r="D161" s="6" t="s">
        <v>2401</v>
      </c>
      <c r="E161" s="8" t="s">
        <v>2518</v>
      </c>
      <c r="F161" s="21" t="s">
        <v>91</v>
      </c>
      <c r="G161" s="8" t="s">
        <v>517</v>
      </c>
      <c r="H161" s="9"/>
    </row>
    <row r="162" spans="1:8" ht="30" customHeight="1" x14ac:dyDescent="0.3">
      <c r="A162" s="5"/>
      <c r="B162" s="3"/>
      <c r="C162" s="8"/>
      <c r="D162" s="6" t="s">
        <v>25</v>
      </c>
      <c r="E162" s="8" t="s">
        <v>2518</v>
      </c>
      <c r="F162" s="21" t="s">
        <v>91</v>
      </c>
      <c r="G162" s="8" t="s">
        <v>517</v>
      </c>
      <c r="H162" s="9"/>
    </row>
    <row r="163" spans="1:8" ht="30" customHeight="1" x14ac:dyDescent="0.3">
      <c r="A163" s="5"/>
      <c r="B163" s="3"/>
      <c r="C163" s="8"/>
      <c r="D163" s="6" t="s">
        <v>17</v>
      </c>
      <c r="E163" s="8" t="s">
        <v>2713</v>
      </c>
      <c r="F163" s="21" t="s">
        <v>98</v>
      </c>
      <c r="G163" s="8" t="s">
        <v>357</v>
      </c>
      <c r="H163" s="9"/>
    </row>
    <row r="164" spans="1:8" ht="30" customHeight="1" x14ac:dyDescent="0.3">
      <c r="A164" s="5" t="s">
        <v>2715</v>
      </c>
      <c r="B164" s="3"/>
      <c r="C164" s="8"/>
      <c r="D164" s="6" t="s">
        <v>42</v>
      </c>
      <c r="E164" s="8" t="s">
        <v>2716</v>
      </c>
      <c r="F164" s="21" t="s">
        <v>98</v>
      </c>
      <c r="G164" s="8" t="s">
        <v>357</v>
      </c>
      <c r="H164" s="9"/>
    </row>
    <row r="165" spans="1:8" ht="30" customHeight="1" x14ac:dyDescent="0.3">
      <c r="A165" s="5" t="s">
        <v>2754</v>
      </c>
      <c r="B165" s="3"/>
      <c r="C165" s="8"/>
      <c r="D165" s="6" t="s">
        <v>49</v>
      </c>
      <c r="E165" s="8" t="s">
        <v>2742</v>
      </c>
      <c r="F165" s="21" t="s">
        <v>434</v>
      </c>
      <c r="G165" s="8" t="s">
        <v>2768</v>
      </c>
      <c r="H165" s="9"/>
    </row>
    <row r="166" spans="1:8" ht="30" customHeight="1" x14ac:dyDescent="0.3">
      <c r="A166" s="64">
        <v>46028</v>
      </c>
      <c r="B166" s="3"/>
      <c r="C166" s="8"/>
      <c r="D166" s="6" t="s">
        <v>49</v>
      </c>
      <c r="E166" s="8" t="s">
        <v>2769</v>
      </c>
      <c r="F166" s="21" t="s">
        <v>87</v>
      </c>
      <c r="G166" s="8" t="s">
        <v>357</v>
      </c>
      <c r="H166" s="9"/>
    </row>
    <row r="167" spans="1:8" ht="30" customHeight="1" x14ac:dyDescent="0.3">
      <c r="A167" s="5"/>
      <c r="B167" s="3"/>
      <c r="C167" s="8"/>
      <c r="D167" s="6" t="s">
        <v>42</v>
      </c>
      <c r="E167" s="8" t="s">
        <v>2770</v>
      </c>
      <c r="F167" s="21" t="s">
        <v>98</v>
      </c>
      <c r="G167" s="8" t="s">
        <v>357</v>
      </c>
      <c r="H167" s="9"/>
    </row>
    <row r="168" spans="1:8" ht="30" customHeight="1" x14ac:dyDescent="0.3">
      <c r="A168" s="5"/>
      <c r="B168" s="3"/>
      <c r="C168" s="8"/>
      <c r="D168" s="6" t="s">
        <v>1803</v>
      </c>
      <c r="E168" s="8" t="s">
        <v>2796</v>
      </c>
      <c r="F168" s="21" t="s">
        <v>98</v>
      </c>
      <c r="G168" s="8" t="s">
        <v>517</v>
      </c>
      <c r="H168" s="9"/>
    </row>
    <row r="169" spans="1:8" ht="30" customHeight="1" x14ac:dyDescent="0.3">
      <c r="A169" s="5"/>
      <c r="B169" s="3"/>
      <c r="C169" s="8"/>
      <c r="D169" s="6" t="s">
        <v>33</v>
      </c>
      <c r="E169" s="8" t="s">
        <v>2801</v>
      </c>
      <c r="F169" s="21" t="s">
        <v>87</v>
      </c>
      <c r="G169" s="8" t="s">
        <v>517</v>
      </c>
      <c r="H169" s="9"/>
    </row>
    <row r="170" spans="1:8" ht="30" customHeight="1" x14ac:dyDescent="0.3">
      <c r="A170" s="64">
        <v>46059</v>
      </c>
      <c r="B170" s="3"/>
      <c r="C170" s="8"/>
      <c r="D170" s="6" t="s">
        <v>42</v>
      </c>
      <c r="E170" s="8" t="s">
        <v>2771</v>
      </c>
      <c r="F170" s="21" t="s">
        <v>91</v>
      </c>
      <c r="G170" s="8" t="s">
        <v>517</v>
      </c>
      <c r="H170" s="9"/>
    </row>
    <row r="171" spans="1:8" ht="30" customHeight="1" x14ac:dyDescent="0.3">
      <c r="A171" s="5"/>
      <c r="B171" s="3"/>
      <c r="C171" s="8"/>
      <c r="D171" s="6" t="s">
        <v>89</v>
      </c>
      <c r="E171" s="8" t="s">
        <v>2771</v>
      </c>
      <c r="F171" s="21" t="s">
        <v>91</v>
      </c>
      <c r="G171" s="8" t="s">
        <v>517</v>
      </c>
      <c r="H171" s="9"/>
    </row>
    <row r="172" spans="1:8" ht="30" customHeight="1" x14ac:dyDescent="0.3">
      <c r="A172" s="64">
        <v>46240</v>
      </c>
      <c r="B172" s="3"/>
      <c r="C172" s="8"/>
      <c r="D172" s="6" t="s">
        <v>28</v>
      </c>
      <c r="E172" s="8" t="s">
        <v>2796</v>
      </c>
      <c r="F172" s="21" t="s">
        <v>87</v>
      </c>
      <c r="G172" s="8" t="s">
        <v>517</v>
      </c>
      <c r="H172" s="9"/>
    </row>
    <row r="173" spans="1:8" ht="30" customHeight="1" x14ac:dyDescent="0.3">
      <c r="A173" s="64">
        <v>46271</v>
      </c>
      <c r="B173" s="3"/>
      <c r="C173" s="10"/>
      <c r="D173" s="6" t="s">
        <v>26</v>
      </c>
      <c r="E173" s="8" t="s">
        <v>2847</v>
      </c>
      <c r="F173" s="21" t="s">
        <v>91</v>
      </c>
      <c r="G173" s="8" t="s">
        <v>517</v>
      </c>
      <c r="H173" s="9"/>
    </row>
    <row r="174" spans="1:8" ht="30" customHeight="1" x14ac:dyDescent="0.3">
      <c r="A174" s="5"/>
      <c r="B174" s="3"/>
      <c r="C174" s="10"/>
      <c r="D174" s="6" t="s">
        <v>1447</v>
      </c>
      <c r="E174" s="8" t="s">
        <v>2801</v>
      </c>
      <c r="F174" s="21" t="s">
        <v>91</v>
      </c>
      <c r="G174" s="8" t="s">
        <v>517</v>
      </c>
      <c r="H174" s="9"/>
    </row>
    <row r="175" spans="1:8" ht="30" customHeight="1" x14ac:dyDescent="0.3">
      <c r="A175" s="5" t="s">
        <v>3000</v>
      </c>
      <c r="B175" s="3"/>
      <c r="C175" s="10"/>
      <c r="D175" s="6" t="s">
        <v>20</v>
      </c>
      <c r="E175" s="8" t="s">
        <v>2771</v>
      </c>
      <c r="F175" s="21" t="s">
        <v>91</v>
      </c>
      <c r="G175" s="8" t="s">
        <v>517</v>
      </c>
      <c r="H175" s="9"/>
    </row>
    <row r="176" spans="1:8" ht="30" customHeight="1" x14ac:dyDescent="0.3">
      <c r="A176" s="5" t="s">
        <v>3094</v>
      </c>
      <c r="B176" s="3"/>
      <c r="C176" s="10"/>
      <c r="D176" s="6" t="s">
        <v>100</v>
      </c>
      <c r="E176" s="8" t="s">
        <v>2931</v>
      </c>
      <c r="F176" s="21" t="s">
        <v>87</v>
      </c>
      <c r="G176" s="8" t="s">
        <v>517</v>
      </c>
      <c r="H176" s="9"/>
    </row>
    <row r="177" spans="1:8" ht="30" customHeight="1" x14ac:dyDescent="0.3">
      <c r="A177" s="5" t="s">
        <v>3103</v>
      </c>
      <c r="B177" s="3"/>
      <c r="C177" s="10"/>
      <c r="D177" s="6" t="s">
        <v>24</v>
      </c>
      <c r="E177" s="8" t="s">
        <v>3121</v>
      </c>
      <c r="F177" s="21" t="s">
        <v>98</v>
      </c>
      <c r="G177" s="8" t="s">
        <v>517</v>
      </c>
      <c r="H177" s="9"/>
    </row>
    <row r="178" spans="1:8" ht="30" customHeight="1" x14ac:dyDescent="0.3">
      <c r="A178" s="5" t="s">
        <v>3113</v>
      </c>
      <c r="B178" s="3"/>
      <c r="C178" s="10"/>
      <c r="D178" s="6" t="s">
        <v>342</v>
      </c>
      <c r="E178" s="8" t="s">
        <v>3122</v>
      </c>
      <c r="F178" s="21" t="s">
        <v>91</v>
      </c>
      <c r="G178" s="8" t="s">
        <v>517</v>
      </c>
      <c r="H178" s="9"/>
    </row>
    <row r="179" spans="1:8" ht="30" customHeight="1" x14ac:dyDescent="0.3">
      <c r="A179" s="5" t="s">
        <v>3151</v>
      </c>
      <c r="B179" s="3"/>
      <c r="C179" s="10"/>
      <c r="D179" s="6" t="s">
        <v>51</v>
      </c>
      <c r="E179" s="8" t="s">
        <v>3152</v>
      </c>
      <c r="F179" s="21" t="s">
        <v>91</v>
      </c>
      <c r="G179" s="8" t="s">
        <v>357</v>
      </c>
      <c r="H179" s="9"/>
    </row>
    <row r="180" spans="1:8" ht="30" customHeight="1" x14ac:dyDescent="0.3">
      <c r="A180" s="5" t="s">
        <v>3178</v>
      </c>
      <c r="B180" s="3"/>
      <c r="C180" s="10"/>
      <c r="D180" s="6" t="s">
        <v>3179</v>
      </c>
      <c r="E180" s="8" t="s">
        <v>3180</v>
      </c>
      <c r="F180" s="21" t="s">
        <v>91</v>
      </c>
      <c r="G180" s="8" t="s">
        <v>357</v>
      </c>
      <c r="H180" s="9"/>
    </row>
    <row r="181" spans="1:8" ht="30" customHeight="1" x14ac:dyDescent="0.3">
      <c r="A181" s="64"/>
      <c r="B181" s="3"/>
      <c r="C181" s="9"/>
      <c r="D181" s="6" t="s">
        <v>699</v>
      </c>
      <c r="E181" s="8" t="s">
        <v>2931</v>
      </c>
      <c r="F181" s="21" t="s">
        <v>91</v>
      </c>
      <c r="G181" s="8" t="s">
        <v>517</v>
      </c>
      <c r="H181" s="9"/>
    </row>
    <row r="182" spans="1:8" ht="30" customHeight="1" x14ac:dyDescent="0.3">
      <c r="A182" s="64">
        <v>46029</v>
      </c>
      <c r="B182" s="3"/>
      <c r="C182" s="9"/>
      <c r="D182" s="6" t="s">
        <v>17</v>
      </c>
      <c r="E182" s="8" t="s">
        <v>3121</v>
      </c>
      <c r="F182" s="21" t="s">
        <v>98</v>
      </c>
      <c r="G182" s="8" t="s">
        <v>517</v>
      </c>
      <c r="H182" s="9"/>
    </row>
    <row r="183" spans="1:8" ht="30" customHeight="1" x14ac:dyDescent="0.3">
      <c r="A183" s="64">
        <v>46180</v>
      </c>
      <c r="B183" s="3"/>
      <c r="C183" s="9"/>
      <c r="D183" s="6" t="s">
        <v>635</v>
      </c>
      <c r="E183" s="8" t="s">
        <v>3284</v>
      </c>
      <c r="F183" s="21" t="s">
        <v>434</v>
      </c>
      <c r="G183" s="8" t="s">
        <v>517</v>
      </c>
      <c r="H183" s="9"/>
    </row>
    <row r="184" spans="1:8" ht="30" customHeight="1" x14ac:dyDescent="0.3">
      <c r="A184" s="5"/>
      <c r="B184" s="3"/>
      <c r="C184" s="9"/>
      <c r="D184" s="6" t="s">
        <v>85</v>
      </c>
      <c r="E184" s="8" t="s">
        <v>3296</v>
      </c>
      <c r="F184" s="21" t="s">
        <v>98</v>
      </c>
      <c r="G184" s="8" t="s">
        <v>517</v>
      </c>
      <c r="H184" s="9"/>
    </row>
    <row r="185" spans="1:8" ht="30" customHeight="1" x14ac:dyDescent="0.3">
      <c r="A185" s="64">
        <v>46210</v>
      </c>
      <c r="B185" s="3"/>
      <c r="C185" s="9"/>
      <c r="D185" s="6" t="s">
        <v>53</v>
      </c>
      <c r="E185" s="8" t="s">
        <v>3163</v>
      </c>
      <c r="F185" s="21" t="s">
        <v>87</v>
      </c>
      <c r="G185" s="8" t="s">
        <v>2768</v>
      </c>
      <c r="H185" s="9"/>
    </row>
    <row r="186" spans="1:8" ht="30" customHeight="1" x14ac:dyDescent="0.3">
      <c r="A186" s="64">
        <v>46241</v>
      </c>
      <c r="B186" s="3"/>
      <c r="C186" s="9"/>
      <c r="D186" s="6" t="s">
        <v>635</v>
      </c>
      <c r="E186" s="8" t="s">
        <v>3314</v>
      </c>
      <c r="F186" s="21" t="s">
        <v>87</v>
      </c>
      <c r="G186" s="8" t="s">
        <v>517</v>
      </c>
      <c r="H186" s="9"/>
    </row>
    <row r="187" spans="1:8" ht="30" customHeight="1" x14ac:dyDescent="0.3">
      <c r="A187" s="5"/>
      <c r="B187" s="3"/>
      <c r="C187" s="9"/>
      <c r="D187" s="6" t="s">
        <v>699</v>
      </c>
      <c r="E187" s="8" t="s">
        <v>3184</v>
      </c>
      <c r="F187" s="21" t="s">
        <v>91</v>
      </c>
      <c r="G187" s="8" t="s">
        <v>517</v>
      </c>
      <c r="H187" s="9"/>
    </row>
    <row r="188" spans="1:8" ht="30" customHeight="1" x14ac:dyDescent="0.3">
      <c r="A188" s="5"/>
      <c r="B188" s="3"/>
      <c r="C188" s="9"/>
      <c r="D188" s="6" t="s">
        <v>54</v>
      </c>
      <c r="E188" s="8" t="s">
        <v>3370</v>
      </c>
      <c r="F188" s="21" t="s">
        <v>98</v>
      </c>
      <c r="G188" s="8" t="s">
        <v>517</v>
      </c>
      <c r="H188" s="9"/>
    </row>
    <row r="189" spans="1:8" ht="30" customHeight="1" x14ac:dyDescent="0.3">
      <c r="A189" s="5" t="s">
        <v>3403</v>
      </c>
      <c r="B189" s="3"/>
      <c r="C189" s="9"/>
      <c r="D189" s="6" t="s">
        <v>1447</v>
      </c>
      <c r="E189" s="8" t="s">
        <v>3426</v>
      </c>
      <c r="F189" s="21" t="s">
        <v>98</v>
      </c>
      <c r="G189" s="8" t="s">
        <v>677</v>
      </c>
      <c r="H189" s="9"/>
    </row>
    <row r="190" spans="1:8" ht="30" customHeight="1" x14ac:dyDescent="0.3">
      <c r="A190" s="5" t="s">
        <v>3442</v>
      </c>
      <c r="B190" s="3"/>
      <c r="C190" s="9"/>
      <c r="D190" s="6" t="s">
        <v>89</v>
      </c>
      <c r="E190" s="8" t="s">
        <v>3354</v>
      </c>
      <c r="F190" s="21" t="s">
        <v>91</v>
      </c>
      <c r="G190" s="8" t="s">
        <v>517</v>
      </c>
      <c r="H190" s="9"/>
    </row>
    <row r="191" spans="1:8" ht="30" customHeight="1" x14ac:dyDescent="0.3">
      <c r="A191" s="5" t="s">
        <v>3502</v>
      </c>
      <c r="B191" s="3"/>
      <c r="C191" s="9"/>
      <c r="D191" s="6" t="s">
        <v>17</v>
      </c>
      <c r="E191" s="8" t="s">
        <v>3516</v>
      </c>
      <c r="F191" s="21" t="s">
        <v>87</v>
      </c>
      <c r="G191" s="8" t="s">
        <v>517</v>
      </c>
      <c r="H191" s="9"/>
    </row>
    <row r="192" spans="1:8" ht="30" customHeight="1" x14ac:dyDescent="0.3">
      <c r="A192" s="5" t="s">
        <v>3502</v>
      </c>
      <c r="B192" s="3"/>
      <c r="C192" s="9"/>
      <c r="D192" s="6" t="s">
        <v>54</v>
      </c>
      <c r="E192" s="8" t="s">
        <v>3517</v>
      </c>
      <c r="F192" s="21" t="s">
        <v>434</v>
      </c>
      <c r="G192" s="8" t="s">
        <v>517</v>
      </c>
      <c r="H192" s="9"/>
    </row>
    <row r="193" spans="1:8" ht="30" customHeight="1" x14ac:dyDescent="0.3">
      <c r="A193" s="5" t="s">
        <v>3502</v>
      </c>
      <c r="B193" s="3"/>
      <c r="C193" s="9"/>
      <c r="D193" s="6" t="s">
        <v>24</v>
      </c>
      <c r="E193" s="8" t="s">
        <v>3292</v>
      </c>
      <c r="F193" s="21" t="s">
        <v>434</v>
      </c>
      <c r="G193" s="8" t="s">
        <v>517</v>
      </c>
      <c r="H193" s="9"/>
    </row>
    <row r="194" spans="1:8" ht="30" customHeight="1" x14ac:dyDescent="0.3">
      <c r="A194" s="5" t="s">
        <v>3502</v>
      </c>
      <c r="B194" s="3"/>
      <c r="C194" s="9"/>
      <c r="D194" s="6" t="s">
        <v>913</v>
      </c>
      <c r="E194" s="8" t="s">
        <v>3518</v>
      </c>
      <c r="F194" s="21" t="s">
        <v>434</v>
      </c>
      <c r="G194" s="8" t="s">
        <v>517</v>
      </c>
      <c r="H194" s="9"/>
    </row>
    <row r="195" spans="1:8" ht="30" customHeight="1" x14ac:dyDescent="0.3">
      <c r="A195" s="5" t="s">
        <v>3540</v>
      </c>
      <c r="B195" s="3"/>
      <c r="C195" s="9"/>
      <c r="D195" s="6" t="s">
        <v>860</v>
      </c>
      <c r="E195" s="8" t="s">
        <v>3553</v>
      </c>
      <c r="F195" s="21" t="s">
        <v>434</v>
      </c>
      <c r="G195" s="8" t="s">
        <v>357</v>
      </c>
      <c r="H195" s="9"/>
    </row>
    <row r="196" spans="1:8" ht="30" customHeight="1" x14ac:dyDescent="0.3">
      <c r="A196" s="5" t="s">
        <v>3651</v>
      </c>
      <c r="B196" s="3"/>
      <c r="C196" s="9"/>
      <c r="D196" s="6" t="s">
        <v>21</v>
      </c>
      <c r="E196" s="8" t="s">
        <v>3655</v>
      </c>
      <c r="F196" s="21" t="s">
        <v>98</v>
      </c>
      <c r="G196" s="8" t="s">
        <v>357</v>
      </c>
      <c r="H196" s="9"/>
    </row>
    <row r="197" spans="1:8" ht="30" customHeight="1" x14ac:dyDescent="0.3">
      <c r="A197" s="5"/>
      <c r="B197" s="3"/>
      <c r="C197" s="9"/>
      <c r="D197" s="6" t="s">
        <v>861</v>
      </c>
      <c r="E197" s="8" t="s">
        <v>3656</v>
      </c>
      <c r="F197" s="21" t="s">
        <v>3657</v>
      </c>
      <c r="G197" s="8" t="s">
        <v>517</v>
      </c>
      <c r="H197" s="9"/>
    </row>
    <row r="198" spans="1:8" ht="30" customHeight="1" x14ac:dyDescent="0.3">
      <c r="A198" s="5"/>
      <c r="B198" s="3"/>
      <c r="C198" s="9"/>
      <c r="D198" s="6" t="s">
        <v>861</v>
      </c>
      <c r="E198" s="8" t="s">
        <v>3658</v>
      </c>
      <c r="F198" s="21" t="s">
        <v>98</v>
      </c>
      <c r="G198" s="8" t="s">
        <v>517</v>
      </c>
      <c r="H198" s="9"/>
    </row>
    <row r="199" spans="1:8" ht="30" customHeight="1" x14ac:dyDescent="0.3">
      <c r="A199" s="5"/>
      <c r="B199" s="3"/>
      <c r="C199" s="9"/>
      <c r="D199" s="6" t="s">
        <v>20</v>
      </c>
      <c r="E199" s="8" t="s">
        <v>3649</v>
      </c>
      <c r="F199" s="21" t="s">
        <v>98</v>
      </c>
      <c r="G199" s="8" t="s">
        <v>517</v>
      </c>
      <c r="H199" s="9"/>
    </row>
    <row r="200" spans="1:8" ht="30" customHeight="1" x14ac:dyDescent="0.3">
      <c r="A200" s="5"/>
      <c r="B200" s="3"/>
      <c r="C200" s="9"/>
      <c r="D200" s="6" t="s">
        <v>1570</v>
      </c>
      <c r="E200" s="8" t="s">
        <v>3668</v>
      </c>
      <c r="F200" s="21" t="s">
        <v>98</v>
      </c>
      <c r="G200" s="8" t="s">
        <v>517</v>
      </c>
      <c r="H200" s="9"/>
    </row>
    <row r="201" spans="1:8" ht="30" customHeight="1" x14ac:dyDescent="0.3">
      <c r="A201" s="5"/>
      <c r="B201" s="3"/>
      <c r="C201" s="9"/>
      <c r="D201" s="6" t="s">
        <v>24</v>
      </c>
      <c r="E201" s="8" t="s">
        <v>3557</v>
      </c>
      <c r="F201" s="21" t="s">
        <v>98</v>
      </c>
      <c r="G201" s="8" t="s">
        <v>517</v>
      </c>
      <c r="H201" s="9"/>
    </row>
    <row r="202" spans="1:8" ht="30" customHeight="1" x14ac:dyDescent="0.3">
      <c r="A202" s="5"/>
      <c r="B202" s="3"/>
      <c r="C202" s="9"/>
      <c r="D202" s="6" t="s">
        <v>3179</v>
      </c>
      <c r="E202" s="8" t="s">
        <v>3706</v>
      </c>
      <c r="F202" s="21" t="s">
        <v>98</v>
      </c>
      <c r="G202" s="8" t="s">
        <v>357</v>
      </c>
      <c r="H202" s="9"/>
    </row>
    <row r="203" spans="1:8" ht="30" customHeight="1" x14ac:dyDescent="0.3">
      <c r="A203" s="5" t="s">
        <v>3708</v>
      </c>
      <c r="B203" s="3"/>
      <c r="C203" s="9"/>
      <c r="D203" s="6" t="s">
        <v>89</v>
      </c>
      <c r="E203" s="8" t="s">
        <v>3653</v>
      </c>
      <c r="F203" s="21" t="s">
        <v>434</v>
      </c>
      <c r="G203" s="8" t="s">
        <v>517</v>
      </c>
      <c r="H203" s="9"/>
    </row>
    <row r="204" spans="1:8" ht="30" customHeight="1" x14ac:dyDescent="0.3">
      <c r="A204" s="5"/>
      <c r="B204" s="3"/>
      <c r="C204" s="9"/>
      <c r="D204" s="6" t="s">
        <v>89</v>
      </c>
      <c r="E204" s="8" t="s">
        <v>3714</v>
      </c>
      <c r="F204" s="21" t="s">
        <v>3715</v>
      </c>
      <c r="G204" s="8" t="s">
        <v>916</v>
      </c>
      <c r="H204" s="9"/>
    </row>
    <row r="205" spans="1:8" ht="30" customHeight="1" x14ac:dyDescent="0.3">
      <c r="A205" s="5" t="s">
        <v>3708</v>
      </c>
      <c r="B205" s="3"/>
      <c r="C205" s="9"/>
      <c r="D205" s="6" t="s">
        <v>3736</v>
      </c>
      <c r="E205" s="8" t="s">
        <v>3737</v>
      </c>
      <c r="F205" s="21" t="s">
        <v>434</v>
      </c>
      <c r="G205" s="8" t="s">
        <v>517</v>
      </c>
      <c r="H205" s="9"/>
    </row>
    <row r="206" spans="1:8" ht="30" customHeight="1" x14ac:dyDescent="0.3">
      <c r="A206" s="5" t="s">
        <v>3738</v>
      </c>
      <c r="B206" s="3"/>
      <c r="C206" s="9"/>
      <c r="D206" s="6" t="s">
        <v>58</v>
      </c>
      <c r="E206" s="8" t="s">
        <v>3547</v>
      </c>
      <c r="F206" s="21" t="s">
        <v>434</v>
      </c>
      <c r="G206" s="8" t="s">
        <v>517</v>
      </c>
      <c r="H206" s="9"/>
    </row>
    <row r="207" spans="1:8" ht="30" customHeight="1" x14ac:dyDescent="0.3">
      <c r="A207" s="5"/>
      <c r="B207" s="3"/>
      <c r="C207" s="9"/>
      <c r="D207" s="6" t="s">
        <v>699</v>
      </c>
      <c r="E207" s="8" t="s">
        <v>3653</v>
      </c>
      <c r="F207" s="21" t="s">
        <v>434</v>
      </c>
      <c r="G207" s="8" t="s">
        <v>517</v>
      </c>
      <c r="H207" s="9"/>
    </row>
    <row r="208" spans="1:8" ht="30" customHeight="1" x14ac:dyDescent="0.3">
      <c r="A208" s="5" t="s">
        <v>3753</v>
      </c>
      <c r="B208" s="3"/>
      <c r="C208" s="9"/>
      <c r="D208" s="6" t="s">
        <v>343</v>
      </c>
      <c r="E208" s="8" t="s">
        <v>3754</v>
      </c>
      <c r="F208" s="21" t="s">
        <v>87</v>
      </c>
      <c r="G208" s="8" t="s">
        <v>677</v>
      </c>
      <c r="H208" s="9"/>
    </row>
    <row r="209" spans="1:8" ht="30" customHeight="1" x14ac:dyDescent="0.3">
      <c r="A209" s="64">
        <v>46120</v>
      </c>
      <c r="B209" s="3"/>
      <c r="C209" s="9"/>
      <c r="D209" s="6" t="s">
        <v>3821</v>
      </c>
      <c r="E209" s="8" t="s">
        <v>3557</v>
      </c>
      <c r="F209" s="21" t="s">
        <v>91</v>
      </c>
      <c r="G209" s="8" t="s">
        <v>517</v>
      </c>
      <c r="H209" s="9"/>
    </row>
    <row r="210" spans="1:8" ht="30" customHeight="1" x14ac:dyDescent="0.3">
      <c r="A210" s="5"/>
      <c r="B210" s="3"/>
      <c r="C210" s="9"/>
      <c r="D210" s="6" t="s">
        <v>25</v>
      </c>
      <c r="E210" s="8" t="s">
        <v>3658</v>
      </c>
      <c r="F210" s="21" t="s">
        <v>91</v>
      </c>
      <c r="G210" s="8" t="s">
        <v>517</v>
      </c>
      <c r="H210" s="9"/>
    </row>
    <row r="211" spans="1:8" ht="30" customHeight="1" x14ac:dyDescent="0.3">
      <c r="A211" s="5"/>
      <c r="B211" s="3"/>
      <c r="C211" s="9"/>
      <c r="D211" s="6" t="s">
        <v>1803</v>
      </c>
      <c r="E211" s="8" t="s">
        <v>3658</v>
      </c>
      <c r="F211" s="21" t="s">
        <v>91</v>
      </c>
      <c r="G211" s="8" t="s">
        <v>517</v>
      </c>
      <c r="H211" s="9"/>
    </row>
    <row r="212" spans="1:8" ht="30" customHeight="1" x14ac:dyDescent="0.3">
      <c r="A212" s="5"/>
      <c r="B212" s="3"/>
      <c r="C212" s="9"/>
      <c r="D212" s="6" t="s">
        <v>42</v>
      </c>
      <c r="E212" s="8" t="s">
        <v>3822</v>
      </c>
      <c r="F212" s="21" t="s">
        <v>87</v>
      </c>
      <c r="G212" s="8" t="s">
        <v>517</v>
      </c>
      <c r="H212" s="9"/>
    </row>
    <row r="213" spans="1:8" ht="30" customHeight="1" x14ac:dyDescent="0.3">
      <c r="A213" s="64">
        <v>46150</v>
      </c>
      <c r="B213" s="3"/>
      <c r="C213" s="9"/>
      <c r="D213" s="6" t="s">
        <v>3847</v>
      </c>
      <c r="E213" s="8" t="s">
        <v>3822</v>
      </c>
      <c r="F213" s="21" t="s">
        <v>98</v>
      </c>
      <c r="G213" s="8" t="s">
        <v>517</v>
      </c>
      <c r="H213" s="9"/>
    </row>
    <row r="214" spans="1:8" ht="30" customHeight="1" x14ac:dyDescent="0.3">
      <c r="A214" s="64">
        <v>46303</v>
      </c>
      <c r="B214" s="3"/>
      <c r="C214" s="9"/>
      <c r="D214" s="6" t="s">
        <v>23</v>
      </c>
      <c r="E214" s="8" t="s">
        <v>3930</v>
      </c>
      <c r="F214" s="21" t="s">
        <v>98</v>
      </c>
      <c r="G214" s="8" t="s">
        <v>357</v>
      </c>
      <c r="H214" s="9"/>
    </row>
    <row r="215" spans="1:8" ht="30" customHeight="1" x14ac:dyDescent="0.3">
      <c r="A215" s="64">
        <v>46334</v>
      </c>
      <c r="B215" s="3"/>
      <c r="C215" s="9"/>
      <c r="D215" s="6" t="s">
        <v>30</v>
      </c>
      <c r="E215" s="8" t="s">
        <v>3822</v>
      </c>
      <c r="F215" s="21" t="s">
        <v>91</v>
      </c>
      <c r="G215" s="8" t="s">
        <v>517</v>
      </c>
      <c r="H215" s="9"/>
    </row>
    <row r="216" spans="1:8" ht="30" customHeight="1" x14ac:dyDescent="0.3">
      <c r="A216" s="64">
        <v>46364</v>
      </c>
      <c r="B216" s="3"/>
      <c r="C216" s="9"/>
      <c r="D216" s="6" t="s">
        <v>699</v>
      </c>
      <c r="E216" s="8" t="s">
        <v>3793</v>
      </c>
      <c r="F216" s="21" t="s">
        <v>91</v>
      </c>
      <c r="G216" s="8" t="s">
        <v>517</v>
      </c>
      <c r="H216" s="9"/>
    </row>
    <row r="217" spans="1:8" ht="30" customHeight="1" x14ac:dyDescent="0.3">
      <c r="A217" s="64" t="s">
        <v>4017</v>
      </c>
      <c r="B217" s="3"/>
      <c r="C217" s="9"/>
      <c r="D217" s="6" t="s">
        <v>54</v>
      </c>
      <c r="E217" s="8" t="s">
        <v>4041</v>
      </c>
      <c r="F217" s="21" t="s">
        <v>98</v>
      </c>
      <c r="G217" s="8" t="s">
        <v>677</v>
      </c>
      <c r="H217" s="9"/>
    </row>
    <row r="218" spans="1:8" ht="30" customHeight="1" x14ac:dyDescent="0.3">
      <c r="A218" s="5" t="s">
        <v>4049</v>
      </c>
      <c r="B218" s="3"/>
      <c r="C218" s="9"/>
      <c r="D218" s="6" t="s">
        <v>3847</v>
      </c>
      <c r="E218" s="8" t="s">
        <v>4066</v>
      </c>
      <c r="F218" s="21" t="s">
        <v>98</v>
      </c>
      <c r="G218" s="8" t="s">
        <v>517</v>
      </c>
      <c r="H218" s="9"/>
    </row>
    <row r="219" spans="1:8" ht="30" customHeight="1" x14ac:dyDescent="0.3">
      <c r="A219" s="5"/>
      <c r="B219" s="3"/>
      <c r="C219" s="9"/>
      <c r="D219" s="6" t="s">
        <v>4077</v>
      </c>
      <c r="E219" s="8" t="s">
        <v>3109</v>
      </c>
      <c r="F219" s="21" t="s">
        <v>98</v>
      </c>
      <c r="G219" s="8" t="s">
        <v>677</v>
      </c>
      <c r="H219" s="9"/>
    </row>
    <row r="220" spans="1:8" ht="30" customHeight="1" x14ac:dyDescent="0.3">
      <c r="A220" s="5" t="s">
        <v>4086</v>
      </c>
      <c r="B220" s="3"/>
      <c r="C220" s="9"/>
      <c r="D220" s="6" t="s">
        <v>1447</v>
      </c>
      <c r="E220" s="8" t="s">
        <v>4087</v>
      </c>
      <c r="F220" s="21" t="s">
        <v>91</v>
      </c>
      <c r="G220" s="8" t="s">
        <v>517</v>
      </c>
      <c r="H220" s="9"/>
    </row>
    <row r="221" spans="1:8" ht="30" customHeight="1" x14ac:dyDescent="0.3">
      <c r="A221" s="5" t="s">
        <v>4098</v>
      </c>
      <c r="B221" s="3"/>
      <c r="C221" s="9"/>
      <c r="D221" s="6" t="s">
        <v>699</v>
      </c>
      <c r="E221" s="8" t="s">
        <v>4103</v>
      </c>
      <c r="F221" s="21" t="s">
        <v>91</v>
      </c>
      <c r="G221" s="8" t="s">
        <v>517</v>
      </c>
      <c r="H221" s="9"/>
    </row>
    <row r="222" spans="1:8" ht="30" customHeight="1" x14ac:dyDescent="0.3">
      <c r="A222" s="5" t="s">
        <v>4105</v>
      </c>
      <c r="B222" s="3"/>
      <c r="C222" s="9"/>
      <c r="D222" s="6" t="s">
        <v>16</v>
      </c>
      <c r="E222" s="8" t="s">
        <v>4139</v>
      </c>
      <c r="F222" s="21" t="s">
        <v>98</v>
      </c>
      <c r="G222" s="8" t="s">
        <v>357</v>
      </c>
      <c r="H222" s="9"/>
    </row>
    <row r="223" spans="1:8" ht="30" customHeight="1" x14ac:dyDescent="0.3">
      <c r="A223" s="5"/>
      <c r="B223" s="3"/>
      <c r="C223" s="9"/>
      <c r="D223" s="6" t="s">
        <v>4138</v>
      </c>
      <c r="E223" s="8" t="s">
        <v>4009</v>
      </c>
      <c r="F223" s="21" t="s">
        <v>87</v>
      </c>
      <c r="G223" s="8" t="s">
        <v>357</v>
      </c>
      <c r="H223" s="9"/>
    </row>
    <row r="224" spans="1:8" ht="30" customHeight="1" x14ac:dyDescent="0.3">
      <c r="A224" s="5"/>
      <c r="B224" s="3"/>
      <c r="C224" s="9"/>
      <c r="D224" s="6" t="s">
        <v>26</v>
      </c>
      <c r="E224" s="8" t="s">
        <v>4062</v>
      </c>
      <c r="F224" s="21" t="s">
        <v>91</v>
      </c>
      <c r="G224" s="8" t="s">
        <v>517</v>
      </c>
      <c r="H224" s="9"/>
    </row>
    <row r="225" spans="1:8" ht="30" customHeight="1" x14ac:dyDescent="0.3">
      <c r="A225" s="5" t="s">
        <v>4177</v>
      </c>
      <c r="B225" s="3"/>
      <c r="C225" s="9"/>
      <c r="D225" s="6" t="s">
        <v>49</v>
      </c>
      <c r="E225" s="8" t="s">
        <v>4066</v>
      </c>
      <c r="F225" s="21" t="s">
        <v>91</v>
      </c>
      <c r="G225" s="8" t="s">
        <v>517</v>
      </c>
      <c r="H225" s="9"/>
    </row>
    <row r="226" spans="1:8" ht="30" customHeight="1" x14ac:dyDescent="0.3">
      <c r="A226" s="5"/>
      <c r="B226" s="3"/>
      <c r="C226" s="9"/>
      <c r="D226" s="6"/>
      <c r="E226" s="8"/>
      <c r="F226" s="21"/>
      <c r="G226" s="8"/>
      <c r="H226" s="9"/>
    </row>
    <row r="227" spans="1:8" ht="30" customHeight="1" x14ac:dyDescent="0.3">
      <c r="A227" s="5"/>
      <c r="B227" s="3"/>
      <c r="C227" s="9"/>
      <c r="D227" s="6"/>
      <c r="E227" s="8"/>
      <c r="F227" s="21"/>
      <c r="G227" s="3"/>
      <c r="H227" s="9"/>
    </row>
    <row r="228" spans="1:8" ht="30" customHeight="1" x14ac:dyDescent="0.3">
      <c r="A228" s="5"/>
      <c r="B228" s="3"/>
      <c r="C228" s="9"/>
      <c r="D228" s="6"/>
      <c r="E228" s="8"/>
      <c r="F228" s="21"/>
      <c r="G228" s="3"/>
      <c r="H228" s="9"/>
    </row>
    <row r="229" spans="1:8" ht="30" customHeight="1" x14ac:dyDescent="0.3">
      <c r="A229" s="5"/>
      <c r="B229" s="3"/>
      <c r="C229" s="9"/>
      <c r="D229" s="6"/>
      <c r="E229" s="8"/>
      <c r="F229" s="21"/>
      <c r="G229" s="3"/>
      <c r="H229" s="9"/>
    </row>
    <row r="230" spans="1:8" ht="30" customHeight="1" x14ac:dyDescent="0.3">
      <c r="A230" s="5"/>
      <c r="B230" s="3"/>
      <c r="C230" s="9"/>
      <c r="D230" s="6"/>
      <c r="E230" s="8"/>
      <c r="F230" s="21"/>
      <c r="G230" s="3"/>
      <c r="H230" s="9"/>
    </row>
    <row r="231" spans="1:8" ht="30" customHeight="1" x14ac:dyDescent="0.3">
      <c r="A231" s="5"/>
      <c r="B231" s="3"/>
      <c r="C231" s="9"/>
      <c r="D231" s="6"/>
      <c r="E231" s="8"/>
      <c r="F231" s="21"/>
      <c r="G231" s="3"/>
      <c r="H231" s="9"/>
    </row>
    <row r="232" spans="1:8" ht="30" customHeight="1" x14ac:dyDescent="0.3">
      <c r="A232" s="5"/>
      <c r="B232" s="3"/>
      <c r="C232" s="9"/>
      <c r="D232" s="6"/>
      <c r="E232" s="8"/>
      <c r="F232" s="21"/>
      <c r="G232" s="3"/>
      <c r="H232" s="9"/>
    </row>
    <row r="233" spans="1:8" ht="30" customHeight="1" x14ac:dyDescent="0.3">
      <c r="A233" s="5"/>
      <c r="B233" s="3"/>
      <c r="C233" s="9"/>
      <c r="D233" s="6"/>
      <c r="E233" s="8"/>
      <c r="F233" s="21"/>
      <c r="G233" s="3"/>
      <c r="H233" s="9"/>
    </row>
    <row r="234" spans="1:8" ht="30" customHeight="1" x14ac:dyDescent="0.3">
      <c r="A234" s="5"/>
      <c r="B234" s="3"/>
      <c r="C234" s="9"/>
      <c r="D234" s="6"/>
      <c r="E234" s="8"/>
      <c r="F234" s="21"/>
      <c r="G234" s="3"/>
      <c r="H234" s="9"/>
    </row>
    <row r="235" spans="1:8" ht="30" customHeight="1" x14ac:dyDescent="0.3">
      <c r="A235" s="5"/>
      <c r="B235" s="3"/>
      <c r="C235" s="9"/>
      <c r="D235" s="6"/>
      <c r="E235" s="8"/>
      <c r="F235" s="21"/>
      <c r="G235" s="3"/>
      <c r="H235" s="9"/>
    </row>
    <row r="236" spans="1:8" ht="30" customHeight="1" x14ac:dyDescent="0.3">
      <c r="A236" s="5"/>
      <c r="B236" s="3"/>
      <c r="C236" s="9"/>
      <c r="D236" s="6"/>
      <c r="E236" s="8"/>
      <c r="F236" s="21"/>
      <c r="G236" s="3"/>
      <c r="H236" s="9"/>
    </row>
    <row r="237" spans="1:8" ht="30" customHeight="1" x14ac:dyDescent="0.3">
      <c r="A237" s="5"/>
      <c r="B237" s="3"/>
      <c r="C237" s="9"/>
      <c r="D237" s="6"/>
      <c r="E237" s="8"/>
      <c r="F237" s="21"/>
      <c r="G237" s="3"/>
      <c r="H237" s="9"/>
    </row>
    <row r="238" spans="1:8" ht="30" customHeight="1" x14ac:dyDescent="0.3">
      <c r="A238" s="5"/>
      <c r="B238" s="3"/>
      <c r="C238" s="9"/>
      <c r="D238" s="6"/>
      <c r="E238" s="8"/>
      <c r="F238" s="21"/>
      <c r="G238" s="3"/>
      <c r="H238" s="9"/>
    </row>
    <row r="239" spans="1:8" ht="30" customHeight="1" x14ac:dyDescent="0.3">
      <c r="A239" s="5"/>
      <c r="B239" s="3"/>
      <c r="C239" s="9"/>
      <c r="D239" s="6"/>
      <c r="E239" s="8"/>
      <c r="F239" s="21"/>
      <c r="G239" s="3"/>
      <c r="H239" s="9"/>
    </row>
    <row r="240" spans="1:8" ht="30" customHeight="1" x14ac:dyDescent="0.3">
      <c r="A240" s="5"/>
      <c r="B240" s="3"/>
      <c r="C240" s="9"/>
      <c r="D240" s="6"/>
      <c r="E240" s="8"/>
      <c r="F240" s="21"/>
      <c r="G240" s="3"/>
      <c r="H240" s="9"/>
    </row>
    <row r="241" spans="1:8" ht="30" customHeight="1" x14ac:dyDescent="0.3">
      <c r="A241" s="5"/>
      <c r="B241" s="3"/>
      <c r="C241" s="9"/>
      <c r="D241" s="6"/>
      <c r="E241" s="8"/>
      <c r="F241" s="21"/>
      <c r="G241" s="3"/>
      <c r="H241" s="9"/>
    </row>
    <row r="242" spans="1:8" ht="30" customHeight="1" x14ac:dyDescent="0.3">
      <c r="A242" s="5"/>
      <c r="B242" s="3"/>
      <c r="C242" s="9"/>
      <c r="D242" s="6"/>
      <c r="E242" s="8"/>
      <c r="F242" s="21"/>
      <c r="G242" s="3"/>
      <c r="H242" s="9"/>
    </row>
    <row r="243" spans="1:8" ht="30" customHeight="1" x14ac:dyDescent="0.3">
      <c r="A243" s="5"/>
      <c r="B243" s="3"/>
      <c r="C243" s="9"/>
      <c r="D243" s="6"/>
      <c r="E243" s="8"/>
      <c r="F243" s="21"/>
      <c r="G243" s="3"/>
      <c r="H243" s="9"/>
    </row>
    <row r="244" spans="1:8" ht="30" customHeight="1" x14ac:dyDescent="0.3">
      <c r="A244" s="5"/>
      <c r="B244" s="3"/>
      <c r="C244" s="9"/>
      <c r="D244" s="6"/>
      <c r="E244" s="8"/>
      <c r="F244" s="21"/>
      <c r="G244" s="3"/>
      <c r="H244" s="9"/>
    </row>
    <row r="245" spans="1:8" ht="30" customHeight="1" x14ac:dyDescent="0.3">
      <c r="A245" s="5"/>
      <c r="B245" s="3"/>
      <c r="C245" s="9"/>
      <c r="D245" s="6"/>
      <c r="E245" s="8"/>
      <c r="F245" s="21"/>
      <c r="G245" s="3"/>
      <c r="H245" s="9"/>
    </row>
    <row r="246" spans="1:8" ht="30" customHeight="1" x14ac:dyDescent="0.3">
      <c r="A246" s="5"/>
      <c r="B246" s="3"/>
      <c r="C246" s="9"/>
      <c r="D246" s="6"/>
      <c r="E246" s="8"/>
      <c r="F246" s="21"/>
      <c r="G246" s="3"/>
      <c r="H246" s="9"/>
    </row>
    <row r="247" spans="1:8" ht="30" customHeight="1" x14ac:dyDescent="0.3">
      <c r="A247" s="5"/>
      <c r="B247" s="3"/>
      <c r="C247" s="9"/>
      <c r="D247" s="6"/>
      <c r="E247" s="8"/>
      <c r="F247" s="21"/>
      <c r="G247" s="3"/>
      <c r="H247" s="9"/>
    </row>
    <row r="248" spans="1:8" ht="30" customHeight="1" x14ac:dyDescent="0.3">
      <c r="A248" s="5"/>
      <c r="B248" s="3"/>
      <c r="C248" s="9"/>
      <c r="D248" s="6"/>
      <c r="E248" s="8"/>
      <c r="F248" s="21"/>
      <c r="G248" s="3"/>
      <c r="H248" s="9"/>
    </row>
    <row r="249" spans="1:8" ht="30" customHeight="1" x14ac:dyDescent="0.3">
      <c r="A249" s="5"/>
      <c r="B249" s="3"/>
      <c r="C249" s="9"/>
      <c r="D249" s="6"/>
      <c r="E249" s="8"/>
      <c r="F249" s="21"/>
      <c r="G249" s="3"/>
      <c r="H249" s="9"/>
    </row>
    <row r="250" spans="1:8" ht="30" customHeight="1" x14ac:dyDescent="0.3">
      <c r="A250" s="5"/>
      <c r="B250" s="3"/>
      <c r="C250" s="9"/>
      <c r="D250" s="6"/>
      <c r="E250" s="8"/>
      <c r="F250" s="21"/>
      <c r="G250" s="3"/>
      <c r="H250" s="9"/>
    </row>
    <row r="251" spans="1:8" ht="30" customHeight="1" x14ac:dyDescent="0.3">
      <c r="A251" s="5"/>
      <c r="B251" s="3"/>
      <c r="C251" s="9"/>
      <c r="D251" s="6"/>
      <c r="E251" s="8"/>
      <c r="F251" s="21"/>
      <c r="G251" s="3"/>
      <c r="H251" s="9"/>
    </row>
    <row r="252" spans="1:8" ht="30" customHeight="1" x14ac:dyDescent="0.3">
      <c r="A252" s="5"/>
      <c r="B252" s="3"/>
      <c r="C252" s="9"/>
      <c r="D252" s="6"/>
      <c r="E252" s="8"/>
      <c r="F252" s="21"/>
      <c r="G252" s="3"/>
      <c r="H252" s="9"/>
    </row>
    <row r="253" spans="1:8" ht="30" customHeight="1" x14ac:dyDescent="0.3">
      <c r="A253" s="5"/>
      <c r="B253" s="3"/>
      <c r="C253" s="9"/>
      <c r="D253" s="6"/>
      <c r="E253" s="8"/>
      <c r="F253" s="21"/>
      <c r="G253" s="3"/>
      <c r="H253" s="9"/>
    </row>
    <row r="254" spans="1:8" ht="30" customHeight="1" x14ac:dyDescent="0.3">
      <c r="A254" s="5"/>
      <c r="B254" s="3"/>
      <c r="C254" s="9"/>
      <c r="D254" s="6"/>
      <c r="E254" s="8"/>
      <c r="F254" s="21"/>
      <c r="G254" s="3"/>
      <c r="H254" s="9"/>
    </row>
    <row r="255" spans="1:8" ht="30" customHeight="1" x14ac:dyDescent="0.3">
      <c r="A255" s="5"/>
      <c r="B255" s="3"/>
      <c r="C255" s="9"/>
      <c r="D255" s="6"/>
      <c r="E255" s="8"/>
      <c r="F255" s="21"/>
      <c r="G255" s="3"/>
      <c r="H255" s="9"/>
    </row>
    <row r="256" spans="1:8" ht="30" customHeight="1" x14ac:dyDescent="0.3">
      <c r="A256" s="5"/>
      <c r="B256" s="3"/>
      <c r="C256" s="9"/>
      <c r="D256" s="6"/>
      <c r="E256" s="8"/>
      <c r="F256" s="21"/>
      <c r="G256" s="3"/>
      <c r="H256" s="9"/>
    </row>
    <row r="257" spans="1:8" ht="30" customHeight="1" x14ac:dyDescent="0.3">
      <c r="A257" s="5"/>
      <c r="B257" s="3"/>
      <c r="C257" s="9"/>
      <c r="D257" s="6"/>
      <c r="E257" s="8"/>
      <c r="F257" s="21"/>
      <c r="G257" s="3"/>
      <c r="H257" s="9"/>
    </row>
    <row r="258" spans="1:8" ht="30" customHeight="1" x14ac:dyDescent="0.3">
      <c r="A258" s="5"/>
      <c r="B258" s="3"/>
      <c r="C258" s="9"/>
      <c r="D258" s="6"/>
      <c r="E258" s="8"/>
      <c r="F258" s="21"/>
      <c r="G258" s="3"/>
      <c r="H258" s="9"/>
    </row>
    <row r="259" spans="1:8" ht="30" customHeight="1" x14ac:dyDescent="0.3">
      <c r="A259" s="5"/>
      <c r="B259" s="3"/>
      <c r="C259" s="9"/>
      <c r="D259" s="6"/>
      <c r="E259" s="8"/>
      <c r="F259" s="21"/>
      <c r="G259" s="3"/>
      <c r="H259" s="9"/>
    </row>
    <row r="260" spans="1:8" ht="30" customHeight="1" x14ac:dyDescent="0.3">
      <c r="A260" s="5"/>
      <c r="B260" s="3"/>
      <c r="C260" s="9"/>
      <c r="D260" s="6"/>
      <c r="E260" s="8"/>
      <c r="F260" s="21"/>
      <c r="G260" s="3"/>
      <c r="H260" s="9"/>
    </row>
    <row r="261" spans="1:8" ht="30" customHeight="1" x14ac:dyDescent="0.3">
      <c r="A261" s="5"/>
      <c r="B261" s="3"/>
      <c r="C261" s="9"/>
      <c r="D261" s="6"/>
      <c r="E261" s="8"/>
      <c r="F261" s="21"/>
      <c r="G261" s="3"/>
      <c r="H261" s="9"/>
    </row>
    <row r="262" spans="1:8" ht="30" customHeight="1" x14ac:dyDescent="0.3">
      <c r="A262" s="5"/>
      <c r="B262" s="3"/>
      <c r="C262" s="9"/>
      <c r="D262" s="6"/>
      <c r="E262" s="8"/>
      <c r="F262" s="21"/>
      <c r="G262" s="3"/>
      <c r="H262" s="9"/>
    </row>
    <row r="263" spans="1:8" ht="30" customHeight="1" x14ac:dyDescent="0.3">
      <c r="A263" s="5"/>
      <c r="B263" s="3"/>
      <c r="C263" s="9"/>
      <c r="D263" s="6"/>
      <c r="E263" s="8"/>
      <c r="F263" s="21"/>
      <c r="G263" s="3"/>
      <c r="H263" s="9"/>
    </row>
    <row r="264" spans="1:8" ht="30" customHeight="1" x14ac:dyDescent="0.3">
      <c r="A264" s="5"/>
      <c r="B264" s="3"/>
      <c r="C264" s="9"/>
      <c r="D264" s="6"/>
      <c r="E264" s="8"/>
      <c r="F264" s="21"/>
      <c r="G264" s="3"/>
      <c r="H264" s="9"/>
    </row>
    <row r="265" spans="1:8" ht="30" customHeight="1" x14ac:dyDescent="0.3">
      <c r="A265" s="5"/>
      <c r="B265" s="3"/>
      <c r="C265" s="9"/>
      <c r="D265" s="6"/>
      <c r="E265" s="8"/>
      <c r="F265" s="21"/>
      <c r="G265" s="3"/>
      <c r="H265" s="9"/>
    </row>
    <row r="266" spans="1:8" ht="30" customHeight="1" x14ac:dyDescent="0.3">
      <c r="A266" s="5"/>
      <c r="B266" s="3"/>
      <c r="C266" s="9"/>
      <c r="D266" s="6"/>
      <c r="E266" s="8"/>
      <c r="F266" s="21"/>
      <c r="G266" s="3"/>
      <c r="H266" s="9"/>
    </row>
    <row r="267" spans="1:8" ht="30" customHeight="1" x14ac:dyDescent="0.3">
      <c r="A267" s="5"/>
      <c r="B267" s="3"/>
      <c r="C267" s="9"/>
      <c r="D267" s="6"/>
      <c r="E267" s="8"/>
      <c r="F267" s="21"/>
      <c r="G267" s="3"/>
      <c r="H267" s="9"/>
    </row>
    <row r="268" spans="1:8" ht="30" customHeight="1" x14ac:dyDescent="0.3">
      <c r="A268" s="5"/>
      <c r="B268" s="3"/>
      <c r="C268" s="9"/>
      <c r="D268" s="6"/>
      <c r="E268" s="8"/>
      <c r="F268" s="21"/>
      <c r="G268" s="3"/>
      <c r="H268" s="9"/>
    </row>
    <row r="269" spans="1:8" ht="30" customHeight="1" x14ac:dyDescent="0.3">
      <c r="A269" s="5"/>
      <c r="B269" s="3"/>
      <c r="C269" s="9"/>
      <c r="D269" s="6"/>
      <c r="E269" s="8"/>
      <c r="F269" s="21"/>
      <c r="G269" s="3"/>
      <c r="H269" s="9"/>
    </row>
    <row r="270" spans="1:8" ht="30" customHeight="1" x14ac:dyDescent="0.3">
      <c r="A270" s="5"/>
      <c r="B270" s="3"/>
      <c r="C270" s="9"/>
      <c r="D270" s="6"/>
      <c r="E270" s="8"/>
      <c r="F270" s="21"/>
      <c r="G270" s="3"/>
      <c r="H270" s="9"/>
    </row>
    <row r="271" spans="1:8" ht="30" customHeight="1" x14ac:dyDescent="0.3">
      <c r="A271" s="5"/>
      <c r="B271" s="3"/>
      <c r="C271" s="9"/>
      <c r="D271" s="6"/>
      <c r="E271" s="8"/>
      <c r="F271" s="21"/>
      <c r="G271" s="3"/>
      <c r="H271" s="9"/>
    </row>
    <row r="272" spans="1:8" ht="30" customHeight="1" x14ac:dyDescent="0.3">
      <c r="A272" s="5"/>
      <c r="B272" s="3"/>
      <c r="C272" s="9"/>
      <c r="D272" s="6"/>
      <c r="E272" s="8"/>
      <c r="F272" s="21"/>
      <c r="G272" s="3"/>
      <c r="H272" s="9"/>
    </row>
    <row r="273" spans="1:8" ht="30" customHeight="1" x14ac:dyDescent="0.3">
      <c r="A273" s="5"/>
      <c r="B273" s="3"/>
      <c r="C273" s="9"/>
      <c r="D273" s="6"/>
      <c r="E273" s="8"/>
      <c r="F273" s="21"/>
      <c r="G273" s="3"/>
      <c r="H273" s="9"/>
    </row>
    <row r="274" spans="1:8" ht="30" customHeight="1" x14ac:dyDescent="0.3">
      <c r="A274" s="5"/>
      <c r="B274" s="3"/>
      <c r="C274" s="9"/>
      <c r="D274" s="6"/>
      <c r="E274" s="8"/>
      <c r="F274" s="21"/>
      <c r="G274" s="3"/>
      <c r="H274" s="9"/>
    </row>
    <row r="275" spans="1:8" ht="30" customHeight="1" x14ac:dyDescent="0.3">
      <c r="A275" s="2"/>
      <c r="B275" s="2"/>
      <c r="C275" s="9"/>
      <c r="D275" s="12"/>
      <c r="E275" s="10"/>
      <c r="F275" s="22"/>
      <c r="G275" s="2"/>
      <c r="H275" s="9"/>
    </row>
    <row r="276" spans="1:8" ht="30" customHeight="1" x14ac:dyDescent="0.3">
      <c r="A276" s="2"/>
      <c r="B276" s="2"/>
      <c r="C276" s="9"/>
      <c r="D276" s="12"/>
      <c r="E276" s="10"/>
      <c r="F276" s="22"/>
      <c r="G276" s="2"/>
      <c r="H276" s="9"/>
    </row>
    <row r="277" spans="1:8" ht="30" customHeight="1" x14ac:dyDescent="0.3">
      <c r="A277" s="2"/>
      <c r="B277" s="2"/>
      <c r="C277" s="9"/>
      <c r="D277" s="12"/>
      <c r="E277" s="10"/>
      <c r="F277" s="11"/>
      <c r="G277" s="2"/>
      <c r="H277" s="9"/>
    </row>
    <row r="278" spans="1:8" ht="30" customHeight="1" x14ac:dyDescent="0.3">
      <c r="A278" s="2"/>
      <c r="B278" s="2"/>
      <c r="C278" s="9"/>
      <c r="D278" s="12"/>
      <c r="E278" s="10"/>
      <c r="F278" s="11"/>
      <c r="G278" s="2"/>
      <c r="H278" s="9"/>
    </row>
    <row r="279" spans="1:8" ht="30" customHeight="1" x14ac:dyDescent="0.3">
      <c r="A279" s="2"/>
      <c r="B279" s="2"/>
      <c r="C279" s="9"/>
      <c r="D279" s="12"/>
      <c r="E279" s="10"/>
      <c r="F279" s="2"/>
      <c r="G279" s="2"/>
      <c r="H279" s="9"/>
    </row>
    <row r="280" spans="1:8" ht="30" customHeight="1" x14ac:dyDescent="0.3">
      <c r="A280" s="2"/>
      <c r="B280" s="2"/>
      <c r="C280" s="9"/>
      <c r="D280" s="12"/>
      <c r="E280" s="10"/>
      <c r="F280" s="2"/>
      <c r="G280" s="2"/>
      <c r="H280" s="9"/>
    </row>
    <row r="281" spans="1:8" ht="30" customHeight="1" x14ac:dyDescent="0.3">
      <c r="A281" s="2"/>
      <c r="B281" s="2"/>
      <c r="C281" s="9"/>
      <c r="D281" s="2"/>
      <c r="E281" s="10"/>
      <c r="F281" s="2"/>
      <c r="G281" s="2"/>
      <c r="H281" s="9"/>
    </row>
    <row r="282" spans="1:8" ht="30" customHeight="1" x14ac:dyDescent="0.3">
      <c r="A282" s="2"/>
      <c r="B282" s="2"/>
      <c r="C282" s="9"/>
      <c r="D282" s="2"/>
      <c r="E282" s="10"/>
      <c r="F282" s="2"/>
      <c r="G282" s="2"/>
      <c r="H282" s="9"/>
    </row>
    <row r="283" spans="1:8" x14ac:dyDescent="0.3">
      <c r="A283" s="9"/>
      <c r="B283" s="9"/>
      <c r="C283" s="9"/>
      <c r="D283" s="9"/>
      <c r="E283" s="9"/>
      <c r="F283" s="9"/>
      <c r="G283" s="9"/>
      <c r="H283" s="9"/>
    </row>
    <row r="284" spans="1:8" x14ac:dyDescent="0.3">
      <c r="A284" s="9"/>
      <c r="B284" s="9"/>
      <c r="C284" s="9"/>
      <c r="D284" s="9"/>
      <c r="E284" s="9"/>
      <c r="F284" s="9"/>
      <c r="G284" s="9"/>
      <c r="H284" s="9"/>
    </row>
    <row r="285" spans="1:8" x14ac:dyDescent="0.3">
      <c r="A285" s="9"/>
      <c r="B285" s="9"/>
      <c r="C285" s="9"/>
      <c r="D285" s="9"/>
      <c r="E285" s="9"/>
      <c r="F285" s="9"/>
      <c r="G285" s="9"/>
      <c r="H285" s="9"/>
    </row>
    <row r="286" spans="1:8" x14ac:dyDescent="0.3">
      <c r="A286" s="9"/>
      <c r="B286" s="9"/>
      <c r="C286" s="9"/>
      <c r="D286" s="9"/>
      <c r="E286" s="9"/>
      <c r="F286" s="9"/>
      <c r="G286" s="9"/>
      <c r="H286" s="9"/>
    </row>
    <row r="287" spans="1:8" x14ac:dyDescent="0.3">
      <c r="A287" s="9"/>
      <c r="B287" s="9"/>
      <c r="C287" s="9"/>
      <c r="D287" s="9"/>
      <c r="E287" s="9"/>
      <c r="F287" s="9"/>
      <c r="G287" s="9"/>
      <c r="H287" s="9"/>
    </row>
    <row r="288" spans="1:8" x14ac:dyDescent="0.3">
      <c r="A288" s="9"/>
      <c r="B288" s="9"/>
      <c r="C288" s="9"/>
      <c r="D288" s="9"/>
      <c r="E288" s="9"/>
      <c r="F288" s="9"/>
      <c r="G288" s="9"/>
      <c r="H288" s="9"/>
    </row>
    <row r="289" spans="1:8" x14ac:dyDescent="0.3">
      <c r="A289" s="9"/>
      <c r="B289" s="9"/>
      <c r="C289" s="9"/>
      <c r="D289" s="9"/>
      <c r="E289" s="9"/>
      <c r="F289" s="9"/>
      <c r="G289" s="9"/>
      <c r="H289" s="9"/>
    </row>
    <row r="290" spans="1:8" x14ac:dyDescent="0.3">
      <c r="A290" s="9"/>
      <c r="B290" s="9"/>
      <c r="C290" s="9"/>
      <c r="D290" s="9"/>
      <c r="E290" s="9"/>
      <c r="F290" s="9"/>
      <c r="G290" s="9"/>
      <c r="H290" s="9"/>
    </row>
    <row r="291" spans="1:8" x14ac:dyDescent="0.3">
      <c r="A291" s="9"/>
      <c r="B291" s="9"/>
      <c r="C291" s="9"/>
      <c r="D291" s="9"/>
      <c r="E291" s="9"/>
      <c r="F291" s="9"/>
      <c r="G291" s="9"/>
      <c r="H291" s="9"/>
    </row>
    <row r="292" spans="1:8" x14ac:dyDescent="0.3">
      <c r="A292" s="9"/>
      <c r="B292" s="9"/>
      <c r="C292" s="9"/>
      <c r="D292" s="9"/>
      <c r="E292" s="9"/>
      <c r="F292" s="9"/>
      <c r="G292" s="9"/>
      <c r="H292" s="9"/>
    </row>
    <row r="293" spans="1:8" x14ac:dyDescent="0.3">
      <c r="A293" s="9"/>
      <c r="B293" s="9"/>
      <c r="C293" s="9"/>
      <c r="D293" s="9"/>
      <c r="E293" s="9"/>
      <c r="F293" s="9"/>
      <c r="G293" s="9"/>
      <c r="H293" s="9"/>
    </row>
    <row r="294" spans="1:8" x14ac:dyDescent="0.3">
      <c r="A294" s="9"/>
      <c r="B294" s="9"/>
      <c r="C294" s="9"/>
      <c r="D294" s="9"/>
      <c r="E294" s="9"/>
      <c r="F294" s="9"/>
      <c r="G294" s="9"/>
      <c r="H294" s="9"/>
    </row>
    <row r="295" spans="1:8" x14ac:dyDescent="0.3">
      <c r="A295" s="9"/>
      <c r="B295" s="9"/>
      <c r="C295" s="9"/>
      <c r="D295" s="9"/>
      <c r="E295" s="9"/>
      <c r="F295" s="9"/>
      <c r="G295" s="9"/>
      <c r="H295" s="9"/>
    </row>
    <row r="296" spans="1:8" x14ac:dyDescent="0.3">
      <c r="A296" s="9"/>
      <c r="B296" s="9"/>
      <c r="C296" s="9"/>
      <c r="D296" s="9"/>
      <c r="E296" s="9"/>
      <c r="F296" s="9"/>
      <c r="G296" s="9"/>
      <c r="H296" s="9"/>
    </row>
    <row r="297" spans="1:8" x14ac:dyDescent="0.3">
      <c r="A297" s="9"/>
      <c r="B297" s="9"/>
      <c r="C297" s="9"/>
      <c r="D297" s="9"/>
      <c r="E297" s="9"/>
      <c r="F297" s="9"/>
      <c r="G297" s="9"/>
      <c r="H297" s="9"/>
    </row>
    <row r="298" spans="1:8" x14ac:dyDescent="0.3">
      <c r="A298" s="9"/>
      <c r="B298" s="9"/>
      <c r="C298" s="9"/>
      <c r="D298" s="9"/>
      <c r="E298" s="9"/>
      <c r="F298" s="9"/>
      <c r="G298" s="9"/>
      <c r="H298" s="9"/>
    </row>
    <row r="299" spans="1:8" x14ac:dyDescent="0.3">
      <c r="A299" s="9"/>
      <c r="B299" s="9"/>
      <c r="C299" s="9"/>
      <c r="D299" s="9"/>
      <c r="E299" s="9"/>
      <c r="F299" s="9"/>
      <c r="G299" s="9"/>
      <c r="H299" s="9"/>
    </row>
    <row r="300" spans="1:8" x14ac:dyDescent="0.3">
      <c r="A300" s="9"/>
      <c r="B300" s="9"/>
      <c r="C300" s="9"/>
      <c r="D300" s="9"/>
      <c r="E300" s="9"/>
      <c r="F300" s="9"/>
      <c r="G300" s="9"/>
      <c r="H300" s="9"/>
    </row>
    <row r="301" spans="1:8" x14ac:dyDescent="0.3">
      <c r="A301" s="9"/>
      <c r="B301" s="9"/>
      <c r="C301" s="9"/>
      <c r="D301" s="9"/>
      <c r="E301" s="9"/>
      <c r="F301" s="9"/>
      <c r="G301" s="9"/>
      <c r="H301" s="9"/>
    </row>
    <row r="302" spans="1:8" x14ac:dyDescent="0.3">
      <c r="A302" s="9"/>
      <c r="B302" s="9"/>
      <c r="C302" s="9"/>
      <c r="D302" s="9"/>
      <c r="E302" s="9"/>
      <c r="F302" s="9"/>
      <c r="G302" s="9"/>
      <c r="H302" s="9"/>
    </row>
    <row r="303" spans="1:8" x14ac:dyDescent="0.3">
      <c r="A303" s="9"/>
      <c r="B303" s="9"/>
      <c r="C303" s="9"/>
      <c r="D303" s="9"/>
      <c r="E303" s="9"/>
      <c r="F303" s="9"/>
      <c r="G303" s="9"/>
      <c r="H303" s="9"/>
    </row>
    <row r="304" spans="1:8" x14ac:dyDescent="0.3">
      <c r="A304" s="9"/>
      <c r="B304" s="9"/>
      <c r="C304" s="9"/>
      <c r="D304" s="9"/>
      <c r="E304" s="9"/>
      <c r="F304" s="9"/>
      <c r="G304" s="9"/>
      <c r="H304" s="9"/>
    </row>
    <row r="305" spans="1:8" x14ac:dyDescent="0.3">
      <c r="A305" s="9"/>
      <c r="B305" s="9"/>
      <c r="C305" s="9"/>
      <c r="D305" s="9"/>
      <c r="E305" s="9"/>
      <c r="F305" s="9"/>
      <c r="G305" s="9"/>
      <c r="H305" s="9"/>
    </row>
    <row r="306" spans="1:8" x14ac:dyDescent="0.3">
      <c r="A306" s="9"/>
      <c r="B306" s="9"/>
      <c r="C306" s="9"/>
      <c r="D306" s="9"/>
      <c r="E306" s="9"/>
      <c r="F306" s="9"/>
      <c r="G306" s="9"/>
      <c r="H306" s="9"/>
    </row>
    <row r="307" spans="1:8" x14ac:dyDescent="0.3">
      <c r="A307" s="9"/>
      <c r="B307" s="9"/>
      <c r="C307" s="9"/>
      <c r="D307" s="9"/>
      <c r="E307" s="9"/>
      <c r="F307" s="9"/>
      <c r="G307" s="9"/>
      <c r="H307" s="9"/>
    </row>
    <row r="308" spans="1:8" x14ac:dyDescent="0.3">
      <c r="A308" s="9"/>
      <c r="B308" s="9"/>
      <c r="C308" s="9"/>
      <c r="D308" s="9"/>
      <c r="E308" s="9"/>
      <c r="F308" s="9"/>
      <c r="G308" s="9"/>
      <c r="H308" s="9"/>
    </row>
    <row r="309" spans="1:8" x14ac:dyDescent="0.3">
      <c r="A309" s="9"/>
      <c r="B309" s="9"/>
      <c r="C309" s="9"/>
      <c r="D309" s="9"/>
      <c r="E309" s="9"/>
      <c r="F309" s="9"/>
      <c r="G309" s="9"/>
      <c r="H309" s="9"/>
    </row>
    <row r="310" spans="1:8" x14ac:dyDescent="0.3">
      <c r="A310" s="9"/>
      <c r="B310" s="9"/>
      <c r="C310" s="9"/>
      <c r="D310" s="9"/>
      <c r="E310" s="9"/>
      <c r="F310" s="9"/>
      <c r="G310" s="9"/>
      <c r="H310" s="9"/>
    </row>
    <row r="311" spans="1:8" x14ac:dyDescent="0.3">
      <c r="A311" s="9"/>
      <c r="B311" s="9"/>
      <c r="C311" s="9"/>
      <c r="D311" s="9"/>
      <c r="E311" s="9"/>
      <c r="F311" s="9"/>
      <c r="G311" s="9"/>
      <c r="H311" s="9"/>
    </row>
    <row r="312" spans="1:8" x14ac:dyDescent="0.3">
      <c r="A312" s="9"/>
      <c r="B312" s="9"/>
      <c r="C312" s="9"/>
      <c r="D312" s="9"/>
      <c r="E312" s="9"/>
      <c r="F312" s="9"/>
      <c r="G312" s="9"/>
      <c r="H312" s="9"/>
    </row>
    <row r="313" spans="1:8" x14ac:dyDescent="0.3">
      <c r="A313" s="9"/>
      <c r="B313" s="9"/>
      <c r="C313" s="9"/>
      <c r="D313" s="9"/>
      <c r="E313" s="9"/>
      <c r="F313" s="9"/>
      <c r="G313" s="9"/>
      <c r="H313" s="9"/>
    </row>
    <row r="314" spans="1:8" x14ac:dyDescent="0.3">
      <c r="A314" s="9"/>
      <c r="B314" s="9"/>
      <c r="C314" s="9"/>
      <c r="D314" s="9"/>
      <c r="E314" s="9"/>
      <c r="F314" s="9"/>
      <c r="G314" s="9"/>
      <c r="H314" s="9"/>
    </row>
    <row r="315" spans="1:8" x14ac:dyDescent="0.3">
      <c r="A315" s="9"/>
      <c r="B315" s="9"/>
      <c r="C315" s="9"/>
      <c r="D315" s="9"/>
      <c r="E315" s="9"/>
      <c r="F315" s="9"/>
      <c r="G315" s="9"/>
      <c r="H315" s="9"/>
    </row>
    <row r="316" spans="1:8" x14ac:dyDescent="0.3">
      <c r="A316" s="9"/>
      <c r="B316" s="9"/>
      <c r="C316" s="9"/>
      <c r="D316" s="9"/>
      <c r="E316" s="9"/>
      <c r="F316" s="9"/>
      <c r="G316" s="9"/>
      <c r="H316" s="9"/>
    </row>
    <row r="317" spans="1:8" x14ac:dyDescent="0.3">
      <c r="A317" s="9"/>
      <c r="B317" s="9"/>
      <c r="C317" s="9"/>
      <c r="D317" s="9"/>
      <c r="E317" s="9"/>
      <c r="F317" s="9"/>
      <c r="G317" s="9"/>
      <c r="H317" s="9"/>
    </row>
    <row r="318" spans="1:8" x14ac:dyDescent="0.3">
      <c r="A318" s="9"/>
      <c r="B318" s="9"/>
      <c r="C318" s="9"/>
      <c r="D318" s="9"/>
      <c r="E318" s="9"/>
      <c r="F318" s="9"/>
      <c r="G318" s="9"/>
      <c r="H318" s="9"/>
    </row>
    <row r="319" spans="1:8" x14ac:dyDescent="0.3">
      <c r="A319" s="9"/>
      <c r="B319" s="9"/>
      <c r="C319" s="9"/>
      <c r="D319" s="9"/>
      <c r="E319" s="9"/>
      <c r="F319" s="9"/>
      <c r="G319" s="9"/>
      <c r="H319" s="9"/>
    </row>
    <row r="320" spans="1:8" x14ac:dyDescent="0.3">
      <c r="A320" s="9"/>
      <c r="B320" s="9"/>
      <c r="C320" s="9"/>
      <c r="D320" s="9"/>
      <c r="E320" s="9"/>
      <c r="F320" s="9"/>
      <c r="G320" s="9"/>
      <c r="H320" s="9"/>
    </row>
    <row r="321" spans="1:8" x14ac:dyDescent="0.3">
      <c r="A321" s="9"/>
      <c r="B321" s="9"/>
      <c r="C321" s="9"/>
      <c r="D321" s="9"/>
      <c r="E321" s="9"/>
      <c r="F321" s="9"/>
      <c r="G321" s="9"/>
      <c r="H321" s="9"/>
    </row>
    <row r="322" spans="1:8" x14ac:dyDescent="0.3">
      <c r="A322" s="9"/>
      <c r="B322" s="9"/>
      <c r="C322" s="9"/>
      <c r="D322" s="9"/>
      <c r="E322" s="9"/>
      <c r="F322" s="9"/>
      <c r="G322" s="9"/>
      <c r="H322" s="9"/>
    </row>
    <row r="323" spans="1:8" x14ac:dyDescent="0.3">
      <c r="A323" s="9"/>
      <c r="B323" s="9"/>
      <c r="C323" s="9"/>
      <c r="D323" s="9"/>
      <c r="E323" s="9"/>
      <c r="F323" s="9"/>
      <c r="G323" s="9"/>
      <c r="H323" s="9"/>
    </row>
    <row r="324" spans="1:8" x14ac:dyDescent="0.3">
      <c r="A324" s="9"/>
      <c r="B324" s="9"/>
      <c r="C324" s="9"/>
      <c r="D324" s="9"/>
      <c r="E324" s="9"/>
      <c r="F324" s="9"/>
      <c r="G324" s="9"/>
      <c r="H324" s="9"/>
    </row>
    <row r="325" spans="1:8" x14ac:dyDescent="0.3">
      <c r="A325" s="9"/>
      <c r="B325" s="9"/>
      <c r="C325" s="9"/>
      <c r="D325" s="9"/>
      <c r="E325" s="9"/>
      <c r="F325" s="9"/>
      <c r="G325" s="9"/>
      <c r="H325" s="9"/>
    </row>
    <row r="326" spans="1:8" x14ac:dyDescent="0.3">
      <c r="A326" s="9"/>
      <c r="B326" s="9"/>
      <c r="C326" s="9"/>
      <c r="D326" s="9"/>
      <c r="E326" s="9"/>
      <c r="F326" s="9"/>
      <c r="G326" s="9"/>
      <c r="H326" s="9"/>
    </row>
    <row r="327" spans="1:8" x14ac:dyDescent="0.3">
      <c r="A327" s="9"/>
      <c r="B327" s="9"/>
      <c r="C327" s="9"/>
      <c r="D327" s="9"/>
      <c r="E327" s="9"/>
      <c r="F327" s="9"/>
      <c r="G327" s="9"/>
      <c r="H327" s="9"/>
    </row>
    <row r="328" spans="1:8" x14ac:dyDescent="0.3">
      <c r="A328" s="9"/>
      <c r="B328" s="9"/>
      <c r="C328" s="9"/>
      <c r="D328" s="9"/>
      <c r="E328" s="9"/>
      <c r="F328" s="9"/>
      <c r="G328" s="9"/>
      <c r="H328" s="9"/>
    </row>
    <row r="329" spans="1:8" x14ac:dyDescent="0.3">
      <c r="A329" s="9"/>
      <c r="B329" s="9"/>
      <c r="C329" s="9"/>
      <c r="D329" s="9"/>
      <c r="E329" s="9"/>
      <c r="F329" s="9"/>
      <c r="G329" s="9"/>
      <c r="H329" s="9"/>
    </row>
    <row r="330" spans="1:8" x14ac:dyDescent="0.3">
      <c r="A330" s="9"/>
      <c r="B330" s="9"/>
      <c r="C330" s="9"/>
      <c r="D330" s="9"/>
      <c r="E330" s="9"/>
      <c r="F330" s="9"/>
      <c r="G330" s="9"/>
      <c r="H330" s="9"/>
    </row>
    <row r="331" spans="1:8" x14ac:dyDescent="0.3">
      <c r="A331" s="9"/>
      <c r="B331" s="9"/>
      <c r="C331" s="9"/>
      <c r="D331" s="9"/>
      <c r="E331" s="9"/>
      <c r="F331" s="9"/>
      <c r="G331" s="9"/>
      <c r="H331" s="9"/>
    </row>
    <row r="332" spans="1:8" x14ac:dyDescent="0.3">
      <c r="A332" s="9"/>
      <c r="B332" s="9"/>
      <c r="C332" s="9"/>
      <c r="D332" s="9"/>
      <c r="E332" s="9"/>
      <c r="F332" s="9"/>
      <c r="G332" s="9"/>
      <c r="H332" s="9"/>
    </row>
    <row r="333" spans="1:8" x14ac:dyDescent="0.3">
      <c r="A333" s="9"/>
      <c r="B333" s="9"/>
      <c r="C333" s="9"/>
      <c r="D333" s="9"/>
      <c r="E333" s="9"/>
      <c r="F333" s="9"/>
      <c r="G333" s="9"/>
      <c r="H333" s="9"/>
    </row>
    <row r="334" spans="1:8" x14ac:dyDescent="0.3">
      <c r="A334" s="9"/>
      <c r="B334" s="9"/>
      <c r="C334" s="9"/>
      <c r="D334" s="9"/>
      <c r="E334" s="9"/>
      <c r="F334" s="9"/>
      <c r="G334" s="9"/>
      <c r="H334" s="9"/>
    </row>
    <row r="335" spans="1:8" x14ac:dyDescent="0.3">
      <c r="A335" s="9"/>
      <c r="B335" s="9"/>
      <c r="C335" s="9"/>
      <c r="D335" s="9"/>
      <c r="E335" s="9"/>
      <c r="F335" s="9"/>
      <c r="G335" s="9"/>
      <c r="H335" s="9"/>
    </row>
    <row r="336" spans="1:8" x14ac:dyDescent="0.3">
      <c r="A336" s="9"/>
      <c r="B336" s="9"/>
      <c r="C336" s="9"/>
      <c r="D336" s="9"/>
      <c r="E336" s="9"/>
      <c r="F336" s="9"/>
      <c r="G336" s="9"/>
      <c r="H336" s="9"/>
    </row>
    <row r="337" spans="1:8" x14ac:dyDescent="0.3">
      <c r="A337" s="9"/>
      <c r="B337" s="9"/>
      <c r="C337" s="9"/>
      <c r="D337" s="9"/>
      <c r="E337" s="9"/>
      <c r="F337" s="9"/>
      <c r="G337" s="9"/>
      <c r="H337" s="9"/>
    </row>
    <row r="338" spans="1:8" x14ac:dyDescent="0.3">
      <c r="A338" s="9"/>
      <c r="B338" s="9"/>
      <c r="C338" s="9"/>
      <c r="D338" s="9"/>
      <c r="E338" s="9"/>
      <c r="F338" s="9"/>
      <c r="G338" s="9"/>
      <c r="H338" s="9"/>
    </row>
    <row r="339" spans="1:8" x14ac:dyDescent="0.3">
      <c r="A339" s="9"/>
      <c r="B339" s="9"/>
      <c r="C339" s="9"/>
      <c r="D339" s="9"/>
      <c r="E339" s="9"/>
      <c r="F339" s="9"/>
      <c r="G339" s="9"/>
      <c r="H339" s="9"/>
    </row>
    <row r="340" spans="1:8" x14ac:dyDescent="0.3">
      <c r="A340" s="9"/>
      <c r="B340" s="9"/>
      <c r="C340" s="9"/>
      <c r="D340" s="9"/>
      <c r="E340" s="9"/>
      <c r="F340" s="9"/>
      <c r="G340" s="9"/>
      <c r="H340" s="9"/>
    </row>
    <row r="341" spans="1:8" x14ac:dyDescent="0.3">
      <c r="A341" s="9"/>
      <c r="B341" s="9"/>
      <c r="C341" s="9"/>
      <c r="D341" s="9"/>
      <c r="E341" s="9"/>
      <c r="F341" s="9"/>
      <c r="G341" s="9"/>
      <c r="H341" s="9"/>
    </row>
    <row r="342" spans="1:8" x14ac:dyDescent="0.3">
      <c r="A342" s="9"/>
      <c r="B342" s="9"/>
      <c r="C342" s="9"/>
      <c r="D342" s="9"/>
      <c r="E342" s="9"/>
      <c r="F342" s="9"/>
      <c r="G342" s="9"/>
      <c r="H342" s="9"/>
    </row>
    <row r="343" spans="1:8" x14ac:dyDescent="0.3">
      <c r="A343" s="9"/>
      <c r="B343" s="9"/>
      <c r="C343" s="9"/>
      <c r="D343" s="9"/>
      <c r="E343" s="9"/>
      <c r="F343" s="9"/>
      <c r="G343" s="9"/>
      <c r="H343" s="9"/>
    </row>
    <row r="344" spans="1:8" x14ac:dyDescent="0.3">
      <c r="A344" s="9"/>
      <c r="B344" s="9"/>
      <c r="C344" s="9"/>
      <c r="D344" s="9"/>
      <c r="E344" s="9"/>
      <c r="F344" s="9"/>
      <c r="G344" s="9"/>
      <c r="H344" s="9"/>
    </row>
    <row r="345" spans="1:8" x14ac:dyDescent="0.3">
      <c r="A345" s="9"/>
      <c r="B345" s="9"/>
      <c r="C345" s="9"/>
      <c r="D345" s="9"/>
      <c r="E345" s="9"/>
      <c r="F345" s="9"/>
      <c r="G345" s="9"/>
      <c r="H345" s="9"/>
    </row>
    <row r="346" spans="1:8" x14ac:dyDescent="0.3">
      <c r="A346" s="9"/>
      <c r="B346" s="9"/>
      <c r="C346" s="9"/>
      <c r="D346" s="9"/>
      <c r="E346" s="9"/>
      <c r="F346" s="9"/>
      <c r="G346" s="9"/>
      <c r="H346" s="9"/>
    </row>
    <row r="347" spans="1:8" x14ac:dyDescent="0.3">
      <c r="A347" s="9"/>
      <c r="B347" s="9"/>
      <c r="C347" s="9"/>
      <c r="D347" s="9"/>
      <c r="E347" s="9"/>
      <c r="F347" s="9"/>
      <c r="G347" s="9"/>
      <c r="H347" s="9"/>
    </row>
    <row r="348" spans="1:8" x14ac:dyDescent="0.3">
      <c r="A348" s="9"/>
      <c r="B348" s="9"/>
      <c r="C348" s="9"/>
      <c r="D348" s="9"/>
      <c r="E348" s="9"/>
      <c r="F348" s="9"/>
      <c r="G348" s="9"/>
      <c r="H348" s="9"/>
    </row>
    <row r="349" spans="1:8" x14ac:dyDescent="0.3">
      <c r="A349" s="9"/>
      <c r="B349" s="9"/>
      <c r="C349" s="9"/>
      <c r="D349" s="9"/>
      <c r="E349" s="9"/>
      <c r="F349" s="9"/>
      <c r="G349" s="9"/>
      <c r="H349" s="9"/>
    </row>
    <row r="350" spans="1:8" x14ac:dyDescent="0.3">
      <c r="A350" s="9"/>
      <c r="B350" s="9"/>
      <c r="C350" s="9"/>
      <c r="D350" s="9"/>
      <c r="E350" s="9"/>
      <c r="F350" s="9"/>
      <c r="G350" s="9"/>
      <c r="H350" s="9"/>
    </row>
    <row r="351" spans="1:8" x14ac:dyDescent="0.3">
      <c r="A351" s="9"/>
      <c r="B351" s="9"/>
      <c r="C351" s="9"/>
      <c r="D351" s="9"/>
      <c r="E351" s="9"/>
      <c r="F351" s="9"/>
      <c r="G351" s="9"/>
      <c r="H351" s="9"/>
    </row>
    <row r="352" spans="1:8" x14ac:dyDescent="0.3">
      <c r="A352" s="9"/>
      <c r="B352" s="9"/>
      <c r="C352" s="9"/>
      <c r="D352" s="9"/>
      <c r="E352" s="9"/>
      <c r="F352" s="9"/>
      <c r="G352" s="9"/>
      <c r="H352" s="9"/>
    </row>
    <row r="353" spans="1:8" x14ac:dyDescent="0.3">
      <c r="A353" s="9"/>
      <c r="B353" s="9"/>
      <c r="C353" s="9"/>
      <c r="D353" s="9"/>
      <c r="E353" s="9"/>
      <c r="F353" s="9"/>
      <c r="G353" s="9"/>
      <c r="H353" s="9"/>
    </row>
    <row r="354" spans="1:8" x14ac:dyDescent="0.3">
      <c r="A354" s="9"/>
      <c r="B354" s="9"/>
      <c r="C354" s="9"/>
      <c r="D354" s="9"/>
      <c r="E354" s="9"/>
      <c r="F354" s="9"/>
      <c r="G354" s="9"/>
      <c r="H354" s="9"/>
    </row>
    <row r="355" spans="1:8" x14ac:dyDescent="0.3">
      <c r="A355" s="9"/>
      <c r="B355" s="9"/>
      <c r="C355" s="9"/>
      <c r="D355" s="9"/>
      <c r="E355" s="9"/>
      <c r="F355" s="9"/>
      <c r="G355" s="9"/>
      <c r="H355" s="9"/>
    </row>
    <row r="356" spans="1:8" x14ac:dyDescent="0.3">
      <c r="A356" s="9"/>
      <c r="B356" s="9"/>
      <c r="C356" s="9"/>
      <c r="D356" s="9"/>
      <c r="E356" s="9"/>
      <c r="F356" s="9"/>
      <c r="G356" s="9"/>
      <c r="H356" s="9"/>
    </row>
    <row r="357" spans="1:8" x14ac:dyDescent="0.3">
      <c r="A357" s="9"/>
      <c r="B357" s="9"/>
      <c r="C357" s="9"/>
      <c r="D357" s="9"/>
      <c r="E357" s="9"/>
      <c r="F357" s="9"/>
      <c r="G357" s="9"/>
      <c r="H357" s="9"/>
    </row>
    <row r="358" spans="1:8" x14ac:dyDescent="0.3">
      <c r="A358" s="9"/>
      <c r="B358" s="9"/>
      <c r="C358" s="9"/>
      <c r="D358" s="9"/>
      <c r="E358" s="9"/>
      <c r="F358" s="9"/>
      <c r="G358" s="9"/>
      <c r="H358" s="9"/>
    </row>
    <row r="359" spans="1:8" x14ac:dyDescent="0.3">
      <c r="A359" s="9"/>
      <c r="B359" s="9"/>
      <c r="C359" s="9"/>
      <c r="D359" s="9"/>
      <c r="E359" s="9"/>
      <c r="F359" s="9"/>
      <c r="G359" s="9"/>
      <c r="H359" s="9"/>
    </row>
    <row r="360" spans="1:8" x14ac:dyDescent="0.3">
      <c r="A360" s="9"/>
      <c r="B360" s="9"/>
      <c r="C360" s="9"/>
      <c r="D360" s="9"/>
      <c r="E360" s="9"/>
      <c r="F360" s="9"/>
      <c r="G360" s="9"/>
      <c r="H360" s="9"/>
    </row>
    <row r="361" spans="1:8" x14ac:dyDescent="0.3">
      <c r="A361" s="9"/>
      <c r="B361" s="9"/>
      <c r="C361" s="9"/>
      <c r="D361" s="9"/>
      <c r="E361" s="9"/>
      <c r="F361" s="9"/>
      <c r="G361" s="9"/>
      <c r="H361" s="9"/>
    </row>
    <row r="362" spans="1:8" x14ac:dyDescent="0.3">
      <c r="A362" s="9"/>
      <c r="B362" s="9"/>
      <c r="C362" s="9"/>
      <c r="D362" s="9"/>
      <c r="E362" s="9"/>
      <c r="F362" s="9"/>
      <c r="G362" s="9"/>
      <c r="H362" s="9"/>
    </row>
    <row r="363" spans="1:8" x14ac:dyDescent="0.3">
      <c r="A363" s="9"/>
      <c r="B363" s="9"/>
      <c r="C363" s="9"/>
      <c r="D363" s="9"/>
      <c r="E363" s="9"/>
      <c r="F363" s="9"/>
      <c r="G363" s="9"/>
      <c r="H363" s="9"/>
    </row>
    <row r="364" spans="1:8" x14ac:dyDescent="0.3">
      <c r="A364" s="9"/>
      <c r="B364" s="9"/>
      <c r="C364" s="9"/>
      <c r="D364" s="9"/>
      <c r="E364" s="9"/>
      <c r="F364" s="9"/>
      <c r="G364" s="9"/>
      <c r="H364" s="9"/>
    </row>
    <row r="365" spans="1:8" x14ac:dyDescent="0.3">
      <c r="A365" s="9"/>
      <c r="B365" s="9"/>
      <c r="C365" s="9"/>
      <c r="D365" s="9"/>
      <c r="E365" s="9"/>
      <c r="F365" s="9"/>
      <c r="G365" s="9"/>
      <c r="H365" s="9"/>
    </row>
    <row r="366" spans="1:8" x14ac:dyDescent="0.3">
      <c r="A366" s="9"/>
      <c r="B366" s="9"/>
      <c r="C366" s="9"/>
      <c r="D366" s="9"/>
      <c r="E366" s="9"/>
      <c r="F366" s="9"/>
      <c r="G366" s="9"/>
      <c r="H366" s="9"/>
    </row>
    <row r="367" spans="1:8" x14ac:dyDescent="0.3">
      <c r="A367" s="9"/>
      <c r="B367" s="9"/>
      <c r="C367" s="9"/>
      <c r="D367" s="9"/>
      <c r="E367" s="9"/>
      <c r="F367" s="9"/>
      <c r="G367" s="9"/>
      <c r="H367" s="9"/>
    </row>
    <row r="368" spans="1:8" x14ac:dyDescent="0.3">
      <c r="A368" s="9"/>
      <c r="B368" s="9"/>
      <c r="C368" s="9"/>
      <c r="D368" s="9"/>
      <c r="E368" s="9"/>
      <c r="F368" s="9"/>
      <c r="G368" s="9"/>
      <c r="H368" s="9"/>
    </row>
    <row r="369" spans="1:8" x14ac:dyDescent="0.3">
      <c r="A369" s="9"/>
      <c r="B369" s="9"/>
      <c r="C369" s="9"/>
      <c r="D369" s="9"/>
      <c r="E369" s="9"/>
      <c r="F369" s="9"/>
      <c r="G369" s="9"/>
      <c r="H369" s="9"/>
    </row>
    <row r="370" spans="1:8" x14ac:dyDescent="0.3">
      <c r="A370" s="9"/>
      <c r="B370" s="9"/>
      <c r="C370" s="9"/>
      <c r="D370" s="9"/>
      <c r="E370" s="9"/>
      <c r="F370" s="9"/>
      <c r="G370" s="9"/>
      <c r="H370" s="9"/>
    </row>
    <row r="371" spans="1:8" x14ac:dyDescent="0.3">
      <c r="A371" s="9"/>
      <c r="B371" s="9"/>
      <c r="C371" s="9"/>
      <c r="D371" s="9"/>
      <c r="E371" s="9"/>
      <c r="F371" s="9"/>
      <c r="G371" s="9"/>
      <c r="H371" s="9"/>
    </row>
    <row r="372" spans="1:8" x14ac:dyDescent="0.3">
      <c r="A372" s="9"/>
      <c r="B372" s="9"/>
      <c r="C372" s="9"/>
      <c r="D372" s="9"/>
      <c r="E372" s="9"/>
      <c r="F372" s="9"/>
      <c r="G372" s="9"/>
      <c r="H372" s="9"/>
    </row>
    <row r="373" spans="1:8" x14ac:dyDescent="0.3">
      <c r="A373" s="9"/>
      <c r="B373" s="9"/>
      <c r="C373" s="9"/>
      <c r="D373" s="9"/>
      <c r="E373" s="9"/>
      <c r="F373" s="9"/>
      <c r="G373" s="9"/>
      <c r="H373" s="9"/>
    </row>
    <row r="374" spans="1:8" x14ac:dyDescent="0.3">
      <c r="A374" s="9"/>
      <c r="B374" s="9"/>
      <c r="C374" s="9"/>
      <c r="D374" s="9"/>
      <c r="E374" s="9"/>
      <c r="F374" s="9"/>
      <c r="G374" s="9"/>
      <c r="H374" s="9"/>
    </row>
    <row r="375" spans="1:8" x14ac:dyDescent="0.3">
      <c r="A375" s="9"/>
      <c r="B375" s="9"/>
      <c r="C375" s="9"/>
      <c r="D375" s="9"/>
      <c r="E375" s="9"/>
      <c r="F375" s="9"/>
      <c r="G375" s="9"/>
      <c r="H375" s="9"/>
    </row>
    <row r="376" spans="1:8" x14ac:dyDescent="0.3">
      <c r="A376" s="9"/>
      <c r="B376" s="9"/>
      <c r="C376" s="9"/>
      <c r="D376" s="9"/>
      <c r="E376" s="9"/>
      <c r="F376" s="9"/>
      <c r="G376" s="9"/>
      <c r="H376" s="9"/>
    </row>
    <row r="377" spans="1:8" x14ac:dyDescent="0.3">
      <c r="A377" s="9"/>
      <c r="B377" s="9"/>
      <c r="C377" s="9"/>
      <c r="D377" s="9"/>
      <c r="E377" s="9"/>
      <c r="F377" s="9"/>
      <c r="G377" s="9"/>
      <c r="H377" s="9"/>
    </row>
    <row r="378" spans="1:8" x14ac:dyDescent="0.3">
      <c r="A378" s="9"/>
      <c r="B378" s="9"/>
      <c r="C378" s="9"/>
      <c r="D378" s="9"/>
      <c r="E378" s="9"/>
      <c r="F378" s="9"/>
      <c r="G378" s="9"/>
      <c r="H378" s="9"/>
    </row>
    <row r="379" spans="1:8" x14ac:dyDescent="0.3">
      <c r="A379" s="9"/>
      <c r="B379" s="9"/>
      <c r="C379" s="9"/>
      <c r="D379" s="9"/>
      <c r="E379" s="9"/>
      <c r="F379" s="9"/>
      <c r="G379" s="9"/>
      <c r="H379" s="9"/>
    </row>
    <row r="380" spans="1:8" x14ac:dyDescent="0.3">
      <c r="A380" s="9"/>
      <c r="B380" s="9"/>
      <c r="C380" s="9"/>
      <c r="D380" s="9"/>
      <c r="E380" s="9"/>
      <c r="F380" s="9"/>
      <c r="G380" s="9"/>
      <c r="H380" s="9"/>
    </row>
    <row r="381" spans="1:8" x14ac:dyDescent="0.3">
      <c r="A381" s="9"/>
      <c r="B381" s="9"/>
      <c r="C381" s="9"/>
      <c r="D381" s="9"/>
      <c r="E381" s="9"/>
      <c r="F381" s="9"/>
      <c r="G381" s="9"/>
      <c r="H381" s="9"/>
    </row>
    <row r="382" spans="1:8" x14ac:dyDescent="0.3">
      <c r="A382" s="9"/>
      <c r="B382" s="9"/>
      <c r="C382" s="9"/>
      <c r="D382" s="9"/>
      <c r="E382" s="9"/>
      <c r="F382" s="9"/>
      <c r="G382" s="9"/>
      <c r="H382" s="9"/>
    </row>
    <row r="383" spans="1:8" x14ac:dyDescent="0.3">
      <c r="A383" s="9"/>
      <c r="B383" s="9"/>
      <c r="C383" s="9"/>
      <c r="D383" s="9"/>
      <c r="E383" s="9"/>
      <c r="F383" s="9"/>
      <c r="G383" s="9"/>
      <c r="H383" s="9"/>
    </row>
    <row r="384" spans="1:8" x14ac:dyDescent="0.3">
      <c r="A384" s="9"/>
      <c r="B384" s="9"/>
      <c r="C384" s="9"/>
      <c r="D384" s="9"/>
      <c r="E384" s="9"/>
      <c r="F384" s="9"/>
      <c r="G384" s="9"/>
      <c r="H384" s="9"/>
    </row>
    <row r="385" spans="1:8" x14ac:dyDescent="0.3">
      <c r="A385" s="9"/>
      <c r="B385" s="9"/>
      <c r="C385" s="9"/>
      <c r="D385" s="9"/>
      <c r="E385" s="9"/>
      <c r="F385" s="9"/>
      <c r="G385" s="9"/>
      <c r="H385" s="9"/>
    </row>
    <row r="386" spans="1:8" x14ac:dyDescent="0.3">
      <c r="A386" s="9"/>
      <c r="B386" s="9"/>
      <c r="C386" s="9"/>
      <c r="D386" s="9"/>
      <c r="E386" s="9"/>
      <c r="F386" s="9"/>
      <c r="G386" s="9"/>
      <c r="H386" s="9"/>
    </row>
    <row r="387" spans="1:8" x14ac:dyDescent="0.3">
      <c r="A387" s="9"/>
      <c r="B387" s="9"/>
      <c r="C387" s="9"/>
      <c r="D387" s="9"/>
      <c r="E387" s="9"/>
      <c r="F387" s="9"/>
      <c r="G387" s="9"/>
      <c r="H387" s="9"/>
    </row>
    <row r="388" spans="1:8" x14ac:dyDescent="0.3">
      <c r="A388" s="9"/>
      <c r="B388" s="9"/>
      <c r="C388" s="9"/>
      <c r="D388" s="9"/>
      <c r="E388" s="9"/>
      <c r="F388" s="9"/>
      <c r="G388" s="9"/>
      <c r="H388" s="9"/>
    </row>
    <row r="389" spans="1:8" x14ac:dyDescent="0.3">
      <c r="A389" s="9"/>
      <c r="B389" s="9"/>
      <c r="C389" s="9"/>
      <c r="D389" s="9"/>
      <c r="E389" s="9"/>
      <c r="F389" s="9"/>
      <c r="G389" s="9"/>
      <c r="H389" s="9"/>
    </row>
    <row r="390" spans="1:8" x14ac:dyDescent="0.3">
      <c r="A390" s="9"/>
      <c r="B390" s="9"/>
      <c r="C390" s="9"/>
      <c r="D390" s="9"/>
      <c r="E390" s="9"/>
      <c r="F390" s="9"/>
      <c r="G390" s="9"/>
      <c r="H390" s="9"/>
    </row>
    <row r="391" spans="1:8" x14ac:dyDescent="0.3">
      <c r="A391" s="9"/>
      <c r="B391" s="9"/>
      <c r="C391" s="9"/>
      <c r="D391" s="9"/>
      <c r="E391" s="9"/>
      <c r="F391" s="9"/>
      <c r="G391" s="9"/>
      <c r="H391" s="9"/>
    </row>
    <row r="392" spans="1:8" x14ac:dyDescent="0.3">
      <c r="A392" s="9"/>
      <c r="B392" s="9"/>
      <c r="C392" s="9"/>
      <c r="D392" s="9"/>
      <c r="E392" s="9"/>
      <c r="F392" s="9"/>
      <c r="G392" s="9"/>
      <c r="H392" s="9"/>
    </row>
    <row r="393" spans="1:8" x14ac:dyDescent="0.3">
      <c r="A393" s="9"/>
      <c r="B393" s="9"/>
      <c r="C393" s="9"/>
      <c r="D393" s="9"/>
      <c r="E393" s="9"/>
      <c r="F393" s="9"/>
      <c r="G393" s="9"/>
      <c r="H393" s="9"/>
    </row>
    <row r="394" spans="1:8" x14ac:dyDescent="0.3">
      <c r="A394" s="9"/>
      <c r="B394" s="9"/>
      <c r="C394" s="9"/>
      <c r="D394" s="9"/>
      <c r="E394" s="9"/>
      <c r="F394" s="9"/>
      <c r="G394" s="9"/>
      <c r="H394" s="9"/>
    </row>
    <row r="395" spans="1:8" x14ac:dyDescent="0.3">
      <c r="A395" s="9"/>
      <c r="B395" s="9"/>
      <c r="C395" s="9"/>
      <c r="D395" s="9"/>
      <c r="E395" s="9"/>
      <c r="F395" s="9"/>
      <c r="G395" s="9"/>
      <c r="H395" s="9"/>
    </row>
    <row r="396" spans="1:8" x14ac:dyDescent="0.3">
      <c r="A396" s="9"/>
      <c r="B396" s="9"/>
      <c r="C396" s="9"/>
      <c r="D396" s="9"/>
      <c r="E396" s="9"/>
      <c r="F396" s="9"/>
      <c r="G396" s="9"/>
      <c r="H396" s="9"/>
    </row>
    <row r="397" spans="1:8" x14ac:dyDescent="0.3">
      <c r="A397" s="9"/>
      <c r="B397" s="9"/>
      <c r="C397" s="9"/>
      <c r="D397" s="9"/>
      <c r="E397" s="9"/>
      <c r="F397" s="9"/>
      <c r="G397" s="9"/>
      <c r="H397" s="9"/>
    </row>
    <row r="398" spans="1:8" x14ac:dyDescent="0.3">
      <c r="A398" s="9"/>
      <c r="B398" s="9"/>
      <c r="C398" s="9"/>
      <c r="D398" s="9"/>
      <c r="E398" s="9"/>
      <c r="F398" s="9"/>
      <c r="G398" s="9"/>
      <c r="H398" s="9"/>
    </row>
    <row r="399" spans="1:8" x14ac:dyDescent="0.3">
      <c r="A399" s="9"/>
      <c r="B399" s="9"/>
      <c r="C399" s="9"/>
      <c r="D399" s="9"/>
      <c r="E399" s="9"/>
      <c r="F399" s="9"/>
      <c r="G399" s="9"/>
      <c r="H399" s="9"/>
    </row>
    <row r="400" spans="1:8" x14ac:dyDescent="0.3">
      <c r="A400" s="9"/>
      <c r="B400" s="9"/>
      <c r="C400" s="9"/>
      <c r="D400" s="9"/>
      <c r="E400" s="9"/>
      <c r="F400" s="9"/>
      <c r="G400" s="9"/>
      <c r="H400" s="9"/>
    </row>
    <row r="401" spans="1:8" x14ac:dyDescent="0.3">
      <c r="A401" s="9"/>
      <c r="B401" s="9"/>
      <c r="C401" s="9"/>
      <c r="D401" s="9"/>
      <c r="E401" s="9"/>
      <c r="F401" s="9"/>
      <c r="G401" s="9"/>
      <c r="H401" s="9"/>
    </row>
    <row r="402" spans="1:8" x14ac:dyDescent="0.3">
      <c r="A402" s="9"/>
      <c r="B402" s="9"/>
      <c r="C402" s="9"/>
      <c r="D402" s="9"/>
      <c r="E402" s="9"/>
      <c r="F402" s="9"/>
      <c r="G402" s="9"/>
      <c r="H402" s="9"/>
    </row>
    <row r="403" spans="1:8" x14ac:dyDescent="0.3">
      <c r="A403" s="9"/>
      <c r="B403" s="9"/>
      <c r="C403" s="9"/>
      <c r="D403" s="9"/>
      <c r="E403" s="9"/>
      <c r="F403" s="9"/>
      <c r="G403" s="9"/>
      <c r="H403" s="9"/>
    </row>
    <row r="404" spans="1:8" x14ac:dyDescent="0.3">
      <c r="A404" s="9"/>
      <c r="B404" s="9"/>
      <c r="C404" s="9"/>
      <c r="D404" s="9"/>
      <c r="E404" s="9"/>
      <c r="F404" s="9"/>
      <c r="G404" s="9"/>
      <c r="H404" s="9"/>
    </row>
    <row r="405" spans="1:8" x14ac:dyDescent="0.3">
      <c r="A405" s="9"/>
      <c r="B405" s="9"/>
      <c r="C405" s="9"/>
      <c r="D405" s="9"/>
      <c r="E405" s="9"/>
      <c r="F405" s="9"/>
      <c r="G405" s="9"/>
      <c r="H405" s="9"/>
    </row>
    <row r="406" spans="1:8" x14ac:dyDescent="0.3">
      <c r="A406" s="9"/>
      <c r="B406" s="9"/>
      <c r="C406" s="9"/>
      <c r="D406" s="9"/>
      <c r="E406" s="9"/>
      <c r="F406" s="9"/>
      <c r="G406" s="9"/>
      <c r="H406" s="9"/>
    </row>
    <row r="407" spans="1:8" x14ac:dyDescent="0.3">
      <c r="A407" s="9"/>
      <c r="B407" s="9"/>
      <c r="C407" s="9"/>
      <c r="D407" s="9"/>
      <c r="E407" s="9"/>
      <c r="F407" s="9"/>
      <c r="G407" s="9"/>
      <c r="H407" s="9"/>
    </row>
    <row r="408" spans="1:8" x14ac:dyDescent="0.3">
      <c r="A408" s="9"/>
      <c r="B408" s="9"/>
      <c r="C408" s="9"/>
      <c r="D408" s="9"/>
      <c r="E408" s="9"/>
      <c r="F408" s="9"/>
      <c r="G408" s="9"/>
      <c r="H408" s="9"/>
    </row>
    <row r="409" spans="1:8" x14ac:dyDescent="0.3">
      <c r="A409" s="9"/>
      <c r="B409" s="9"/>
      <c r="C409" s="9"/>
      <c r="D409" s="9"/>
      <c r="E409" s="9"/>
      <c r="F409" s="9"/>
      <c r="G409" s="9"/>
      <c r="H409" s="9"/>
    </row>
    <row r="410" spans="1:8" x14ac:dyDescent="0.3">
      <c r="A410" s="9"/>
      <c r="B410" s="9"/>
      <c r="C410" s="9"/>
      <c r="D410" s="9"/>
      <c r="E410" s="9"/>
      <c r="F410" s="9"/>
      <c r="G410" s="9"/>
      <c r="H410" s="9"/>
    </row>
    <row r="411" spans="1:8" x14ac:dyDescent="0.3">
      <c r="A411" s="9"/>
      <c r="B411" s="9"/>
      <c r="C411" s="9"/>
      <c r="D411" s="9"/>
      <c r="E411" s="9"/>
      <c r="F411" s="9"/>
      <c r="G411" s="9"/>
      <c r="H411" s="9"/>
    </row>
    <row r="412" spans="1:8" x14ac:dyDescent="0.3">
      <c r="A412" s="9"/>
      <c r="B412" s="9"/>
      <c r="C412" s="9"/>
      <c r="D412" s="9"/>
      <c r="E412" s="9"/>
      <c r="F412" s="9"/>
      <c r="G412" s="9"/>
      <c r="H412" s="9"/>
    </row>
  </sheetData>
  <mergeCells count="8">
    <mergeCell ref="A1:H1"/>
    <mergeCell ref="A3:B3"/>
    <mergeCell ref="C3:C4"/>
    <mergeCell ref="D3:D4"/>
    <mergeCell ref="E3:E4"/>
    <mergeCell ref="F3:F4"/>
    <mergeCell ref="G3:G4"/>
    <mergeCell ref="H3:H4"/>
  </mergeCells>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CFF6-2185-4B07-B955-B4F1E42C27CA}">
  <dimension ref="A1:I412"/>
  <sheetViews>
    <sheetView zoomScale="70" zoomScaleNormal="70" workbookViewId="0">
      <pane ySplit="4" topLeftCell="A32" activePane="bottomLeft" state="frozen"/>
      <selection pane="bottomLeft" activeCell="F43" sqref="F43:F45"/>
    </sheetView>
  </sheetViews>
  <sheetFormatPr defaultRowHeight="20.25" x14ac:dyDescent="0.3"/>
  <cols>
    <col min="1" max="2" width="20.7109375" style="1" customWidth="1"/>
    <col min="3" max="3" width="15.7109375" style="1" customWidth="1"/>
    <col min="4" max="4" width="80.7109375" style="1" customWidth="1"/>
    <col min="5" max="5" width="30.7109375" style="1" customWidth="1"/>
    <col min="6" max="7" width="80.7109375" style="1" customWidth="1"/>
    <col min="8" max="8" width="45.7109375" style="1" customWidth="1"/>
    <col min="9" max="9" width="25.5703125" style="1" customWidth="1"/>
    <col min="10" max="16384" width="9.140625" style="1"/>
  </cols>
  <sheetData>
    <row r="1" spans="1:9" ht="30" x14ac:dyDescent="0.4">
      <c r="A1" s="109" t="s">
        <v>105</v>
      </c>
      <c r="B1" s="109"/>
      <c r="C1" s="109"/>
      <c r="D1" s="109"/>
      <c r="E1" s="109"/>
      <c r="F1" s="109"/>
      <c r="G1" s="109"/>
      <c r="H1" s="109"/>
    </row>
    <row r="3" spans="1:9" x14ac:dyDescent="0.3">
      <c r="A3" s="110" t="s">
        <v>1</v>
      </c>
      <c r="B3" s="110"/>
      <c r="C3" s="110" t="s">
        <v>4</v>
      </c>
      <c r="D3" s="110" t="s">
        <v>106</v>
      </c>
      <c r="E3" s="110" t="s">
        <v>107</v>
      </c>
      <c r="F3" s="110" t="s">
        <v>108</v>
      </c>
      <c r="G3" s="110" t="s">
        <v>104</v>
      </c>
      <c r="H3" s="110" t="s">
        <v>11</v>
      </c>
      <c r="I3" s="110" t="s">
        <v>710</v>
      </c>
    </row>
    <row r="4" spans="1:9" x14ac:dyDescent="0.3">
      <c r="A4" s="4" t="s">
        <v>2</v>
      </c>
      <c r="B4" s="4" t="s">
        <v>3</v>
      </c>
      <c r="C4" s="110"/>
      <c r="D4" s="110"/>
      <c r="E4" s="110"/>
      <c r="F4" s="110"/>
      <c r="G4" s="110"/>
      <c r="H4" s="110"/>
      <c r="I4" s="110"/>
    </row>
    <row r="5" spans="1:9" ht="30" customHeight="1" x14ac:dyDescent="0.3">
      <c r="A5" s="7" t="s">
        <v>617</v>
      </c>
      <c r="B5" s="8"/>
      <c r="C5" s="8"/>
      <c r="D5" s="6" t="s">
        <v>22</v>
      </c>
      <c r="E5" s="7" t="s">
        <v>619</v>
      </c>
      <c r="F5" s="23" t="s">
        <v>620</v>
      </c>
      <c r="G5" s="23"/>
      <c r="H5" s="9" t="s">
        <v>153</v>
      </c>
      <c r="I5" s="9"/>
    </row>
    <row r="6" spans="1:9" ht="30" customHeight="1" x14ac:dyDescent="0.3">
      <c r="A6" s="7"/>
      <c r="B6" s="8"/>
      <c r="C6" s="8"/>
      <c r="D6" s="6" t="s">
        <v>29</v>
      </c>
      <c r="E6" s="7" t="s">
        <v>619</v>
      </c>
      <c r="F6" s="23" t="s">
        <v>620</v>
      </c>
      <c r="G6" s="23"/>
      <c r="H6" s="9" t="s">
        <v>153</v>
      </c>
      <c r="I6" s="9"/>
    </row>
    <row r="7" spans="1:9" ht="30" customHeight="1" x14ac:dyDescent="0.3">
      <c r="A7" s="8"/>
      <c r="B7" s="8"/>
      <c r="C7" s="8"/>
      <c r="D7" s="6" t="s">
        <v>618</v>
      </c>
      <c r="E7" s="7" t="s">
        <v>619</v>
      </c>
      <c r="F7" s="23" t="s">
        <v>620</v>
      </c>
      <c r="G7" s="23"/>
      <c r="H7" s="9" t="s">
        <v>153</v>
      </c>
      <c r="I7" s="9"/>
    </row>
    <row r="8" spans="1:9" ht="30" customHeight="1" x14ac:dyDescent="0.3">
      <c r="A8" s="8"/>
      <c r="B8" s="8"/>
      <c r="C8" s="8"/>
      <c r="D8" s="6" t="s">
        <v>173</v>
      </c>
      <c r="E8" s="7" t="s">
        <v>655</v>
      </c>
      <c r="F8" s="23" t="s">
        <v>656</v>
      </c>
      <c r="G8" s="23"/>
      <c r="H8" s="9" t="s">
        <v>153</v>
      </c>
      <c r="I8" s="9"/>
    </row>
    <row r="9" spans="1:9" ht="30" customHeight="1" x14ac:dyDescent="0.3">
      <c r="A9" s="7"/>
      <c r="B9" s="8"/>
      <c r="C9" s="8"/>
      <c r="D9" s="6" t="s">
        <v>707</v>
      </c>
      <c r="E9" s="7" t="s">
        <v>708</v>
      </c>
      <c r="F9" s="23" t="s">
        <v>709</v>
      </c>
      <c r="G9" s="23"/>
      <c r="H9" s="9"/>
      <c r="I9" s="54" t="str">
        <f>HYPERLINK("https://drive.google.com/file/d/1DA35xnKWyc-eXAeezuV-XhFdYv40uzVR/view?usp=drive_link", "POST TRAVEL AFS")</f>
        <v>POST TRAVEL AFS</v>
      </c>
    </row>
    <row r="10" spans="1:9" s="26" customFormat="1" ht="30" customHeight="1" x14ac:dyDescent="0.3">
      <c r="A10" s="14" t="s">
        <v>789</v>
      </c>
      <c r="B10" s="15"/>
      <c r="C10" s="8"/>
      <c r="D10" s="16" t="s">
        <v>53</v>
      </c>
      <c r="E10" s="14" t="s">
        <v>354</v>
      </c>
      <c r="F10" s="24" t="s">
        <v>656</v>
      </c>
      <c r="G10" s="24"/>
      <c r="H10" s="20" t="s">
        <v>495</v>
      </c>
      <c r="I10" s="20"/>
    </row>
    <row r="11" spans="1:9" ht="30" customHeight="1" x14ac:dyDescent="0.3">
      <c r="A11" s="8"/>
      <c r="B11" s="8"/>
      <c r="C11" s="8"/>
      <c r="D11" s="6" t="s">
        <v>17</v>
      </c>
      <c r="E11" s="14" t="s">
        <v>354</v>
      </c>
      <c r="F11" s="24" t="s">
        <v>656</v>
      </c>
      <c r="G11" s="23"/>
      <c r="H11" s="20" t="s">
        <v>495</v>
      </c>
      <c r="I11" s="9"/>
    </row>
    <row r="12" spans="1:9" ht="30" customHeight="1" x14ac:dyDescent="0.3">
      <c r="A12" s="8"/>
      <c r="B12" s="8"/>
      <c r="C12" s="8"/>
      <c r="D12" s="6" t="s">
        <v>15</v>
      </c>
      <c r="E12" s="14" t="s">
        <v>354</v>
      </c>
      <c r="F12" s="24" t="s">
        <v>656</v>
      </c>
      <c r="G12" s="23"/>
      <c r="H12" s="20" t="s">
        <v>495</v>
      </c>
      <c r="I12" s="9"/>
    </row>
    <row r="13" spans="1:9" ht="30" customHeight="1" x14ac:dyDescent="0.3">
      <c r="A13" s="8" t="s">
        <v>825</v>
      </c>
      <c r="B13" s="8"/>
      <c r="C13" s="8"/>
      <c r="D13" s="6" t="s">
        <v>53</v>
      </c>
      <c r="E13" s="7" t="s">
        <v>1035</v>
      </c>
      <c r="F13" s="23" t="s">
        <v>1036</v>
      </c>
      <c r="G13" s="23"/>
      <c r="H13" s="9"/>
      <c r="I13" s="9"/>
    </row>
    <row r="14" spans="1:9" ht="30" customHeight="1" x14ac:dyDescent="0.3">
      <c r="A14" s="8"/>
      <c r="B14" s="8"/>
      <c r="C14" s="8"/>
      <c r="D14" s="6" t="s">
        <v>17</v>
      </c>
      <c r="E14" s="7" t="s">
        <v>1035</v>
      </c>
      <c r="F14" s="23" t="s">
        <v>1036</v>
      </c>
      <c r="G14" s="23"/>
      <c r="H14" s="9"/>
      <c r="I14" s="9"/>
    </row>
    <row r="15" spans="1:9" ht="30" customHeight="1" x14ac:dyDescent="0.3">
      <c r="A15" s="8"/>
      <c r="B15" s="8"/>
      <c r="C15" s="8"/>
      <c r="D15" s="6" t="s">
        <v>635</v>
      </c>
      <c r="E15" s="7" t="s">
        <v>1035</v>
      </c>
      <c r="F15" s="23" t="s">
        <v>1036</v>
      </c>
      <c r="G15" s="23"/>
      <c r="H15" s="9"/>
      <c r="I15" s="9"/>
    </row>
    <row r="16" spans="1:9" ht="30" customHeight="1" x14ac:dyDescent="0.3">
      <c r="A16" s="8"/>
      <c r="B16" s="8"/>
      <c r="C16" s="8"/>
      <c r="D16" s="6" t="s">
        <v>30</v>
      </c>
      <c r="E16" s="7" t="s">
        <v>1035</v>
      </c>
      <c r="F16" s="23" t="s">
        <v>1036</v>
      </c>
      <c r="G16" s="23"/>
      <c r="H16" s="9"/>
      <c r="I16" s="9"/>
    </row>
    <row r="17" spans="1:9" ht="30" customHeight="1" x14ac:dyDescent="0.3">
      <c r="A17" s="8"/>
      <c r="B17" s="8"/>
      <c r="C17" s="8"/>
      <c r="D17" s="6" t="s">
        <v>24</v>
      </c>
      <c r="E17" s="7" t="s">
        <v>1035</v>
      </c>
      <c r="F17" s="23" t="s">
        <v>1036</v>
      </c>
      <c r="G17" s="23"/>
      <c r="H17" s="9"/>
      <c r="I17" s="9"/>
    </row>
    <row r="18" spans="1:9" ht="30" customHeight="1" x14ac:dyDescent="0.3">
      <c r="A18" s="8"/>
      <c r="B18" s="8"/>
      <c r="C18" s="8"/>
      <c r="D18" s="6" t="s">
        <v>59</v>
      </c>
      <c r="E18" s="7" t="s">
        <v>1035</v>
      </c>
      <c r="F18" s="23" t="s">
        <v>1036</v>
      </c>
      <c r="G18" s="23"/>
      <c r="H18" s="9"/>
      <c r="I18" s="9"/>
    </row>
    <row r="19" spans="1:9" ht="30" customHeight="1" x14ac:dyDescent="0.3">
      <c r="A19" s="8" t="s">
        <v>1155</v>
      </c>
      <c r="B19" s="8"/>
      <c r="C19" s="8"/>
      <c r="D19" s="6" t="s">
        <v>1156</v>
      </c>
      <c r="E19" s="7" t="s">
        <v>1157</v>
      </c>
      <c r="F19" s="23" t="s">
        <v>349</v>
      </c>
      <c r="G19" s="23"/>
      <c r="H19" s="9"/>
      <c r="I19" s="9"/>
    </row>
    <row r="20" spans="1:9" ht="30" customHeight="1" x14ac:dyDescent="0.3">
      <c r="A20" s="8"/>
      <c r="B20" s="8"/>
      <c r="C20" s="8"/>
      <c r="D20" s="6" t="s">
        <v>29</v>
      </c>
      <c r="E20" s="7" t="s">
        <v>1157</v>
      </c>
      <c r="F20" s="23" t="s">
        <v>349</v>
      </c>
      <c r="G20" s="23"/>
      <c r="H20" s="9"/>
      <c r="I20" s="9"/>
    </row>
    <row r="21" spans="1:9" ht="30" customHeight="1" x14ac:dyDescent="0.3">
      <c r="A21" s="8" t="s">
        <v>1217</v>
      </c>
      <c r="B21" s="8"/>
      <c r="C21" s="8"/>
      <c r="D21" s="6" t="s">
        <v>23</v>
      </c>
      <c r="E21" s="7" t="s">
        <v>872</v>
      </c>
      <c r="F21" s="23" t="s">
        <v>1218</v>
      </c>
      <c r="G21" s="23"/>
      <c r="H21" s="9"/>
      <c r="I21" s="9"/>
    </row>
    <row r="22" spans="1:9" ht="30" customHeight="1" x14ac:dyDescent="0.3">
      <c r="A22" s="8"/>
      <c r="B22" s="8"/>
      <c r="C22" s="8"/>
      <c r="D22" s="6" t="s">
        <v>22</v>
      </c>
      <c r="E22" s="7" t="s">
        <v>872</v>
      </c>
      <c r="F22" s="23" t="s">
        <v>1218</v>
      </c>
      <c r="G22" s="23"/>
      <c r="H22" s="9"/>
      <c r="I22" s="9"/>
    </row>
    <row r="23" spans="1:9" ht="30" customHeight="1" x14ac:dyDescent="0.3">
      <c r="A23" s="8" t="s">
        <v>1362</v>
      </c>
      <c r="B23" s="8"/>
      <c r="C23" s="8"/>
      <c r="D23" s="6" t="s">
        <v>49</v>
      </c>
      <c r="E23" s="7" t="s">
        <v>1155</v>
      </c>
      <c r="F23" s="23" t="s">
        <v>1363</v>
      </c>
      <c r="G23" s="23"/>
      <c r="H23" s="9"/>
      <c r="I23" s="9"/>
    </row>
    <row r="24" spans="1:9" ht="30" customHeight="1" x14ac:dyDescent="0.3">
      <c r="A24" s="8" t="s">
        <v>1579</v>
      </c>
      <c r="B24" s="8"/>
      <c r="C24" s="8"/>
      <c r="D24" s="6" t="s">
        <v>633</v>
      </c>
      <c r="E24" s="7" t="s">
        <v>1037</v>
      </c>
      <c r="F24" s="23" t="s">
        <v>1580</v>
      </c>
      <c r="G24" s="23"/>
      <c r="H24" s="9"/>
      <c r="I24" s="9"/>
    </row>
    <row r="25" spans="1:9" ht="30" customHeight="1" x14ac:dyDescent="0.3">
      <c r="A25" s="8" t="s">
        <v>1623</v>
      </c>
      <c r="B25" s="8"/>
      <c r="C25" s="8"/>
      <c r="D25" s="6" t="s">
        <v>1686</v>
      </c>
      <c r="E25" s="7" t="s">
        <v>1547</v>
      </c>
      <c r="F25" s="23" t="s">
        <v>709</v>
      </c>
      <c r="G25" s="23"/>
      <c r="H25" s="9"/>
      <c r="I25" s="9"/>
    </row>
    <row r="26" spans="1:9" ht="30" customHeight="1" x14ac:dyDescent="0.3">
      <c r="A26" s="8"/>
      <c r="B26" s="8"/>
      <c r="C26" s="8"/>
      <c r="D26" s="6" t="s">
        <v>42</v>
      </c>
      <c r="E26" s="7" t="s">
        <v>1547</v>
      </c>
      <c r="F26" s="23" t="s">
        <v>709</v>
      </c>
      <c r="G26" s="23"/>
      <c r="H26" s="9"/>
      <c r="I26" s="9"/>
    </row>
    <row r="27" spans="1:9" ht="30" customHeight="1" x14ac:dyDescent="0.3">
      <c r="A27" s="8"/>
      <c r="B27" s="8"/>
      <c r="C27" s="8"/>
      <c r="D27" s="6" t="s">
        <v>14</v>
      </c>
      <c r="E27" s="7" t="s">
        <v>1547</v>
      </c>
      <c r="F27" s="23" t="s">
        <v>709</v>
      </c>
      <c r="G27" s="23"/>
      <c r="H27" s="9"/>
      <c r="I27" s="9"/>
    </row>
    <row r="28" spans="1:9" ht="30" customHeight="1" x14ac:dyDescent="0.3">
      <c r="A28" s="8" t="s">
        <v>1730</v>
      </c>
      <c r="B28" s="8"/>
      <c r="C28" s="8"/>
      <c r="D28" s="6" t="s">
        <v>54</v>
      </c>
      <c r="E28" s="7" t="s">
        <v>1417</v>
      </c>
      <c r="F28" s="23" t="s">
        <v>1218</v>
      </c>
      <c r="G28" s="23"/>
      <c r="H28" s="9"/>
      <c r="I28" s="9"/>
    </row>
    <row r="29" spans="1:9" ht="30" customHeight="1" x14ac:dyDescent="0.3">
      <c r="A29" s="8"/>
      <c r="B29" s="8"/>
      <c r="C29" s="8"/>
      <c r="D29" s="6" t="s">
        <v>53</v>
      </c>
      <c r="E29" s="7" t="s">
        <v>1417</v>
      </c>
      <c r="F29" s="23" t="s">
        <v>1218</v>
      </c>
      <c r="G29" s="21"/>
      <c r="H29" s="9"/>
      <c r="I29" s="9"/>
    </row>
    <row r="30" spans="1:9" ht="30" customHeight="1" x14ac:dyDescent="0.3">
      <c r="A30" s="8" t="s">
        <v>1757</v>
      </c>
      <c r="B30" s="8"/>
      <c r="C30" s="8"/>
      <c r="D30" s="6" t="s">
        <v>59</v>
      </c>
      <c r="E30" s="7" t="s">
        <v>1758</v>
      </c>
      <c r="F30" s="21" t="s">
        <v>1759</v>
      </c>
      <c r="G30" s="21"/>
      <c r="H30" s="9"/>
      <c r="I30" s="9"/>
    </row>
    <row r="31" spans="1:9" ht="30" customHeight="1" x14ac:dyDescent="0.3">
      <c r="A31" s="8" t="s">
        <v>1915</v>
      </c>
      <c r="B31" s="8"/>
      <c r="C31" s="8"/>
      <c r="D31" s="6" t="s">
        <v>635</v>
      </c>
      <c r="E31" s="8" t="s">
        <v>1739</v>
      </c>
      <c r="F31" s="21" t="s">
        <v>1916</v>
      </c>
      <c r="G31" s="21"/>
      <c r="H31" s="9"/>
      <c r="I31" s="9"/>
    </row>
    <row r="32" spans="1:9" ht="30" customHeight="1" x14ac:dyDescent="0.3">
      <c r="A32" s="8" t="s">
        <v>2386</v>
      </c>
      <c r="B32" s="8"/>
      <c r="C32" s="8"/>
      <c r="D32" s="6" t="s">
        <v>635</v>
      </c>
      <c r="E32" s="8" t="s">
        <v>2407</v>
      </c>
      <c r="F32" s="25" t="s">
        <v>2408</v>
      </c>
      <c r="G32" s="25"/>
      <c r="H32" s="9"/>
      <c r="I32" s="9"/>
    </row>
    <row r="33" spans="1:9" ht="30" customHeight="1" x14ac:dyDescent="0.3">
      <c r="A33" s="8"/>
      <c r="B33" s="8"/>
      <c r="C33" s="8"/>
      <c r="D33" s="6" t="s">
        <v>50</v>
      </c>
      <c r="E33" s="8" t="s">
        <v>2011</v>
      </c>
      <c r="F33" s="25" t="s">
        <v>2441</v>
      </c>
      <c r="G33" s="21"/>
      <c r="H33" s="9"/>
      <c r="I33" s="9"/>
    </row>
    <row r="34" spans="1:9" ht="30" customHeight="1" x14ac:dyDescent="0.3">
      <c r="A34" s="8" t="s">
        <v>2771</v>
      </c>
      <c r="B34" s="8"/>
      <c r="C34" s="8"/>
      <c r="D34" s="6" t="s">
        <v>14</v>
      </c>
      <c r="E34" s="8" t="s">
        <v>2533</v>
      </c>
      <c r="F34" s="21" t="s">
        <v>1036</v>
      </c>
      <c r="G34" s="21"/>
      <c r="H34" s="9"/>
      <c r="I34" s="9"/>
    </row>
    <row r="35" spans="1:9" ht="30" customHeight="1" x14ac:dyDescent="0.3">
      <c r="A35" s="8"/>
      <c r="B35" s="8"/>
      <c r="C35" s="8"/>
      <c r="D35" s="6" t="s">
        <v>42</v>
      </c>
      <c r="E35" s="8" t="s">
        <v>2534</v>
      </c>
      <c r="F35" s="21" t="s">
        <v>1036</v>
      </c>
      <c r="G35" s="21"/>
      <c r="H35" s="9"/>
      <c r="I35" s="9"/>
    </row>
    <row r="36" spans="1:9" ht="30" customHeight="1" x14ac:dyDescent="0.3">
      <c r="A36" s="8" t="s">
        <v>2847</v>
      </c>
      <c r="B36" s="8"/>
      <c r="C36" s="8"/>
      <c r="D36" s="6" t="s">
        <v>633</v>
      </c>
      <c r="E36" s="8" t="s">
        <v>2583</v>
      </c>
      <c r="F36" s="21" t="s">
        <v>2674</v>
      </c>
      <c r="G36" s="21"/>
      <c r="H36" s="9"/>
      <c r="I36" s="9"/>
    </row>
    <row r="37" spans="1:9" ht="30" customHeight="1" x14ac:dyDescent="0.3">
      <c r="A37" s="8" t="s">
        <v>3772</v>
      </c>
      <c r="B37" s="8"/>
      <c r="C37" s="8"/>
      <c r="D37" s="6" t="s">
        <v>30</v>
      </c>
      <c r="E37" s="23" t="s">
        <v>3773</v>
      </c>
      <c r="F37" s="25" t="s">
        <v>3774</v>
      </c>
      <c r="G37" s="21"/>
      <c r="H37" s="9"/>
      <c r="I37" s="9"/>
    </row>
    <row r="38" spans="1:9" ht="30" customHeight="1" x14ac:dyDescent="0.3">
      <c r="A38" s="8" t="s">
        <v>3772</v>
      </c>
      <c r="B38" s="8"/>
      <c r="C38" s="8"/>
      <c r="D38" s="6" t="s">
        <v>1686</v>
      </c>
      <c r="E38" s="8" t="s">
        <v>3784</v>
      </c>
      <c r="F38" s="21" t="s">
        <v>3785</v>
      </c>
      <c r="G38" s="21"/>
      <c r="H38" s="9"/>
      <c r="I38" s="9"/>
    </row>
    <row r="39" spans="1:9" ht="30" customHeight="1" x14ac:dyDescent="0.3">
      <c r="A39" s="8"/>
      <c r="B39" s="8"/>
      <c r="C39" s="8"/>
      <c r="D39" s="6" t="s">
        <v>42</v>
      </c>
      <c r="E39" s="8" t="s">
        <v>3784</v>
      </c>
      <c r="F39" s="21" t="s">
        <v>3785</v>
      </c>
      <c r="G39" s="21"/>
      <c r="H39" s="9"/>
      <c r="I39" s="9"/>
    </row>
    <row r="40" spans="1:9" ht="30" customHeight="1" x14ac:dyDescent="0.3">
      <c r="A40" s="8" t="s">
        <v>3658</v>
      </c>
      <c r="B40" s="8"/>
      <c r="C40" s="8"/>
      <c r="D40" s="6" t="s">
        <v>22</v>
      </c>
      <c r="E40" s="8" t="s">
        <v>3809</v>
      </c>
      <c r="F40" s="21" t="s">
        <v>3810</v>
      </c>
      <c r="G40" s="21"/>
      <c r="H40" s="9"/>
      <c r="I40" s="9"/>
    </row>
    <row r="41" spans="1:9" ht="30" customHeight="1" x14ac:dyDescent="0.3">
      <c r="A41" s="8"/>
      <c r="B41" s="8"/>
      <c r="C41" s="8"/>
      <c r="D41" s="6" t="s">
        <v>3808</v>
      </c>
      <c r="E41" s="8" t="s">
        <v>3809</v>
      </c>
      <c r="F41" s="21" t="s">
        <v>3810</v>
      </c>
      <c r="G41" s="21"/>
      <c r="H41" s="9"/>
      <c r="I41" s="9"/>
    </row>
    <row r="42" spans="1:9" ht="30" customHeight="1" x14ac:dyDescent="0.3">
      <c r="A42" s="8"/>
      <c r="B42" s="8"/>
      <c r="C42" s="8"/>
      <c r="D42" s="6" t="s">
        <v>53</v>
      </c>
      <c r="E42" s="8" t="s">
        <v>3226</v>
      </c>
      <c r="F42" s="21" t="s">
        <v>411</v>
      </c>
      <c r="G42" s="21"/>
      <c r="H42" s="9"/>
      <c r="I42" s="9"/>
    </row>
    <row r="43" spans="1:9" ht="30" customHeight="1" x14ac:dyDescent="0.3">
      <c r="A43" s="8" t="s">
        <v>4066</v>
      </c>
      <c r="B43" s="8"/>
      <c r="C43" s="8"/>
      <c r="D43" s="6" t="s">
        <v>21</v>
      </c>
      <c r="E43" s="8" t="s">
        <v>3714</v>
      </c>
      <c r="F43" s="21" t="s">
        <v>3600</v>
      </c>
      <c r="G43" s="21"/>
      <c r="H43" s="9"/>
      <c r="I43" s="9"/>
    </row>
    <row r="44" spans="1:9" ht="30" customHeight="1" x14ac:dyDescent="0.3">
      <c r="A44" s="8"/>
      <c r="B44" s="8"/>
      <c r="C44" s="8"/>
      <c r="D44" s="6" t="s">
        <v>633</v>
      </c>
      <c r="E44" s="8" t="s">
        <v>3714</v>
      </c>
      <c r="F44" s="21" t="s">
        <v>3600</v>
      </c>
      <c r="G44" s="21"/>
      <c r="H44" s="9"/>
      <c r="I44" s="9"/>
    </row>
    <row r="45" spans="1:9" ht="30" customHeight="1" x14ac:dyDescent="0.3">
      <c r="A45" s="8"/>
      <c r="B45" s="8"/>
      <c r="C45" s="8"/>
      <c r="D45" s="6" t="s">
        <v>4148</v>
      </c>
      <c r="E45" s="8" t="s">
        <v>3714</v>
      </c>
      <c r="F45" s="21" t="s">
        <v>3600</v>
      </c>
      <c r="G45" s="21"/>
      <c r="H45" s="9"/>
      <c r="I45" s="9"/>
    </row>
    <row r="46" spans="1:9" ht="30" customHeight="1" x14ac:dyDescent="0.3">
      <c r="A46" s="8"/>
      <c r="B46" s="8"/>
      <c r="C46" s="8"/>
      <c r="D46" s="6"/>
      <c r="E46" s="8"/>
      <c r="F46" s="21"/>
      <c r="G46" s="21"/>
      <c r="H46" s="9"/>
      <c r="I46" s="9"/>
    </row>
    <row r="47" spans="1:9" ht="30" customHeight="1" x14ac:dyDescent="0.3">
      <c r="A47" s="8"/>
      <c r="B47" s="8"/>
      <c r="C47" s="8"/>
      <c r="D47" s="6"/>
      <c r="E47" s="8"/>
      <c r="F47" s="21"/>
      <c r="G47" s="21"/>
      <c r="H47" s="9"/>
      <c r="I47" s="9"/>
    </row>
    <row r="48" spans="1:9" ht="30" customHeight="1" x14ac:dyDescent="0.3">
      <c r="A48" s="8"/>
      <c r="B48" s="8"/>
      <c r="C48" s="8"/>
      <c r="D48" s="6"/>
      <c r="E48" s="8"/>
      <c r="F48" s="21"/>
      <c r="G48" s="21"/>
      <c r="H48" s="9"/>
      <c r="I48" s="9"/>
    </row>
    <row r="49" spans="1:9" ht="30" customHeight="1" x14ac:dyDescent="0.3">
      <c r="A49" s="8"/>
      <c r="B49" s="8"/>
      <c r="C49" s="8"/>
      <c r="D49" s="6"/>
      <c r="E49" s="8"/>
      <c r="F49" s="21"/>
      <c r="G49" s="21"/>
      <c r="H49" s="9"/>
      <c r="I49" s="9"/>
    </row>
    <row r="50" spans="1:9" ht="30" customHeight="1" x14ac:dyDescent="0.3">
      <c r="A50" s="8"/>
      <c r="B50" s="8"/>
      <c r="C50" s="8"/>
      <c r="D50" s="6"/>
      <c r="E50" s="8"/>
      <c r="F50" s="21"/>
      <c r="G50" s="21"/>
      <c r="H50" s="9"/>
      <c r="I50" s="9"/>
    </row>
    <row r="51" spans="1:9" ht="30" customHeight="1" x14ac:dyDescent="0.3">
      <c r="A51" s="8"/>
      <c r="B51" s="8"/>
      <c r="C51" s="8"/>
      <c r="D51" s="6"/>
      <c r="E51" s="8"/>
      <c r="F51" s="21"/>
      <c r="G51" s="21"/>
      <c r="H51" s="9"/>
      <c r="I51" s="9"/>
    </row>
    <row r="52" spans="1:9" ht="30" customHeight="1" x14ac:dyDescent="0.3">
      <c r="A52" s="8"/>
      <c r="B52" s="8"/>
      <c r="C52" s="8"/>
      <c r="D52" s="6"/>
      <c r="E52" s="8"/>
      <c r="F52" s="21"/>
      <c r="G52" s="21"/>
      <c r="H52" s="9"/>
      <c r="I52" s="9"/>
    </row>
    <row r="53" spans="1:9" ht="30" customHeight="1" x14ac:dyDescent="0.3">
      <c r="A53" s="8"/>
      <c r="B53" s="8"/>
      <c r="C53" s="8"/>
      <c r="D53" s="6"/>
      <c r="E53" s="8"/>
      <c r="F53" s="21"/>
      <c r="G53" s="21"/>
      <c r="H53" s="9"/>
      <c r="I53" s="9"/>
    </row>
    <row r="54" spans="1:9" ht="30" customHeight="1" x14ac:dyDescent="0.3">
      <c r="A54" s="8"/>
      <c r="B54" s="8"/>
      <c r="C54" s="8"/>
      <c r="D54" s="6"/>
      <c r="E54" s="8"/>
      <c r="F54" s="21"/>
      <c r="G54" s="21"/>
      <c r="H54" s="9"/>
      <c r="I54" s="9"/>
    </row>
    <row r="55" spans="1:9" ht="30" customHeight="1" x14ac:dyDescent="0.3">
      <c r="A55" s="8"/>
      <c r="B55" s="8"/>
      <c r="C55" s="8"/>
      <c r="D55" s="6"/>
      <c r="E55" s="8"/>
      <c r="F55" s="21"/>
      <c r="G55" s="21"/>
      <c r="H55" s="9"/>
      <c r="I55" s="9"/>
    </row>
    <row r="56" spans="1:9" ht="30" customHeight="1" x14ac:dyDescent="0.3">
      <c r="A56" s="8"/>
      <c r="B56" s="8"/>
      <c r="C56" s="8"/>
      <c r="D56" s="6"/>
      <c r="E56" s="8"/>
      <c r="F56" s="21"/>
      <c r="G56" s="21"/>
      <c r="H56" s="9"/>
      <c r="I56" s="9"/>
    </row>
    <row r="57" spans="1:9" ht="30" customHeight="1" x14ac:dyDescent="0.3">
      <c r="A57" s="8"/>
      <c r="B57" s="8"/>
      <c r="C57" s="8"/>
      <c r="D57" s="6"/>
      <c r="E57" s="8"/>
      <c r="F57" s="21"/>
      <c r="G57" s="21"/>
      <c r="H57" s="9"/>
      <c r="I57" s="9"/>
    </row>
    <row r="58" spans="1:9" ht="30" customHeight="1" x14ac:dyDescent="0.3">
      <c r="A58" s="8"/>
      <c r="B58" s="8"/>
      <c r="C58" s="8"/>
      <c r="D58" s="6"/>
      <c r="E58" s="8"/>
      <c r="F58" s="21"/>
      <c r="G58" s="21"/>
      <c r="H58" s="9"/>
      <c r="I58" s="9"/>
    </row>
    <row r="59" spans="1:9" ht="30" customHeight="1" x14ac:dyDescent="0.3">
      <c r="A59" s="8"/>
      <c r="B59" s="8"/>
      <c r="C59" s="8"/>
      <c r="D59" s="6"/>
      <c r="E59" s="8"/>
      <c r="F59" s="21"/>
      <c r="G59" s="21"/>
      <c r="H59" s="9"/>
      <c r="I59" s="9"/>
    </row>
    <row r="60" spans="1:9" ht="30" customHeight="1" x14ac:dyDescent="0.3">
      <c r="A60" s="8"/>
      <c r="B60" s="8"/>
      <c r="C60" s="8"/>
      <c r="D60" s="6"/>
      <c r="E60" s="8"/>
      <c r="F60" s="21"/>
      <c r="G60" s="21"/>
      <c r="H60" s="9"/>
      <c r="I60" s="9"/>
    </row>
    <row r="61" spans="1:9" ht="30" customHeight="1" x14ac:dyDescent="0.3">
      <c r="A61" s="8"/>
      <c r="B61" s="8"/>
      <c r="C61" s="8"/>
      <c r="D61" s="6"/>
      <c r="E61" s="8"/>
      <c r="F61" s="21"/>
      <c r="G61" s="21"/>
      <c r="H61" s="9"/>
      <c r="I61" s="9"/>
    </row>
    <row r="62" spans="1:9" ht="30" customHeight="1" x14ac:dyDescent="0.3">
      <c r="A62" s="8"/>
      <c r="B62" s="8"/>
      <c r="C62" s="8"/>
      <c r="D62" s="6"/>
      <c r="E62" s="8"/>
      <c r="F62" s="25"/>
      <c r="G62" s="25"/>
      <c r="H62" s="9"/>
      <c r="I62" s="9"/>
    </row>
    <row r="63" spans="1:9" ht="30" customHeight="1" x14ac:dyDescent="0.3">
      <c r="A63" s="8"/>
      <c r="B63" s="8"/>
      <c r="C63" s="8"/>
      <c r="D63" s="6"/>
      <c r="E63" s="8"/>
      <c r="F63" s="25"/>
      <c r="G63" s="25"/>
      <c r="H63" s="9"/>
      <c r="I63" s="9"/>
    </row>
    <row r="64" spans="1:9" ht="30" customHeight="1" x14ac:dyDescent="0.3">
      <c r="A64" s="8"/>
      <c r="B64" s="8"/>
      <c r="C64" s="8"/>
      <c r="D64" s="6"/>
      <c r="E64" s="8"/>
      <c r="F64" s="21"/>
      <c r="G64" s="21"/>
      <c r="H64" s="9"/>
      <c r="I64" s="9"/>
    </row>
    <row r="65" spans="1:9" ht="30" customHeight="1" x14ac:dyDescent="0.3">
      <c r="A65" s="8"/>
      <c r="B65" s="8"/>
      <c r="C65" s="8"/>
      <c r="D65" s="6"/>
      <c r="E65" s="8"/>
      <c r="F65" s="21"/>
      <c r="G65" s="21"/>
      <c r="H65" s="9"/>
      <c r="I65" s="9"/>
    </row>
    <row r="66" spans="1:9" ht="30" customHeight="1" x14ac:dyDescent="0.3">
      <c r="A66" s="8"/>
      <c r="B66" s="8"/>
      <c r="C66" s="8"/>
      <c r="D66" s="6"/>
      <c r="E66" s="8"/>
      <c r="F66" s="21"/>
      <c r="G66" s="21"/>
      <c r="H66" s="9"/>
      <c r="I66" s="9"/>
    </row>
    <row r="67" spans="1:9" ht="30" customHeight="1" x14ac:dyDescent="0.3">
      <c r="A67" s="8"/>
      <c r="B67" s="8"/>
      <c r="C67" s="8"/>
      <c r="D67" s="6"/>
      <c r="E67" s="8"/>
      <c r="F67" s="21"/>
      <c r="G67" s="21"/>
      <c r="H67" s="9"/>
      <c r="I67" s="9"/>
    </row>
    <row r="68" spans="1:9" ht="30" customHeight="1" x14ac:dyDescent="0.3">
      <c r="A68" s="8"/>
      <c r="B68" s="8"/>
      <c r="C68" s="8"/>
      <c r="D68" s="6"/>
      <c r="E68" s="8"/>
      <c r="F68" s="21"/>
      <c r="G68" s="21"/>
      <c r="H68" s="9"/>
      <c r="I68" s="9"/>
    </row>
    <row r="69" spans="1:9" ht="30" customHeight="1" x14ac:dyDescent="0.3">
      <c r="A69" s="8"/>
      <c r="B69" s="8"/>
      <c r="C69" s="8"/>
      <c r="D69" s="6"/>
      <c r="E69" s="8"/>
      <c r="F69" s="21"/>
      <c r="G69" s="21"/>
      <c r="H69" s="9"/>
      <c r="I69" s="9"/>
    </row>
    <row r="70" spans="1:9" ht="30" customHeight="1" x14ac:dyDescent="0.3">
      <c r="A70" s="8"/>
      <c r="B70" s="8"/>
      <c r="C70" s="8"/>
      <c r="D70" s="6"/>
      <c r="E70" s="8"/>
      <c r="F70" s="21"/>
      <c r="G70" s="21"/>
      <c r="H70" s="9"/>
      <c r="I70" s="9"/>
    </row>
    <row r="71" spans="1:9" ht="30" customHeight="1" x14ac:dyDescent="0.3">
      <c r="A71" s="8"/>
      <c r="B71" s="8"/>
      <c r="C71" s="8"/>
      <c r="D71" s="6"/>
      <c r="E71" s="8"/>
      <c r="F71" s="21"/>
      <c r="G71" s="21"/>
      <c r="H71" s="9"/>
      <c r="I71" s="9"/>
    </row>
    <row r="72" spans="1:9" ht="30" customHeight="1" x14ac:dyDescent="0.3">
      <c r="A72" s="8"/>
      <c r="B72" s="8"/>
      <c r="C72" s="8"/>
      <c r="D72" s="6"/>
      <c r="E72" s="8"/>
      <c r="F72" s="21"/>
      <c r="G72" s="21"/>
      <c r="H72" s="9"/>
      <c r="I72" s="9"/>
    </row>
    <row r="73" spans="1:9" ht="30" customHeight="1" x14ac:dyDescent="0.3">
      <c r="A73" s="8"/>
      <c r="B73" s="8"/>
      <c r="C73" s="8"/>
      <c r="D73" s="6"/>
      <c r="E73" s="8"/>
      <c r="F73" s="25"/>
      <c r="G73" s="25"/>
      <c r="H73" s="9"/>
      <c r="I73" s="9"/>
    </row>
    <row r="74" spans="1:9" ht="30" customHeight="1" x14ac:dyDescent="0.3">
      <c r="A74" s="8"/>
      <c r="B74" s="8"/>
      <c r="C74" s="8"/>
      <c r="D74" s="6"/>
      <c r="E74" s="8"/>
      <c r="F74" s="21"/>
      <c r="G74" s="21"/>
      <c r="H74" s="9"/>
      <c r="I74" s="9"/>
    </row>
    <row r="75" spans="1:9" ht="30" customHeight="1" x14ac:dyDescent="0.3">
      <c r="A75" s="8"/>
      <c r="B75" s="8"/>
      <c r="C75" s="8"/>
      <c r="D75" s="6"/>
      <c r="E75" s="8"/>
      <c r="F75" s="25"/>
      <c r="G75" s="25"/>
      <c r="H75" s="9"/>
      <c r="I75" s="9"/>
    </row>
    <row r="76" spans="1:9" ht="30" customHeight="1" x14ac:dyDescent="0.3">
      <c r="A76" s="8"/>
      <c r="B76" s="8"/>
      <c r="C76" s="8"/>
      <c r="D76" s="6"/>
      <c r="E76" s="8"/>
      <c r="F76" s="21"/>
      <c r="G76" s="21"/>
      <c r="H76" s="9"/>
      <c r="I76" s="9"/>
    </row>
    <row r="77" spans="1:9" ht="30" customHeight="1" x14ac:dyDescent="0.3">
      <c r="A77" s="8"/>
      <c r="B77" s="8"/>
      <c r="C77" s="8"/>
      <c r="D77" s="6"/>
      <c r="E77" s="8"/>
      <c r="F77" s="21"/>
      <c r="G77" s="21"/>
      <c r="H77" s="9"/>
      <c r="I77" s="9"/>
    </row>
    <row r="78" spans="1:9" ht="30" customHeight="1" x14ac:dyDescent="0.3">
      <c r="A78" s="8"/>
      <c r="B78" s="8"/>
      <c r="C78" s="8"/>
      <c r="D78" s="6"/>
      <c r="E78" s="8"/>
      <c r="F78" s="21"/>
      <c r="G78" s="21"/>
      <c r="H78" s="9"/>
      <c r="I78" s="9"/>
    </row>
    <row r="79" spans="1:9" ht="30" customHeight="1" x14ac:dyDescent="0.3">
      <c r="A79" s="8"/>
      <c r="B79" s="8"/>
      <c r="C79" s="8"/>
      <c r="D79" s="6"/>
      <c r="E79" s="8"/>
      <c r="F79" s="21"/>
      <c r="G79" s="21"/>
      <c r="H79" s="9"/>
      <c r="I79" s="9"/>
    </row>
    <row r="80" spans="1:9" ht="30" customHeight="1" x14ac:dyDescent="0.3">
      <c r="A80" s="8"/>
      <c r="B80" s="8"/>
      <c r="C80" s="8"/>
      <c r="D80" s="6"/>
      <c r="E80" s="8"/>
      <c r="F80" s="21"/>
      <c r="G80" s="21"/>
      <c r="H80" s="9"/>
      <c r="I80" s="9"/>
    </row>
    <row r="81" spans="1:9" ht="30" customHeight="1" x14ac:dyDescent="0.3">
      <c r="A81" s="8"/>
      <c r="B81" s="8"/>
      <c r="C81" s="8"/>
      <c r="D81" s="6"/>
      <c r="E81" s="8"/>
      <c r="F81" s="21"/>
      <c r="G81" s="21"/>
      <c r="H81" s="9"/>
      <c r="I81" s="9"/>
    </row>
    <row r="82" spans="1:9" ht="30" customHeight="1" x14ac:dyDescent="0.3">
      <c r="A82" s="8"/>
      <c r="B82" s="8"/>
      <c r="C82" s="8"/>
      <c r="D82" s="6"/>
      <c r="E82" s="8"/>
      <c r="F82" s="21"/>
      <c r="G82" s="21"/>
      <c r="H82" s="9"/>
      <c r="I82" s="9"/>
    </row>
    <row r="83" spans="1:9" ht="30" customHeight="1" x14ac:dyDescent="0.3">
      <c r="A83" s="8"/>
      <c r="B83" s="8"/>
      <c r="C83" s="8"/>
      <c r="D83" s="6"/>
      <c r="E83" s="8"/>
      <c r="F83" s="21"/>
      <c r="G83" s="21"/>
      <c r="H83" s="9"/>
      <c r="I83" s="9"/>
    </row>
    <row r="84" spans="1:9" ht="30" customHeight="1" x14ac:dyDescent="0.3">
      <c r="A84" s="8"/>
      <c r="B84" s="8"/>
      <c r="C84" s="8"/>
      <c r="D84" s="6"/>
      <c r="E84" s="8"/>
      <c r="F84" s="21"/>
      <c r="G84" s="21"/>
      <c r="H84" s="9"/>
      <c r="I84" s="9"/>
    </row>
    <row r="85" spans="1:9" ht="30" customHeight="1" x14ac:dyDescent="0.3">
      <c r="A85" s="8"/>
      <c r="B85" s="8"/>
      <c r="C85" s="8"/>
      <c r="D85" s="6"/>
      <c r="E85" s="8"/>
      <c r="F85" s="21"/>
      <c r="G85" s="21"/>
      <c r="H85" s="9"/>
      <c r="I85" s="9"/>
    </row>
    <row r="86" spans="1:9" ht="30" customHeight="1" x14ac:dyDescent="0.3">
      <c r="A86" s="8"/>
      <c r="B86" s="8"/>
      <c r="C86" s="8"/>
      <c r="D86" s="6"/>
      <c r="E86" s="8"/>
      <c r="F86" s="21"/>
      <c r="G86" s="21"/>
      <c r="H86" s="9"/>
      <c r="I86" s="9"/>
    </row>
    <row r="87" spans="1:9" ht="30" customHeight="1" x14ac:dyDescent="0.3">
      <c r="A87" s="8"/>
      <c r="B87" s="8"/>
      <c r="C87" s="8"/>
      <c r="D87" s="6"/>
      <c r="E87" s="8"/>
      <c r="F87" s="21"/>
      <c r="G87" s="21"/>
      <c r="H87" s="9"/>
      <c r="I87" s="9"/>
    </row>
    <row r="88" spans="1:9" ht="30" customHeight="1" x14ac:dyDescent="0.3">
      <c r="A88" s="8"/>
      <c r="B88" s="8"/>
      <c r="C88" s="8"/>
      <c r="D88" s="6"/>
      <c r="E88" s="8"/>
      <c r="F88" s="21"/>
      <c r="G88" s="21"/>
      <c r="H88" s="9"/>
      <c r="I88" s="9"/>
    </row>
    <row r="89" spans="1:9" ht="30" customHeight="1" x14ac:dyDescent="0.3">
      <c r="A89" s="8"/>
      <c r="B89" s="8"/>
      <c r="C89" s="8"/>
      <c r="D89" s="6"/>
      <c r="E89" s="8"/>
      <c r="F89" s="21"/>
      <c r="G89" s="21"/>
      <c r="H89" s="9"/>
      <c r="I89" s="9"/>
    </row>
    <row r="90" spans="1:9" ht="30" customHeight="1" x14ac:dyDescent="0.3">
      <c r="A90" s="8"/>
      <c r="B90" s="8"/>
      <c r="C90" s="8"/>
      <c r="D90" s="6"/>
      <c r="E90" s="8"/>
      <c r="F90" s="21"/>
      <c r="G90" s="21"/>
      <c r="H90" s="9"/>
      <c r="I90" s="9"/>
    </row>
    <row r="91" spans="1:9" ht="30" customHeight="1" x14ac:dyDescent="0.3">
      <c r="A91" s="8"/>
      <c r="B91" s="8"/>
      <c r="C91" s="8"/>
      <c r="D91" s="6"/>
      <c r="E91" s="8"/>
      <c r="F91" s="21"/>
      <c r="G91" s="21"/>
      <c r="H91" s="9"/>
      <c r="I91" s="9"/>
    </row>
    <row r="92" spans="1:9" ht="30" customHeight="1" x14ac:dyDescent="0.3">
      <c r="A92" s="8"/>
      <c r="B92" s="8"/>
      <c r="C92" s="8"/>
      <c r="D92" s="6"/>
      <c r="E92" s="8"/>
      <c r="F92" s="21"/>
      <c r="G92" s="21"/>
      <c r="H92" s="9"/>
      <c r="I92" s="9"/>
    </row>
    <row r="93" spans="1:9" ht="30" customHeight="1" x14ac:dyDescent="0.3">
      <c r="A93" s="8"/>
      <c r="B93" s="8"/>
      <c r="C93" s="8"/>
      <c r="D93" s="6"/>
      <c r="E93" s="8"/>
      <c r="F93" s="21"/>
      <c r="G93" s="21"/>
      <c r="H93" s="9"/>
      <c r="I93" s="9"/>
    </row>
    <row r="94" spans="1:9" ht="30" customHeight="1" x14ac:dyDescent="0.3">
      <c r="A94" s="8"/>
      <c r="B94" s="8"/>
      <c r="C94" s="8"/>
      <c r="D94" s="6"/>
      <c r="E94" s="8"/>
      <c r="F94" s="21"/>
      <c r="G94" s="21"/>
      <c r="H94" s="9"/>
      <c r="I94" s="9"/>
    </row>
    <row r="95" spans="1:9" ht="30" customHeight="1" x14ac:dyDescent="0.3">
      <c r="A95" s="8"/>
      <c r="B95" s="8"/>
      <c r="C95" s="8"/>
      <c r="D95" s="6"/>
      <c r="E95" s="8"/>
      <c r="F95" s="21"/>
      <c r="G95" s="21"/>
      <c r="H95" s="9"/>
      <c r="I95" s="9"/>
    </row>
    <row r="96" spans="1:9" ht="30" customHeight="1" x14ac:dyDescent="0.3">
      <c r="A96" s="8"/>
      <c r="B96" s="8"/>
      <c r="C96" s="8"/>
      <c r="D96" s="6"/>
      <c r="E96" s="8"/>
      <c r="F96" s="21"/>
      <c r="G96" s="21"/>
      <c r="H96" s="9"/>
      <c r="I96" s="9"/>
    </row>
    <row r="97" spans="1:9" ht="30" customHeight="1" x14ac:dyDescent="0.3">
      <c r="A97" s="8"/>
      <c r="B97" s="8"/>
      <c r="C97" s="8"/>
      <c r="D97" s="6"/>
      <c r="E97" s="8"/>
      <c r="F97" s="21"/>
      <c r="G97" s="21"/>
      <c r="H97" s="9"/>
      <c r="I97" s="9"/>
    </row>
    <row r="98" spans="1:9" ht="30" customHeight="1" x14ac:dyDescent="0.3">
      <c r="A98" s="8"/>
      <c r="B98" s="8"/>
      <c r="C98" s="8"/>
      <c r="D98" s="6"/>
      <c r="E98" s="8"/>
      <c r="F98" s="21"/>
      <c r="G98" s="21"/>
      <c r="H98" s="9"/>
      <c r="I98" s="9"/>
    </row>
    <row r="99" spans="1:9" ht="30" customHeight="1" x14ac:dyDescent="0.3">
      <c r="A99" s="5"/>
      <c r="B99" s="3"/>
      <c r="C99" s="8"/>
      <c r="D99" s="6"/>
      <c r="E99" s="8"/>
      <c r="F99" s="21"/>
      <c r="G99" s="21"/>
      <c r="H99" s="9"/>
      <c r="I99" s="9"/>
    </row>
    <row r="100" spans="1:9" ht="30" customHeight="1" x14ac:dyDescent="0.3">
      <c r="A100" s="5"/>
      <c r="B100" s="3"/>
      <c r="C100" s="8"/>
      <c r="D100" s="6"/>
      <c r="E100" s="8"/>
      <c r="F100" s="21"/>
      <c r="G100" s="21"/>
      <c r="H100" s="9"/>
      <c r="I100" s="9"/>
    </row>
    <row r="101" spans="1:9" ht="30" customHeight="1" x14ac:dyDescent="0.3">
      <c r="A101" s="5"/>
      <c r="B101" s="3"/>
      <c r="C101" s="8"/>
      <c r="D101" s="6"/>
      <c r="E101" s="8"/>
      <c r="F101" s="21"/>
      <c r="G101" s="21"/>
      <c r="H101" s="9"/>
      <c r="I101" s="9"/>
    </row>
    <row r="102" spans="1:9" ht="30" customHeight="1" x14ac:dyDescent="0.3">
      <c r="A102" s="5"/>
      <c r="B102" s="3"/>
      <c r="C102" s="8"/>
      <c r="D102" s="6"/>
      <c r="E102" s="8"/>
      <c r="F102" s="21"/>
      <c r="G102" s="21"/>
      <c r="H102" s="9"/>
      <c r="I102" s="9"/>
    </row>
    <row r="103" spans="1:9" ht="30" customHeight="1" x14ac:dyDescent="0.3">
      <c r="A103" s="5"/>
      <c r="B103" s="3"/>
      <c r="C103" s="8"/>
      <c r="D103" s="6"/>
      <c r="E103" s="8"/>
      <c r="F103" s="21"/>
      <c r="G103" s="21"/>
      <c r="H103" s="9"/>
      <c r="I103" s="9"/>
    </row>
    <row r="104" spans="1:9" ht="30" customHeight="1" x14ac:dyDescent="0.3">
      <c r="A104" s="5"/>
      <c r="B104" s="3"/>
      <c r="C104" s="8"/>
      <c r="D104" s="6"/>
      <c r="E104" s="8"/>
      <c r="F104" s="21"/>
      <c r="G104" s="21"/>
      <c r="H104" s="9"/>
      <c r="I104" s="9"/>
    </row>
    <row r="105" spans="1:9" ht="30" customHeight="1" x14ac:dyDescent="0.3">
      <c r="A105" s="5"/>
      <c r="B105" s="3"/>
      <c r="C105" s="8"/>
      <c r="D105" s="6"/>
      <c r="E105" s="8"/>
      <c r="F105" s="21"/>
      <c r="G105" s="21"/>
      <c r="H105" s="9"/>
      <c r="I105" s="9"/>
    </row>
    <row r="106" spans="1:9" ht="30" customHeight="1" x14ac:dyDescent="0.3">
      <c r="A106" s="5"/>
      <c r="B106" s="3"/>
      <c r="C106" s="8"/>
      <c r="D106" s="6"/>
      <c r="E106" s="8"/>
      <c r="F106" s="21"/>
      <c r="G106" s="21"/>
      <c r="H106" s="9"/>
      <c r="I106" s="9"/>
    </row>
    <row r="107" spans="1:9" ht="30" customHeight="1" x14ac:dyDescent="0.3">
      <c r="A107" s="5"/>
      <c r="B107" s="3"/>
      <c r="C107" s="8"/>
      <c r="D107" s="6"/>
      <c r="E107" s="8"/>
      <c r="F107" s="21"/>
      <c r="G107" s="21"/>
      <c r="H107" s="9"/>
      <c r="I107" s="9"/>
    </row>
    <row r="108" spans="1:9" ht="30" customHeight="1" x14ac:dyDescent="0.3">
      <c r="A108" s="5"/>
      <c r="B108" s="3"/>
      <c r="C108" s="8"/>
      <c r="D108" s="6"/>
      <c r="E108" s="8"/>
      <c r="F108" s="21"/>
      <c r="G108" s="21"/>
      <c r="H108" s="9"/>
      <c r="I108" s="9"/>
    </row>
    <row r="109" spans="1:9" ht="30" customHeight="1" x14ac:dyDescent="0.3">
      <c r="A109" s="5"/>
      <c r="B109" s="3"/>
      <c r="C109" s="8"/>
      <c r="D109" s="6"/>
      <c r="E109" s="8"/>
      <c r="F109" s="21"/>
      <c r="G109" s="21"/>
      <c r="H109" s="9"/>
      <c r="I109" s="9"/>
    </row>
    <row r="110" spans="1:9" ht="30" customHeight="1" x14ac:dyDescent="0.3">
      <c r="A110" s="5"/>
      <c r="B110" s="3"/>
      <c r="C110" s="8"/>
      <c r="D110" s="6"/>
      <c r="E110" s="8"/>
      <c r="F110" s="21"/>
      <c r="G110" s="21"/>
      <c r="H110" s="9"/>
      <c r="I110" s="9"/>
    </row>
    <row r="111" spans="1:9" ht="30" customHeight="1" x14ac:dyDescent="0.3">
      <c r="A111" s="5"/>
      <c r="B111" s="3"/>
      <c r="C111" s="8"/>
      <c r="D111" s="6"/>
      <c r="E111" s="8"/>
      <c r="F111" s="21"/>
      <c r="G111" s="21"/>
      <c r="H111" s="9"/>
      <c r="I111" s="9"/>
    </row>
    <row r="112" spans="1:9" ht="30" customHeight="1" x14ac:dyDescent="0.3">
      <c r="A112" s="5"/>
      <c r="B112" s="3"/>
      <c r="C112" s="8"/>
      <c r="D112" s="6"/>
      <c r="E112" s="8"/>
      <c r="F112" s="21"/>
      <c r="G112" s="21"/>
      <c r="H112" s="9"/>
      <c r="I112" s="9"/>
    </row>
    <row r="113" spans="1:9" ht="30" customHeight="1" x14ac:dyDescent="0.3">
      <c r="A113" s="5"/>
      <c r="B113" s="3"/>
      <c r="C113" s="8"/>
      <c r="D113" s="6"/>
      <c r="E113" s="8"/>
      <c r="F113" s="21"/>
      <c r="G113" s="21"/>
      <c r="H113" s="9"/>
      <c r="I113" s="9"/>
    </row>
    <row r="114" spans="1:9" ht="30" customHeight="1" x14ac:dyDescent="0.3">
      <c r="A114" s="5"/>
      <c r="B114" s="3"/>
      <c r="C114" s="8"/>
      <c r="D114" s="6"/>
      <c r="E114" s="8"/>
      <c r="F114" s="21"/>
      <c r="G114" s="21"/>
      <c r="H114" s="9"/>
      <c r="I114" s="9"/>
    </row>
    <row r="115" spans="1:9" ht="30" customHeight="1" x14ac:dyDescent="0.3">
      <c r="A115" s="5"/>
      <c r="B115" s="3"/>
      <c r="C115" s="8"/>
      <c r="D115" s="6"/>
      <c r="E115" s="8"/>
      <c r="F115" s="21"/>
      <c r="G115" s="21"/>
      <c r="H115" s="9"/>
      <c r="I115" s="9"/>
    </row>
    <row r="116" spans="1:9" ht="30" customHeight="1" x14ac:dyDescent="0.3">
      <c r="A116" s="5"/>
      <c r="B116" s="3"/>
      <c r="C116" s="8"/>
      <c r="D116" s="6"/>
      <c r="E116" s="8"/>
      <c r="F116" s="21"/>
      <c r="G116" s="21"/>
      <c r="H116" s="9"/>
      <c r="I116" s="9"/>
    </row>
    <row r="117" spans="1:9" ht="30" customHeight="1" x14ac:dyDescent="0.3">
      <c r="A117" s="5"/>
      <c r="B117" s="3"/>
      <c r="C117" s="8"/>
      <c r="D117" s="6"/>
      <c r="E117" s="8"/>
      <c r="F117" s="21"/>
      <c r="G117" s="21"/>
      <c r="H117" s="9"/>
      <c r="I117" s="9"/>
    </row>
    <row r="118" spans="1:9" ht="30" customHeight="1" x14ac:dyDescent="0.3">
      <c r="A118" s="5"/>
      <c r="B118" s="3"/>
      <c r="C118" s="8"/>
      <c r="D118" s="6"/>
      <c r="E118" s="8"/>
      <c r="F118" s="21"/>
      <c r="G118" s="21"/>
      <c r="H118" s="9"/>
      <c r="I118" s="9"/>
    </row>
    <row r="119" spans="1:9" ht="30" customHeight="1" x14ac:dyDescent="0.3">
      <c r="A119" s="5"/>
      <c r="B119" s="3"/>
      <c r="C119" s="8"/>
      <c r="D119" s="6"/>
      <c r="E119" s="8"/>
      <c r="F119" s="21"/>
      <c r="G119" s="21"/>
      <c r="H119" s="9"/>
      <c r="I119" s="9"/>
    </row>
    <row r="120" spans="1:9" ht="30" customHeight="1" x14ac:dyDescent="0.3">
      <c r="A120" s="5"/>
      <c r="B120" s="3"/>
      <c r="C120" s="8"/>
      <c r="D120" s="6"/>
      <c r="E120" s="8"/>
      <c r="F120" s="21"/>
      <c r="G120" s="21"/>
      <c r="H120" s="9"/>
      <c r="I120" s="9"/>
    </row>
    <row r="121" spans="1:9" ht="30" customHeight="1" x14ac:dyDescent="0.3">
      <c r="A121" s="5"/>
      <c r="B121" s="3"/>
      <c r="C121" s="8"/>
      <c r="D121" s="6"/>
      <c r="E121" s="8"/>
      <c r="F121" s="21"/>
      <c r="G121" s="21"/>
      <c r="H121" s="9"/>
      <c r="I121" s="9"/>
    </row>
    <row r="122" spans="1:9" ht="30" customHeight="1" x14ac:dyDescent="0.3">
      <c r="A122" s="5"/>
      <c r="B122" s="3"/>
      <c r="C122" s="8"/>
      <c r="D122" s="6"/>
      <c r="E122" s="8"/>
      <c r="F122" s="21"/>
      <c r="G122" s="21"/>
      <c r="H122" s="9"/>
      <c r="I122" s="9"/>
    </row>
    <row r="123" spans="1:9" ht="30" customHeight="1" x14ac:dyDescent="0.3">
      <c r="A123" s="5"/>
      <c r="B123" s="3"/>
      <c r="C123" s="8"/>
      <c r="D123" s="6"/>
      <c r="E123" s="8"/>
      <c r="F123" s="21"/>
      <c r="G123" s="21"/>
      <c r="H123" s="9"/>
      <c r="I123" s="9"/>
    </row>
    <row r="124" spans="1:9" ht="30" customHeight="1" x14ac:dyDescent="0.3">
      <c r="A124" s="5"/>
      <c r="B124" s="3"/>
      <c r="C124" s="8"/>
      <c r="D124" s="6"/>
      <c r="E124" s="8"/>
      <c r="F124" s="21"/>
      <c r="G124" s="21"/>
      <c r="H124" s="9"/>
      <c r="I124" s="9"/>
    </row>
    <row r="125" spans="1:9" ht="30" customHeight="1" x14ac:dyDescent="0.3">
      <c r="A125" s="5"/>
      <c r="B125" s="3"/>
      <c r="C125" s="8"/>
      <c r="D125" s="6"/>
      <c r="E125" s="8"/>
      <c r="F125" s="21"/>
      <c r="G125" s="21"/>
      <c r="H125" s="9"/>
      <c r="I125" s="9"/>
    </row>
    <row r="126" spans="1:9" ht="30" customHeight="1" x14ac:dyDescent="0.3">
      <c r="A126" s="5"/>
      <c r="B126" s="3"/>
      <c r="C126" s="8"/>
      <c r="D126" s="6"/>
      <c r="E126" s="8"/>
      <c r="F126" s="21"/>
      <c r="G126" s="21"/>
      <c r="H126" s="9"/>
      <c r="I126" s="9"/>
    </row>
    <row r="127" spans="1:9" ht="30" customHeight="1" x14ac:dyDescent="0.3">
      <c r="A127" s="5"/>
      <c r="B127" s="3"/>
      <c r="C127" s="8"/>
      <c r="D127" s="6"/>
      <c r="E127" s="8"/>
      <c r="F127" s="21"/>
      <c r="G127" s="21"/>
      <c r="H127" s="9"/>
      <c r="I127" s="9"/>
    </row>
    <row r="128" spans="1:9" ht="30" customHeight="1" x14ac:dyDescent="0.3">
      <c r="A128" s="5"/>
      <c r="B128" s="3"/>
      <c r="C128" s="8"/>
      <c r="D128" s="6"/>
      <c r="E128" s="8"/>
      <c r="F128" s="21"/>
      <c r="G128" s="21"/>
      <c r="H128" s="9"/>
      <c r="I128" s="9"/>
    </row>
    <row r="129" spans="1:9" ht="30" customHeight="1" x14ac:dyDescent="0.3">
      <c r="A129" s="5"/>
      <c r="B129" s="3"/>
      <c r="C129" s="8"/>
      <c r="D129" s="6"/>
      <c r="E129" s="8"/>
      <c r="F129" s="21"/>
      <c r="G129" s="21"/>
      <c r="H129" s="9"/>
      <c r="I129" s="9"/>
    </row>
    <row r="130" spans="1:9" ht="30" customHeight="1" x14ac:dyDescent="0.3">
      <c r="A130" s="5"/>
      <c r="B130" s="3"/>
      <c r="C130" s="8"/>
      <c r="D130" s="6"/>
      <c r="E130" s="8"/>
      <c r="F130" s="21"/>
      <c r="G130" s="21"/>
      <c r="H130" s="9"/>
      <c r="I130" s="9"/>
    </row>
    <row r="131" spans="1:9" ht="30" customHeight="1" x14ac:dyDescent="0.3">
      <c r="A131" s="5"/>
      <c r="B131" s="3"/>
      <c r="C131" s="8"/>
      <c r="D131" s="6"/>
      <c r="E131" s="8"/>
      <c r="F131" s="21"/>
      <c r="G131" s="21"/>
      <c r="H131" s="9"/>
      <c r="I131" s="9"/>
    </row>
    <row r="132" spans="1:9" ht="30" customHeight="1" x14ac:dyDescent="0.3">
      <c r="A132" s="5"/>
      <c r="B132" s="3"/>
      <c r="C132" s="8"/>
      <c r="D132" s="6"/>
      <c r="E132" s="8"/>
      <c r="F132" s="21"/>
      <c r="G132" s="21"/>
      <c r="H132" s="9"/>
      <c r="I132" s="9"/>
    </row>
    <row r="133" spans="1:9" ht="30" customHeight="1" x14ac:dyDescent="0.3">
      <c r="A133" s="5"/>
      <c r="B133" s="3"/>
      <c r="C133" s="8"/>
      <c r="D133" s="6"/>
      <c r="E133" s="8"/>
      <c r="F133" s="21"/>
      <c r="G133" s="21"/>
      <c r="H133" s="9"/>
      <c r="I133" s="9"/>
    </row>
    <row r="134" spans="1:9" ht="30" customHeight="1" x14ac:dyDescent="0.3">
      <c r="A134" s="5"/>
      <c r="B134" s="3"/>
      <c r="C134" s="8"/>
      <c r="D134" s="6"/>
      <c r="E134" s="8"/>
      <c r="F134" s="21"/>
      <c r="G134" s="21"/>
      <c r="H134" s="9"/>
      <c r="I134" s="9"/>
    </row>
    <row r="135" spans="1:9" ht="30" customHeight="1" x14ac:dyDescent="0.3">
      <c r="A135" s="5"/>
      <c r="B135" s="3"/>
      <c r="C135" s="8"/>
      <c r="D135" s="6"/>
      <c r="E135" s="8"/>
      <c r="F135" s="21"/>
      <c r="G135" s="21"/>
      <c r="H135" s="9"/>
      <c r="I135" s="9"/>
    </row>
    <row r="136" spans="1:9" ht="30" customHeight="1" x14ac:dyDescent="0.3">
      <c r="A136" s="5"/>
      <c r="B136" s="3"/>
      <c r="C136" s="8"/>
      <c r="D136" s="6"/>
      <c r="E136" s="8"/>
      <c r="F136" s="21"/>
      <c r="G136" s="21"/>
      <c r="H136" s="9"/>
      <c r="I136" s="9"/>
    </row>
    <row r="137" spans="1:9" ht="30" customHeight="1" x14ac:dyDescent="0.3">
      <c r="A137" s="5"/>
      <c r="B137" s="3"/>
      <c r="C137" s="8"/>
      <c r="D137" s="6"/>
      <c r="E137" s="8"/>
      <c r="F137" s="21"/>
      <c r="G137" s="21"/>
      <c r="H137" s="9"/>
      <c r="I137" s="9"/>
    </row>
    <row r="138" spans="1:9" ht="30" customHeight="1" x14ac:dyDescent="0.3">
      <c r="A138" s="5"/>
      <c r="B138" s="3"/>
      <c r="C138" s="8"/>
      <c r="D138" s="6"/>
      <c r="E138" s="8"/>
      <c r="F138" s="21"/>
      <c r="G138" s="21"/>
      <c r="H138" s="9"/>
      <c r="I138" s="9"/>
    </row>
    <row r="139" spans="1:9" ht="30" customHeight="1" x14ac:dyDescent="0.3">
      <c r="A139" s="5"/>
      <c r="B139" s="3"/>
      <c r="C139" s="8"/>
      <c r="D139" s="6"/>
      <c r="E139" s="8"/>
      <c r="F139" s="21"/>
      <c r="G139" s="21"/>
      <c r="H139" s="9"/>
      <c r="I139" s="9"/>
    </row>
    <row r="140" spans="1:9" ht="30" customHeight="1" x14ac:dyDescent="0.3">
      <c r="A140" s="5"/>
      <c r="B140" s="3"/>
      <c r="C140" s="8"/>
      <c r="D140" s="6"/>
      <c r="E140" s="8"/>
      <c r="F140" s="21"/>
      <c r="G140" s="21"/>
      <c r="H140" s="9"/>
      <c r="I140" s="9"/>
    </row>
    <row r="141" spans="1:9" ht="30" customHeight="1" x14ac:dyDescent="0.3">
      <c r="A141" s="5"/>
      <c r="B141" s="3"/>
      <c r="C141" s="8"/>
      <c r="D141" s="6"/>
      <c r="E141" s="8"/>
      <c r="F141" s="21"/>
      <c r="G141" s="21"/>
      <c r="H141" s="9"/>
      <c r="I141" s="9"/>
    </row>
    <row r="142" spans="1:9" ht="30" customHeight="1" x14ac:dyDescent="0.3">
      <c r="A142" s="5"/>
      <c r="B142" s="3"/>
      <c r="C142" s="8"/>
      <c r="D142" s="6"/>
      <c r="E142" s="8"/>
      <c r="F142" s="21"/>
      <c r="G142" s="21"/>
      <c r="H142" s="9"/>
      <c r="I142" s="9"/>
    </row>
    <row r="143" spans="1:9" ht="30" customHeight="1" x14ac:dyDescent="0.3">
      <c r="A143" s="5"/>
      <c r="B143" s="3"/>
      <c r="C143" s="8"/>
      <c r="D143" s="6"/>
      <c r="E143" s="8"/>
      <c r="F143" s="21"/>
      <c r="G143" s="21"/>
      <c r="H143" s="9"/>
      <c r="I143" s="9"/>
    </row>
    <row r="144" spans="1:9" ht="30" customHeight="1" x14ac:dyDescent="0.3">
      <c r="A144" s="5"/>
      <c r="B144" s="3"/>
      <c r="C144" s="8"/>
      <c r="D144" s="6"/>
      <c r="E144" s="8"/>
      <c r="F144" s="21"/>
      <c r="G144" s="21"/>
      <c r="H144" s="9"/>
      <c r="I144" s="9"/>
    </row>
    <row r="145" spans="1:9" ht="30" customHeight="1" x14ac:dyDescent="0.3">
      <c r="A145" s="5"/>
      <c r="B145" s="3"/>
      <c r="C145" s="8"/>
      <c r="D145" s="6"/>
      <c r="E145" s="8"/>
      <c r="F145" s="21"/>
      <c r="G145" s="21"/>
      <c r="H145" s="9"/>
      <c r="I145" s="9"/>
    </row>
    <row r="146" spans="1:9" ht="30" customHeight="1" x14ac:dyDescent="0.3">
      <c r="A146" s="5"/>
      <c r="B146" s="3"/>
      <c r="C146" s="8"/>
      <c r="D146" s="6"/>
      <c r="E146" s="8"/>
      <c r="F146" s="21"/>
      <c r="G146" s="21"/>
      <c r="H146" s="9"/>
      <c r="I146" s="9"/>
    </row>
    <row r="147" spans="1:9" ht="30" customHeight="1" x14ac:dyDescent="0.3">
      <c r="A147" s="5"/>
      <c r="B147" s="3"/>
      <c r="C147" s="8"/>
      <c r="D147" s="6"/>
      <c r="E147" s="8"/>
      <c r="F147" s="21"/>
      <c r="G147" s="21"/>
      <c r="H147" s="9"/>
      <c r="I147" s="9"/>
    </row>
    <row r="148" spans="1:9" ht="30" customHeight="1" x14ac:dyDescent="0.3">
      <c r="A148" s="5"/>
      <c r="B148" s="3"/>
      <c r="C148" s="8"/>
      <c r="D148" s="6"/>
      <c r="E148" s="8"/>
      <c r="F148" s="21"/>
      <c r="G148" s="21"/>
      <c r="H148" s="9"/>
      <c r="I148" s="9"/>
    </row>
    <row r="149" spans="1:9" ht="30" customHeight="1" x14ac:dyDescent="0.3">
      <c r="A149" s="5"/>
      <c r="B149" s="3"/>
      <c r="C149" s="8"/>
      <c r="D149" s="6"/>
      <c r="E149" s="8"/>
      <c r="F149" s="21"/>
      <c r="G149" s="21"/>
      <c r="H149" s="9"/>
      <c r="I149" s="9"/>
    </row>
    <row r="150" spans="1:9" ht="30" customHeight="1" x14ac:dyDescent="0.3">
      <c r="A150" s="5"/>
      <c r="B150" s="3"/>
      <c r="C150" s="8"/>
      <c r="D150" s="6"/>
      <c r="E150" s="8"/>
      <c r="F150" s="21"/>
      <c r="G150" s="21"/>
      <c r="H150" s="9"/>
      <c r="I150" s="9"/>
    </row>
    <row r="151" spans="1:9" ht="30" customHeight="1" x14ac:dyDescent="0.3">
      <c r="A151" s="5"/>
      <c r="B151" s="3"/>
      <c r="C151" s="8"/>
      <c r="D151" s="6"/>
      <c r="E151" s="8"/>
      <c r="F151" s="21"/>
      <c r="G151" s="21"/>
      <c r="H151" s="9"/>
      <c r="I151" s="9"/>
    </row>
    <row r="152" spans="1:9" ht="30" customHeight="1" x14ac:dyDescent="0.3">
      <c r="A152" s="5"/>
      <c r="B152" s="3"/>
      <c r="C152" s="8"/>
      <c r="D152" s="6"/>
      <c r="E152" s="8"/>
      <c r="F152" s="3"/>
      <c r="G152" s="3"/>
      <c r="H152" s="9"/>
      <c r="I152" s="9"/>
    </row>
    <row r="153" spans="1:9" ht="30" customHeight="1" x14ac:dyDescent="0.3">
      <c r="A153" s="5"/>
      <c r="B153" s="3"/>
      <c r="C153" s="8"/>
      <c r="D153" s="6"/>
      <c r="E153" s="8"/>
      <c r="F153" s="3"/>
      <c r="G153" s="3"/>
      <c r="H153" s="9"/>
      <c r="I153" s="9"/>
    </row>
    <row r="154" spans="1:9" ht="30" customHeight="1" x14ac:dyDescent="0.3">
      <c r="A154" s="5"/>
      <c r="B154" s="3"/>
      <c r="C154" s="8"/>
      <c r="D154" s="6"/>
      <c r="E154" s="8"/>
      <c r="F154" s="3"/>
      <c r="G154" s="3"/>
      <c r="H154" s="9"/>
      <c r="I154" s="9"/>
    </row>
    <row r="155" spans="1:9" ht="30" customHeight="1" x14ac:dyDescent="0.3">
      <c r="A155" s="5"/>
      <c r="B155" s="3"/>
      <c r="C155" s="8"/>
      <c r="D155" s="6"/>
      <c r="E155" s="8"/>
      <c r="F155" s="3"/>
      <c r="G155" s="3"/>
      <c r="H155" s="9"/>
      <c r="I155" s="9"/>
    </row>
    <row r="156" spans="1:9" ht="30" customHeight="1" x14ac:dyDescent="0.3">
      <c r="A156" s="5"/>
      <c r="B156" s="3"/>
      <c r="C156" s="8"/>
      <c r="D156" s="6"/>
      <c r="E156" s="8"/>
      <c r="F156" s="3"/>
      <c r="G156" s="3"/>
      <c r="H156" s="9"/>
      <c r="I156" s="9"/>
    </row>
    <row r="157" spans="1:9" ht="30" customHeight="1" x14ac:dyDescent="0.3">
      <c r="A157" s="5"/>
      <c r="B157" s="3"/>
      <c r="C157" s="8"/>
      <c r="D157" s="6"/>
      <c r="E157" s="8"/>
      <c r="F157" s="3"/>
      <c r="G157" s="3"/>
      <c r="H157" s="9"/>
      <c r="I157" s="9"/>
    </row>
    <row r="158" spans="1:9" ht="30" customHeight="1" x14ac:dyDescent="0.3">
      <c r="A158" s="5"/>
      <c r="B158" s="3"/>
      <c r="C158" s="8"/>
      <c r="D158" s="6"/>
      <c r="E158" s="8"/>
      <c r="F158" s="3"/>
      <c r="G158" s="3"/>
      <c r="H158" s="9"/>
      <c r="I158" s="9"/>
    </row>
    <row r="159" spans="1:9" ht="30" customHeight="1" x14ac:dyDescent="0.3">
      <c r="A159" s="5"/>
      <c r="B159" s="3"/>
      <c r="C159" s="8"/>
      <c r="D159" s="6"/>
      <c r="E159" s="8"/>
      <c r="F159" s="3"/>
      <c r="G159" s="3"/>
      <c r="H159" s="9"/>
      <c r="I159" s="9"/>
    </row>
    <row r="160" spans="1:9" ht="30" customHeight="1" x14ac:dyDescent="0.3">
      <c r="A160" s="5"/>
      <c r="B160" s="3"/>
      <c r="C160" s="8"/>
      <c r="D160" s="6"/>
      <c r="E160" s="8"/>
      <c r="F160" s="3"/>
      <c r="G160" s="3"/>
      <c r="H160" s="9"/>
      <c r="I160" s="9"/>
    </row>
    <row r="161" spans="1:9" ht="30" customHeight="1" x14ac:dyDescent="0.3">
      <c r="A161" s="5"/>
      <c r="B161" s="3"/>
      <c r="C161" s="8"/>
      <c r="D161" s="6"/>
      <c r="E161" s="8"/>
      <c r="F161" s="3"/>
      <c r="G161" s="3"/>
      <c r="H161" s="9"/>
      <c r="I161" s="9"/>
    </row>
    <row r="162" spans="1:9" ht="30" customHeight="1" x14ac:dyDescent="0.3">
      <c r="A162" s="5"/>
      <c r="B162" s="3"/>
      <c r="C162" s="8"/>
      <c r="D162" s="6"/>
      <c r="E162" s="8"/>
      <c r="F162" s="3"/>
      <c r="G162" s="3"/>
      <c r="H162" s="9"/>
      <c r="I162" s="9"/>
    </row>
    <row r="163" spans="1:9" ht="30" customHeight="1" x14ac:dyDescent="0.3">
      <c r="A163" s="5"/>
      <c r="B163" s="3"/>
      <c r="C163" s="8"/>
      <c r="D163" s="6"/>
      <c r="E163" s="8"/>
      <c r="F163" s="3"/>
      <c r="G163" s="3"/>
      <c r="H163" s="9"/>
      <c r="I163" s="9"/>
    </row>
    <row r="164" spans="1:9" ht="30" customHeight="1" x14ac:dyDescent="0.3">
      <c r="A164" s="5"/>
      <c r="B164" s="3"/>
      <c r="C164" s="8"/>
      <c r="D164" s="6"/>
      <c r="E164" s="8"/>
      <c r="F164" s="3"/>
      <c r="G164" s="3"/>
      <c r="H164" s="9"/>
      <c r="I164" s="9"/>
    </row>
    <row r="165" spans="1:9" ht="30" customHeight="1" x14ac:dyDescent="0.3">
      <c r="A165" s="5"/>
      <c r="B165" s="3"/>
      <c r="C165" s="8"/>
      <c r="D165" s="6"/>
      <c r="E165" s="8"/>
      <c r="F165" s="3"/>
      <c r="G165" s="3"/>
      <c r="H165" s="9"/>
      <c r="I165" s="9"/>
    </row>
    <row r="166" spans="1:9" ht="30" customHeight="1" x14ac:dyDescent="0.3">
      <c r="A166" s="5"/>
      <c r="B166" s="3"/>
      <c r="C166" s="8"/>
      <c r="D166" s="6"/>
      <c r="E166" s="8"/>
      <c r="F166" s="3"/>
      <c r="G166" s="3"/>
      <c r="H166" s="9"/>
      <c r="I166" s="9"/>
    </row>
    <row r="167" spans="1:9" ht="30" customHeight="1" x14ac:dyDescent="0.3">
      <c r="A167" s="5"/>
      <c r="B167" s="3"/>
      <c r="C167" s="8"/>
      <c r="D167" s="6"/>
      <c r="E167" s="8"/>
      <c r="F167" s="3"/>
      <c r="G167" s="3"/>
      <c r="H167" s="9"/>
      <c r="I167" s="9"/>
    </row>
    <row r="168" spans="1:9" ht="30" customHeight="1" x14ac:dyDescent="0.3">
      <c r="A168" s="5"/>
      <c r="B168" s="3"/>
      <c r="C168" s="8"/>
      <c r="D168" s="6"/>
      <c r="E168" s="8"/>
      <c r="F168" s="3"/>
      <c r="G168" s="3"/>
      <c r="H168" s="9"/>
      <c r="I168" s="9"/>
    </row>
    <row r="169" spans="1:9" ht="30" customHeight="1" x14ac:dyDescent="0.3">
      <c r="A169" s="5"/>
      <c r="B169" s="3"/>
      <c r="C169" s="8"/>
      <c r="D169" s="6"/>
      <c r="E169" s="8"/>
      <c r="F169" s="3"/>
      <c r="G169" s="3"/>
      <c r="H169" s="9"/>
      <c r="I169" s="9"/>
    </row>
    <row r="170" spans="1:9" ht="30" customHeight="1" x14ac:dyDescent="0.3">
      <c r="A170" s="5"/>
      <c r="B170" s="3"/>
      <c r="C170" s="8"/>
      <c r="D170" s="6"/>
      <c r="E170" s="8"/>
      <c r="F170" s="3"/>
      <c r="G170" s="3"/>
      <c r="H170" s="9"/>
      <c r="I170" s="9"/>
    </row>
    <row r="171" spans="1:9" ht="30" customHeight="1" x14ac:dyDescent="0.3">
      <c r="A171" s="5"/>
      <c r="B171" s="3"/>
      <c r="C171" s="8"/>
      <c r="D171" s="6"/>
      <c r="E171" s="8"/>
      <c r="F171" s="3"/>
      <c r="G171" s="3"/>
      <c r="H171" s="9"/>
      <c r="I171" s="9"/>
    </row>
    <row r="172" spans="1:9" ht="30" customHeight="1" x14ac:dyDescent="0.3">
      <c r="A172" s="5"/>
      <c r="B172" s="3"/>
      <c r="C172" s="8"/>
      <c r="D172" s="6"/>
      <c r="E172" s="8"/>
      <c r="F172" s="3"/>
      <c r="G172" s="3"/>
      <c r="H172" s="9"/>
      <c r="I172" s="9"/>
    </row>
    <row r="173" spans="1:9" ht="30" customHeight="1" x14ac:dyDescent="0.3">
      <c r="A173" s="5"/>
      <c r="B173" s="3"/>
      <c r="C173" s="10"/>
      <c r="D173" s="6"/>
      <c r="E173" s="8"/>
      <c r="F173" s="3"/>
      <c r="G173" s="3"/>
      <c r="H173" s="9"/>
      <c r="I173" s="9"/>
    </row>
    <row r="174" spans="1:9" ht="30" customHeight="1" x14ac:dyDescent="0.3">
      <c r="A174" s="5"/>
      <c r="B174" s="3"/>
      <c r="C174" s="10"/>
      <c r="D174" s="6"/>
      <c r="E174" s="8"/>
      <c r="F174" s="3"/>
      <c r="G174" s="3"/>
      <c r="H174" s="9"/>
      <c r="I174" s="9"/>
    </row>
    <row r="175" spans="1:9" ht="30" customHeight="1" x14ac:dyDescent="0.3">
      <c r="A175" s="5"/>
      <c r="B175" s="3"/>
      <c r="C175" s="10"/>
      <c r="D175" s="6"/>
      <c r="E175" s="8"/>
      <c r="F175" s="3"/>
      <c r="G175" s="3"/>
      <c r="H175" s="9"/>
      <c r="I175" s="9"/>
    </row>
    <row r="176" spans="1:9" ht="30" customHeight="1" x14ac:dyDescent="0.3">
      <c r="A176" s="5"/>
      <c r="B176" s="3"/>
      <c r="C176" s="10"/>
      <c r="D176" s="6"/>
      <c r="E176" s="8"/>
      <c r="F176" s="3"/>
      <c r="G176" s="3"/>
      <c r="H176" s="9"/>
      <c r="I176" s="9"/>
    </row>
    <row r="177" spans="1:9" ht="30" customHeight="1" x14ac:dyDescent="0.3">
      <c r="A177" s="5"/>
      <c r="B177" s="3"/>
      <c r="C177" s="10"/>
      <c r="D177" s="6"/>
      <c r="E177" s="8"/>
      <c r="F177" s="3"/>
      <c r="G177" s="3"/>
      <c r="H177" s="9"/>
      <c r="I177" s="9"/>
    </row>
    <row r="178" spans="1:9" ht="30" customHeight="1" x14ac:dyDescent="0.3">
      <c r="A178" s="5"/>
      <c r="B178" s="3"/>
      <c r="C178" s="10"/>
      <c r="D178" s="6"/>
      <c r="E178" s="8"/>
      <c r="F178" s="3"/>
      <c r="G178" s="3"/>
      <c r="H178" s="9"/>
      <c r="I178" s="9"/>
    </row>
    <row r="179" spans="1:9" ht="30" customHeight="1" x14ac:dyDescent="0.3">
      <c r="A179" s="5"/>
      <c r="B179" s="3"/>
      <c r="C179" s="10"/>
      <c r="D179" s="6"/>
      <c r="E179" s="8"/>
      <c r="F179" s="3"/>
      <c r="G179" s="3"/>
      <c r="H179" s="9"/>
      <c r="I179" s="9"/>
    </row>
    <row r="180" spans="1:9" ht="30" customHeight="1" x14ac:dyDescent="0.3">
      <c r="A180" s="5"/>
      <c r="B180" s="3"/>
      <c r="C180" s="10"/>
      <c r="D180" s="6"/>
      <c r="E180" s="8"/>
      <c r="F180" s="3"/>
      <c r="G180" s="3"/>
      <c r="H180" s="9"/>
      <c r="I180" s="9"/>
    </row>
    <row r="181" spans="1:9" ht="30" customHeight="1" x14ac:dyDescent="0.3">
      <c r="A181" s="5"/>
      <c r="B181" s="3"/>
      <c r="C181" s="9"/>
      <c r="D181" s="6"/>
      <c r="E181" s="8"/>
      <c r="F181" s="3"/>
      <c r="G181" s="3"/>
      <c r="H181" s="9"/>
      <c r="I181" s="9"/>
    </row>
    <row r="182" spans="1:9" ht="30" customHeight="1" x14ac:dyDescent="0.3">
      <c r="A182" s="5"/>
      <c r="B182" s="3"/>
      <c r="C182" s="9"/>
      <c r="D182" s="6"/>
      <c r="E182" s="8"/>
      <c r="F182" s="3"/>
      <c r="G182" s="3"/>
      <c r="H182" s="9"/>
      <c r="I182" s="9"/>
    </row>
    <row r="183" spans="1:9" ht="30" customHeight="1" x14ac:dyDescent="0.3">
      <c r="A183" s="5"/>
      <c r="B183" s="3"/>
      <c r="C183" s="9"/>
      <c r="D183" s="6"/>
      <c r="E183" s="8"/>
      <c r="F183" s="3"/>
      <c r="G183" s="3"/>
      <c r="H183" s="9"/>
      <c r="I183" s="9"/>
    </row>
    <row r="184" spans="1:9" ht="30" customHeight="1" x14ac:dyDescent="0.3">
      <c r="A184" s="5"/>
      <c r="B184" s="3"/>
      <c r="C184" s="9"/>
      <c r="D184" s="6"/>
      <c r="E184" s="8"/>
      <c r="F184" s="3"/>
      <c r="G184" s="3"/>
      <c r="H184" s="9"/>
      <c r="I184" s="9"/>
    </row>
    <row r="185" spans="1:9" ht="30" customHeight="1" x14ac:dyDescent="0.3">
      <c r="A185" s="5"/>
      <c r="B185" s="3"/>
      <c r="C185" s="9"/>
      <c r="D185" s="6"/>
      <c r="E185" s="8"/>
      <c r="F185" s="3"/>
      <c r="G185" s="3"/>
      <c r="H185" s="9"/>
      <c r="I185" s="9"/>
    </row>
    <row r="186" spans="1:9" ht="30" customHeight="1" x14ac:dyDescent="0.3">
      <c r="A186" s="5"/>
      <c r="B186" s="3"/>
      <c r="C186" s="9"/>
      <c r="D186" s="6"/>
      <c r="E186" s="8"/>
      <c r="F186" s="3"/>
      <c r="G186" s="3"/>
      <c r="H186" s="9"/>
      <c r="I186" s="9"/>
    </row>
    <row r="187" spans="1:9" ht="30" customHeight="1" x14ac:dyDescent="0.3">
      <c r="A187" s="5"/>
      <c r="B187" s="3"/>
      <c r="C187" s="9"/>
      <c r="D187" s="6"/>
      <c r="E187" s="8"/>
      <c r="F187" s="3"/>
      <c r="G187" s="3"/>
      <c r="H187" s="9"/>
      <c r="I187" s="9"/>
    </row>
    <row r="188" spans="1:9" ht="30" customHeight="1" x14ac:dyDescent="0.3">
      <c r="A188" s="5"/>
      <c r="B188" s="3"/>
      <c r="C188" s="9"/>
      <c r="D188" s="6"/>
      <c r="E188" s="8"/>
      <c r="F188" s="3"/>
      <c r="G188" s="3"/>
      <c r="H188" s="9"/>
      <c r="I188" s="9"/>
    </row>
    <row r="189" spans="1:9" ht="30" customHeight="1" x14ac:dyDescent="0.3">
      <c r="A189" s="5"/>
      <c r="B189" s="3"/>
      <c r="C189" s="9"/>
      <c r="D189" s="6"/>
      <c r="E189" s="8"/>
      <c r="F189" s="3"/>
      <c r="G189" s="3"/>
      <c r="H189" s="9"/>
      <c r="I189" s="9"/>
    </row>
    <row r="190" spans="1:9" ht="30" customHeight="1" x14ac:dyDescent="0.3">
      <c r="A190" s="5"/>
      <c r="B190" s="3"/>
      <c r="C190" s="9"/>
      <c r="D190" s="6"/>
      <c r="E190" s="8"/>
      <c r="F190" s="3"/>
      <c r="G190" s="3"/>
      <c r="H190" s="9"/>
      <c r="I190" s="9"/>
    </row>
    <row r="191" spans="1:9" ht="30" customHeight="1" x14ac:dyDescent="0.3">
      <c r="A191" s="5"/>
      <c r="B191" s="3"/>
      <c r="C191" s="9"/>
      <c r="D191" s="6"/>
      <c r="E191" s="8"/>
      <c r="F191" s="3"/>
      <c r="G191" s="3"/>
      <c r="H191" s="9"/>
      <c r="I191" s="9"/>
    </row>
    <row r="192" spans="1:9" ht="30" customHeight="1" x14ac:dyDescent="0.3">
      <c r="A192" s="5"/>
      <c r="B192" s="3"/>
      <c r="C192" s="9"/>
      <c r="D192" s="6"/>
      <c r="E192" s="8"/>
      <c r="F192" s="3"/>
      <c r="G192" s="3"/>
      <c r="H192" s="9"/>
      <c r="I192" s="9"/>
    </row>
    <row r="193" spans="1:9" ht="30" customHeight="1" x14ac:dyDescent="0.3">
      <c r="A193" s="5"/>
      <c r="B193" s="3"/>
      <c r="C193" s="9"/>
      <c r="D193" s="6"/>
      <c r="E193" s="8"/>
      <c r="F193" s="3"/>
      <c r="G193" s="3"/>
      <c r="H193" s="9"/>
      <c r="I193" s="9"/>
    </row>
    <row r="194" spans="1:9" ht="30" customHeight="1" x14ac:dyDescent="0.3">
      <c r="A194" s="5"/>
      <c r="B194" s="3"/>
      <c r="C194" s="9"/>
      <c r="D194" s="6"/>
      <c r="E194" s="8"/>
      <c r="F194" s="3"/>
      <c r="G194" s="3"/>
      <c r="H194" s="9"/>
      <c r="I194" s="9"/>
    </row>
    <row r="195" spans="1:9" ht="30" customHeight="1" x14ac:dyDescent="0.3">
      <c r="A195" s="5"/>
      <c r="B195" s="3"/>
      <c r="C195" s="9"/>
      <c r="D195" s="6"/>
      <c r="E195" s="8"/>
      <c r="F195" s="3"/>
      <c r="G195" s="3"/>
      <c r="H195" s="9"/>
      <c r="I195" s="9"/>
    </row>
    <row r="196" spans="1:9" ht="30" customHeight="1" x14ac:dyDescent="0.3">
      <c r="A196" s="5"/>
      <c r="B196" s="3"/>
      <c r="C196" s="9"/>
      <c r="D196" s="6"/>
      <c r="E196" s="8"/>
      <c r="F196" s="3"/>
      <c r="G196" s="3"/>
      <c r="H196" s="9"/>
      <c r="I196" s="9"/>
    </row>
    <row r="197" spans="1:9" ht="30" customHeight="1" x14ac:dyDescent="0.3">
      <c r="A197" s="5"/>
      <c r="B197" s="3"/>
      <c r="C197" s="9"/>
      <c r="D197" s="6"/>
      <c r="E197" s="8"/>
      <c r="F197" s="3"/>
      <c r="G197" s="3"/>
      <c r="H197" s="9"/>
      <c r="I197" s="9"/>
    </row>
    <row r="198" spans="1:9" ht="30" customHeight="1" x14ac:dyDescent="0.3">
      <c r="A198" s="5"/>
      <c r="B198" s="3"/>
      <c r="C198" s="9"/>
      <c r="D198" s="6"/>
      <c r="E198" s="8"/>
      <c r="F198" s="3"/>
      <c r="G198" s="3"/>
      <c r="H198" s="9"/>
      <c r="I198" s="9"/>
    </row>
    <row r="199" spans="1:9" ht="30" customHeight="1" x14ac:dyDescent="0.3">
      <c r="A199" s="5"/>
      <c r="B199" s="3"/>
      <c r="C199" s="9"/>
      <c r="D199" s="6"/>
      <c r="E199" s="8"/>
      <c r="F199" s="3"/>
      <c r="G199" s="3"/>
      <c r="H199" s="9"/>
      <c r="I199" s="9"/>
    </row>
    <row r="200" spans="1:9" ht="30" customHeight="1" x14ac:dyDescent="0.3">
      <c r="A200" s="5"/>
      <c r="B200" s="3"/>
      <c r="C200" s="9"/>
      <c r="D200" s="6"/>
      <c r="E200" s="8"/>
      <c r="F200" s="3"/>
      <c r="G200" s="3"/>
      <c r="H200" s="9"/>
      <c r="I200" s="9"/>
    </row>
    <row r="201" spans="1:9" ht="30" customHeight="1" x14ac:dyDescent="0.3">
      <c r="A201" s="5"/>
      <c r="B201" s="3"/>
      <c r="C201" s="9"/>
      <c r="D201" s="6"/>
      <c r="E201" s="8"/>
      <c r="F201" s="3"/>
      <c r="G201" s="3"/>
      <c r="H201" s="9"/>
      <c r="I201" s="9"/>
    </row>
    <row r="202" spans="1:9" ht="30" customHeight="1" x14ac:dyDescent="0.3">
      <c r="A202" s="5"/>
      <c r="B202" s="3"/>
      <c r="C202" s="9"/>
      <c r="D202" s="6"/>
      <c r="E202" s="8"/>
      <c r="F202" s="3"/>
      <c r="G202" s="3"/>
      <c r="H202" s="9"/>
      <c r="I202" s="9"/>
    </row>
    <row r="203" spans="1:9" ht="30" customHeight="1" x14ac:dyDescent="0.3">
      <c r="A203" s="5"/>
      <c r="B203" s="3"/>
      <c r="C203" s="9"/>
      <c r="D203" s="6"/>
      <c r="E203" s="8"/>
      <c r="F203" s="3"/>
      <c r="G203" s="3"/>
      <c r="H203" s="9"/>
      <c r="I203" s="9"/>
    </row>
    <row r="204" spans="1:9" ht="30" customHeight="1" x14ac:dyDescent="0.3">
      <c r="A204" s="5"/>
      <c r="B204" s="3"/>
      <c r="C204" s="9"/>
      <c r="D204" s="6"/>
      <c r="E204" s="8"/>
      <c r="F204" s="3"/>
      <c r="G204" s="3"/>
      <c r="H204" s="9"/>
      <c r="I204" s="9"/>
    </row>
    <row r="205" spans="1:9" ht="30" customHeight="1" x14ac:dyDescent="0.3">
      <c r="A205" s="5"/>
      <c r="B205" s="3"/>
      <c r="C205" s="9"/>
      <c r="D205" s="6"/>
      <c r="E205" s="8"/>
      <c r="F205" s="3"/>
      <c r="G205" s="3"/>
      <c r="H205" s="9"/>
      <c r="I205" s="9"/>
    </row>
    <row r="206" spans="1:9" ht="30" customHeight="1" x14ac:dyDescent="0.3">
      <c r="A206" s="5"/>
      <c r="B206" s="3"/>
      <c r="C206" s="9"/>
      <c r="D206" s="6"/>
      <c r="E206" s="8"/>
      <c r="F206" s="3"/>
      <c r="G206" s="3"/>
      <c r="H206" s="9"/>
      <c r="I206" s="9"/>
    </row>
    <row r="207" spans="1:9" ht="30" customHeight="1" x14ac:dyDescent="0.3">
      <c r="A207" s="5"/>
      <c r="B207" s="3"/>
      <c r="C207" s="9"/>
      <c r="D207" s="6"/>
      <c r="E207" s="8"/>
      <c r="F207" s="3"/>
      <c r="G207" s="3"/>
      <c r="H207" s="9"/>
      <c r="I207" s="9"/>
    </row>
    <row r="208" spans="1:9" ht="30" customHeight="1" x14ac:dyDescent="0.3">
      <c r="A208" s="5"/>
      <c r="B208" s="3"/>
      <c r="C208" s="9"/>
      <c r="D208" s="6"/>
      <c r="E208" s="8"/>
      <c r="F208" s="3"/>
      <c r="G208" s="3"/>
      <c r="H208" s="9"/>
      <c r="I208" s="9"/>
    </row>
    <row r="209" spans="1:9" ht="30" customHeight="1" x14ac:dyDescent="0.3">
      <c r="A209" s="5"/>
      <c r="B209" s="3"/>
      <c r="C209" s="9"/>
      <c r="D209" s="6"/>
      <c r="E209" s="8"/>
      <c r="F209" s="3"/>
      <c r="G209" s="3"/>
      <c r="H209" s="9"/>
      <c r="I209" s="9"/>
    </row>
    <row r="210" spans="1:9" ht="30" customHeight="1" x14ac:dyDescent="0.3">
      <c r="A210" s="5"/>
      <c r="B210" s="3"/>
      <c r="C210" s="9"/>
      <c r="D210" s="6"/>
      <c r="E210" s="8"/>
      <c r="F210" s="3"/>
      <c r="G210" s="3"/>
      <c r="H210" s="9"/>
      <c r="I210" s="9"/>
    </row>
    <row r="211" spans="1:9" ht="30" customHeight="1" x14ac:dyDescent="0.3">
      <c r="A211" s="5"/>
      <c r="B211" s="3"/>
      <c r="C211" s="9"/>
      <c r="D211" s="6"/>
      <c r="E211" s="8"/>
      <c r="F211" s="3"/>
      <c r="G211" s="3"/>
      <c r="H211" s="9"/>
      <c r="I211" s="9"/>
    </row>
    <row r="212" spans="1:9" ht="30" customHeight="1" x14ac:dyDescent="0.3">
      <c r="A212" s="5"/>
      <c r="B212" s="3"/>
      <c r="C212" s="9"/>
      <c r="D212" s="6"/>
      <c r="E212" s="8"/>
      <c r="F212" s="3"/>
      <c r="G212" s="3"/>
      <c r="H212" s="9"/>
      <c r="I212" s="9"/>
    </row>
    <row r="213" spans="1:9" ht="30" customHeight="1" x14ac:dyDescent="0.3">
      <c r="A213" s="5"/>
      <c r="B213" s="3"/>
      <c r="C213" s="9"/>
      <c r="D213" s="6"/>
      <c r="E213" s="8"/>
      <c r="F213" s="3"/>
      <c r="G213" s="3"/>
      <c r="H213" s="9"/>
      <c r="I213" s="9"/>
    </row>
    <row r="214" spans="1:9" ht="30" customHeight="1" x14ac:dyDescent="0.3">
      <c r="A214" s="5"/>
      <c r="B214" s="3"/>
      <c r="C214" s="9"/>
      <c r="D214" s="6"/>
      <c r="E214" s="8"/>
      <c r="F214" s="3"/>
      <c r="G214" s="3"/>
      <c r="H214" s="9"/>
      <c r="I214" s="9"/>
    </row>
    <row r="215" spans="1:9" ht="30" customHeight="1" x14ac:dyDescent="0.3">
      <c r="A215" s="5"/>
      <c r="B215" s="3"/>
      <c r="C215" s="9"/>
      <c r="D215" s="6"/>
      <c r="E215" s="8"/>
      <c r="F215" s="3"/>
      <c r="G215" s="3"/>
      <c r="H215" s="9"/>
      <c r="I215" s="9"/>
    </row>
    <row r="216" spans="1:9" ht="30" customHeight="1" x14ac:dyDescent="0.3">
      <c r="A216" s="5"/>
      <c r="B216" s="3"/>
      <c r="C216" s="9"/>
      <c r="D216" s="6"/>
      <c r="E216" s="8"/>
      <c r="F216" s="3"/>
      <c r="G216" s="3"/>
      <c r="H216" s="9"/>
      <c r="I216" s="9"/>
    </row>
    <row r="217" spans="1:9" ht="30" customHeight="1" x14ac:dyDescent="0.3">
      <c r="A217" s="5"/>
      <c r="B217" s="3"/>
      <c r="C217" s="9"/>
      <c r="D217" s="6"/>
      <c r="E217" s="8"/>
      <c r="F217" s="3"/>
      <c r="G217" s="3"/>
      <c r="H217" s="9"/>
      <c r="I217" s="9"/>
    </row>
    <row r="218" spans="1:9" ht="30" customHeight="1" x14ac:dyDescent="0.3">
      <c r="A218" s="5"/>
      <c r="B218" s="3"/>
      <c r="C218" s="9"/>
      <c r="D218" s="6"/>
      <c r="E218" s="8"/>
      <c r="F218" s="3"/>
      <c r="G218" s="3"/>
      <c r="H218" s="9"/>
      <c r="I218" s="9"/>
    </row>
    <row r="219" spans="1:9" ht="30" customHeight="1" x14ac:dyDescent="0.3">
      <c r="A219" s="5"/>
      <c r="B219" s="3"/>
      <c r="C219" s="9"/>
      <c r="D219" s="6"/>
      <c r="E219" s="8"/>
      <c r="F219" s="3"/>
      <c r="G219" s="3"/>
      <c r="H219" s="9"/>
      <c r="I219" s="9"/>
    </row>
    <row r="220" spans="1:9" ht="30" customHeight="1" x14ac:dyDescent="0.3">
      <c r="A220" s="5"/>
      <c r="B220" s="3"/>
      <c r="C220" s="9"/>
      <c r="D220" s="6"/>
      <c r="E220" s="8"/>
      <c r="F220" s="3"/>
      <c r="G220" s="3"/>
      <c r="H220" s="9"/>
      <c r="I220" s="9"/>
    </row>
    <row r="221" spans="1:9" ht="30" customHeight="1" x14ac:dyDescent="0.3">
      <c r="A221" s="5"/>
      <c r="B221" s="3"/>
      <c r="C221" s="9"/>
      <c r="D221" s="6"/>
      <c r="E221" s="8"/>
      <c r="F221" s="3"/>
      <c r="G221" s="3"/>
      <c r="H221" s="9"/>
      <c r="I221" s="9"/>
    </row>
    <row r="222" spans="1:9" ht="30" customHeight="1" x14ac:dyDescent="0.3">
      <c r="A222" s="5"/>
      <c r="B222" s="3"/>
      <c r="C222" s="9"/>
      <c r="D222" s="6"/>
      <c r="E222" s="8"/>
      <c r="F222" s="3"/>
      <c r="G222" s="3"/>
      <c r="H222" s="9"/>
      <c r="I222" s="9"/>
    </row>
    <row r="223" spans="1:9" ht="30" customHeight="1" x14ac:dyDescent="0.3">
      <c r="A223" s="5"/>
      <c r="B223" s="3"/>
      <c r="C223" s="9"/>
      <c r="D223" s="6"/>
      <c r="E223" s="8"/>
      <c r="F223" s="3"/>
      <c r="G223" s="3"/>
      <c r="H223" s="9"/>
      <c r="I223" s="9"/>
    </row>
    <row r="224" spans="1:9" ht="30" customHeight="1" x14ac:dyDescent="0.3">
      <c r="A224" s="5"/>
      <c r="B224" s="3"/>
      <c r="C224" s="9"/>
      <c r="D224" s="6"/>
      <c r="E224" s="8"/>
      <c r="F224" s="3"/>
      <c r="G224" s="3"/>
      <c r="H224" s="9"/>
      <c r="I224" s="9"/>
    </row>
    <row r="225" spans="1:9" ht="30" customHeight="1" x14ac:dyDescent="0.3">
      <c r="A225" s="5"/>
      <c r="B225" s="3"/>
      <c r="C225" s="9"/>
      <c r="D225" s="6"/>
      <c r="E225" s="8"/>
      <c r="F225" s="3"/>
      <c r="G225" s="3"/>
      <c r="H225" s="9"/>
      <c r="I225" s="9"/>
    </row>
    <row r="226" spans="1:9" ht="30" customHeight="1" x14ac:dyDescent="0.3">
      <c r="A226" s="5"/>
      <c r="B226" s="3"/>
      <c r="C226" s="9"/>
      <c r="D226" s="6"/>
      <c r="E226" s="8"/>
      <c r="F226" s="3"/>
      <c r="G226" s="3"/>
      <c r="H226" s="9"/>
      <c r="I226" s="9"/>
    </row>
    <row r="227" spans="1:9" ht="30" customHeight="1" x14ac:dyDescent="0.3">
      <c r="A227" s="5"/>
      <c r="B227" s="3"/>
      <c r="C227" s="9"/>
      <c r="D227" s="6"/>
      <c r="E227" s="8"/>
      <c r="F227" s="3"/>
      <c r="G227" s="3"/>
      <c r="H227" s="9"/>
      <c r="I227" s="9"/>
    </row>
    <row r="228" spans="1:9" ht="30" customHeight="1" x14ac:dyDescent="0.3">
      <c r="A228" s="5"/>
      <c r="B228" s="3"/>
      <c r="C228" s="9"/>
      <c r="D228" s="6"/>
      <c r="E228" s="8"/>
      <c r="F228" s="3"/>
      <c r="G228" s="3"/>
      <c r="H228" s="9"/>
      <c r="I228" s="9"/>
    </row>
    <row r="229" spans="1:9" ht="30" customHeight="1" x14ac:dyDescent="0.3">
      <c r="A229" s="5"/>
      <c r="B229" s="3"/>
      <c r="C229" s="9"/>
      <c r="D229" s="6"/>
      <c r="E229" s="8"/>
      <c r="F229" s="3"/>
      <c r="G229" s="3"/>
      <c r="H229" s="9"/>
      <c r="I229" s="9"/>
    </row>
    <row r="230" spans="1:9" ht="30" customHeight="1" x14ac:dyDescent="0.3">
      <c r="A230" s="5"/>
      <c r="B230" s="3"/>
      <c r="C230" s="9"/>
      <c r="D230" s="6"/>
      <c r="E230" s="8"/>
      <c r="F230" s="3"/>
      <c r="G230" s="3"/>
      <c r="H230" s="9"/>
      <c r="I230" s="9"/>
    </row>
    <row r="231" spans="1:9" ht="30" customHeight="1" x14ac:dyDescent="0.3">
      <c r="A231" s="5"/>
      <c r="B231" s="3"/>
      <c r="C231" s="9"/>
      <c r="D231" s="6"/>
      <c r="E231" s="8"/>
      <c r="F231" s="3"/>
      <c r="G231" s="3"/>
      <c r="H231" s="9"/>
      <c r="I231" s="9"/>
    </row>
    <row r="232" spans="1:9" ht="30" customHeight="1" x14ac:dyDescent="0.3">
      <c r="A232" s="5"/>
      <c r="B232" s="3"/>
      <c r="C232" s="9"/>
      <c r="D232" s="6"/>
      <c r="E232" s="8"/>
      <c r="F232" s="3"/>
      <c r="G232" s="3"/>
      <c r="H232" s="9"/>
      <c r="I232" s="9"/>
    </row>
    <row r="233" spans="1:9" ht="30" customHeight="1" x14ac:dyDescent="0.3">
      <c r="A233" s="5"/>
      <c r="B233" s="3"/>
      <c r="C233" s="9"/>
      <c r="D233" s="6"/>
      <c r="E233" s="8"/>
      <c r="F233" s="3"/>
      <c r="G233" s="3"/>
      <c r="H233" s="9"/>
      <c r="I233" s="9"/>
    </row>
    <row r="234" spans="1:9" ht="30" customHeight="1" x14ac:dyDescent="0.3">
      <c r="A234" s="5"/>
      <c r="B234" s="3"/>
      <c r="C234" s="9"/>
      <c r="D234" s="6"/>
      <c r="E234" s="8"/>
      <c r="F234" s="3"/>
      <c r="G234" s="3"/>
      <c r="H234" s="9"/>
      <c r="I234" s="9"/>
    </row>
    <row r="235" spans="1:9" ht="30" customHeight="1" x14ac:dyDescent="0.3">
      <c r="A235" s="5"/>
      <c r="B235" s="3"/>
      <c r="C235" s="9"/>
      <c r="D235" s="6"/>
      <c r="E235" s="8"/>
      <c r="F235" s="3"/>
      <c r="G235" s="3"/>
      <c r="H235" s="9"/>
      <c r="I235" s="9"/>
    </row>
    <row r="236" spans="1:9" ht="30" customHeight="1" x14ac:dyDescent="0.3">
      <c r="A236" s="5"/>
      <c r="B236" s="3"/>
      <c r="C236" s="9"/>
      <c r="D236" s="6"/>
      <c r="E236" s="8"/>
      <c r="F236" s="3"/>
      <c r="G236" s="3"/>
      <c r="H236" s="9"/>
      <c r="I236" s="9"/>
    </row>
    <row r="237" spans="1:9" ht="30" customHeight="1" x14ac:dyDescent="0.3">
      <c r="A237" s="5"/>
      <c r="B237" s="3"/>
      <c r="C237" s="9"/>
      <c r="D237" s="6"/>
      <c r="E237" s="8"/>
      <c r="F237" s="3"/>
      <c r="G237" s="3"/>
      <c r="H237" s="9"/>
      <c r="I237" s="9"/>
    </row>
    <row r="238" spans="1:9" ht="30" customHeight="1" x14ac:dyDescent="0.3">
      <c r="A238" s="5"/>
      <c r="B238" s="3"/>
      <c r="C238" s="9"/>
      <c r="D238" s="6"/>
      <c r="E238" s="8"/>
      <c r="F238" s="3"/>
      <c r="G238" s="3"/>
      <c r="H238" s="9"/>
      <c r="I238" s="9"/>
    </row>
    <row r="239" spans="1:9" ht="30" customHeight="1" x14ac:dyDescent="0.3">
      <c r="A239" s="5"/>
      <c r="B239" s="3"/>
      <c r="C239" s="9"/>
      <c r="D239" s="6"/>
      <c r="E239" s="8"/>
      <c r="F239" s="3"/>
      <c r="G239" s="3"/>
      <c r="H239" s="9"/>
      <c r="I239" s="9"/>
    </row>
    <row r="240" spans="1:9" ht="30" customHeight="1" x14ac:dyDescent="0.3">
      <c r="A240" s="5"/>
      <c r="B240" s="3"/>
      <c r="C240" s="9"/>
      <c r="D240" s="6"/>
      <c r="E240" s="8"/>
      <c r="F240" s="3"/>
      <c r="G240" s="3"/>
      <c r="H240" s="9"/>
      <c r="I240" s="9"/>
    </row>
    <row r="241" spans="1:9" ht="30" customHeight="1" x14ac:dyDescent="0.3">
      <c r="A241" s="5"/>
      <c r="B241" s="3"/>
      <c r="C241" s="9"/>
      <c r="D241" s="6"/>
      <c r="E241" s="8"/>
      <c r="F241" s="3"/>
      <c r="G241" s="3"/>
      <c r="H241" s="9"/>
      <c r="I241" s="9"/>
    </row>
    <row r="242" spans="1:9" ht="30" customHeight="1" x14ac:dyDescent="0.3">
      <c r="A242" s="5"/>
      <c r="B242" s="3"/>
      <c r="C242" s="9"/>
      <c r="D242" s="6"/>
      <c r="E242" s="8"/>
      <c r="F242" s="3"/>
      <c r="G242" s="3"/>
      <c r="H242" s="9"/>
      <c r="I242" s="9"/>
    </row>
    <row r="243" spans="1:9" ht="30" customHeight="1" x14ac:dyDescent="0.3">
      <c r="A243" s="5"/>
      <c r="B243" s="3"/>
      <c r="C243" s="9"/>
      <c r="D243" s="6"/>
      <c r="E243" s="8"/>
      <c r="F243" s="3"/>
      <c r="G243" s="3"/>
      <c r="H243" s="9"/>
      <c r="I243" s="9"/>
    </row>
    <row r="244" spans="1:9" ht="30" customHeight="1" x14ac:dyDescent="0.3">
      <c r="A244" s="5"/>
      <c r="B244" s="3"/>
      <c r="C244" s="9"/>
      <c r="D244" s="6"/>
      <c r="E244" s="8"/>
      <c r="F244" s="3"/>
      <c r="G244" s="3"/>
      <c r="H244" s="9"/>
      <c r="I244" s="9"/>
    </row>
    <row r="245" spans="1:9" ht="30" customHeight="1" x14ac:dyDescent="0.3">
      <c r="A245" s="5"/>
      <c r="B245" s="3"/>
      <c r="C245" s="9"/>
      <c r="D245" s="6"/>
      <c r="E245" s="8"/>
      <c r="F245" s="3"/>
      <c r="G245" s="3"/>
      <c r="H245" s="9"/>
      <c r="I245" s="9"/>
    </row>
    <row r="246" spans="1:9" ht="30" customHeight="1" x14ac:dyDescent="0.3">
      <c r="A246" s="5"/>
      <c r="B246" s="3"/>
      <c r="C246" s="9"/>
      <c r="D246" s="6"/>
      <c r="E246" s="8"/>
      <c r="F246" s="3"/>
      <c r="G246" s="3"/>
      <c r="H246" s="9"/>
      <c r="I246" s="9"/>
    </row>
    <row r="247" spans="1:9" ht="30" customHeight="1" x14ac:dyDescent="0.3">
      <c r="A247" s="5"/>
      <c r="B247" s="3"/>
      <c r="C247" s="9"/>
      <c r="D247" s="6"/>
      <c r="E247" s="8"/>
      <c r="F247" s="3"/>
      <c r="G247" s="3"/>
      <c r="H247" s="9"/>
      <c r="I247" s="9"/>
    </row>
    <row r="248" spans="1:9" ht="30" customHeight="1" x14ac:dyDescent="0.3">
      <c r="A248" s="5"/>
      <c r="B248" s="3"/>
      <c r="C248" s="9"/>
      <c r="D248" s="6"/>
      <c r="E248" s="8"/>
      <c r="F248" s="3"/>
      <c r="G248" s="3"/>
      <c r="H248" s="9"/>
      <c r="I248" s="9"/>
    </row>
    <row r="249" spans="1:9" ht="30" customHeight="1" x14ac:dyDescent="0.3">
      <c r="A249" s="5"/>
      <c r="B249" s="3"/>
      <c r="C249" s="9"/>
      <c r="D249" s="6"/>
      <c r="E249" s="8"/>
      <c r="F249" s="3"/>
      <c r="G249" s="3"/>
      <c r="H249" s="9"/>
      <c r="I249" s="9"/>
    </row>
    <row r="250" spans="1:9" ht="30" customHeight="1" x14ac:dyDescent="0.3">
      <c r="A250" s="5"/>
      <c r="B250" s="3"/>
      <c r="C250" s="9"/>
      <c r="D250" s="6"/>
      <c r="E250" s="8"/>
      <c r="F250" s="3"/>
      <c r="G250" s="3"/>
      <c r="H250" s="9"/>
      <c r="I250" s="9"/>
    </row>
    <row r="251" spans="1:9" ht="30" customHeight="1" x14ac:dyDescent="0.3">
      <c r="A251" s="5"/>
      <c r="B251" s="3"/>
      <c r="C251" s="9"/>
      <c r="D251" s="6"/>
      <c r="E251" s="8"/>
      <c r="F251" s="3"/>
      <c r="G251" s="3"/>
      <c r="H251" s="9"/>
      <c r="I251" s="9"/>
    </row>
    <row r="252" spans="1:9" ht="30" customHeight="1" x14ac:dyDescent="0.3">
      <c r="A252" s="5"/>
      <c r="B252" s="3"/>
      <c r="C252" s="9"/>
      <c r="D252" s="6"/>
      <c r="E252" s="8"/>
      <c r="F252" s="3"/>
      <c r="G252" s="3"/>
      <c r="H252" s="9"/>
      <c r="I252" s="9"/>
    </row>
    <row r="253" spans="1:9" ht="30" customHeight="1" x14ac:dyDescent="0.3">
      <c r="A253" s="5"/>
      <c r="B253" s="3"/>
      <c r="C253" s="9"/>
      <c r="D253" s="6"/>
      <c r="E253" s="8"/>
      <c r="F253" s="3"/>
      <c r="G253" s="3"/>
      <c r="H253" s="9"/>
      <c r="I253" s="9"/>
    </row>
    <row r="254" spans="1:9" ht="30" customHeight="1" x14ac:dyDescent="0.3">
      <c r="A254" s="5"/>
      <c r="B254" s="3"/>
      <c r="C254" s="9"/>
      <c r="D254" s="6"/>
      <c r="E254" s="8"/>
      <c r="F254" s="3"/>
      <c r="G254" s="3"/>
      <c r="H254" s="9"/>
      <c r="I254" s="9"/>
    </row>
    <row r="255" spans="1:9" ht="30" customHeight="1" x14ac:dyDescent="0.3">
      <c r="A255" s="5"/>
      <c r="B255" s="3"/>
      <c r="C255" s="9"/>
      <c r="D255" s="6"/>
      <c r="E255" s="8"/>
      <c r="F255" s="3"/>
      <c r="G255" s="3"/>
      <c r="H255" s="9"/>
      <c r="I255" s="9"/>
    </row>
    <row r="256" spans="1:9" ht="30" customHeight="1" x14ac:dyDescent="0.3">
      <c r="A256" s="5"/>
      <c r="B256" s="3"/>
      <c r="C256" s="9"/>
      <c r="D256" s="6"/>
      <c r="E256" s="8"/>
      <c r="F256" s="3"/>
      <c r="G256" s="3"/>
      <c r="H256" s="9"/>
      <c r="I256" s="9"/>
    </row>
    <row r="257" spans="1:9" ht="30" customHeight="1" x14ac:dyDescent="0.3">
      <c r="A257" s="5"/>
      <c r="B257" s="3"/>
      <c r="C257" s="9"/>
      <c r="D257" s="6"/>
      <c r="E257" s="8"/>
      <c r="F257" s="3"/>
      <c r="G257" s="3"/>
      <c r="H257" s="9"/>
      <c r="I257" s="9"/>
    </row>
    <row r="258" spans="1:9" ht="30" customHeight="1" x14ac:dyDescent="0.3">
      <c r="A258" s="5"/>
      <c r="B258" s="3"/>
      <c r="C258" s="9"/>
      <c r="D258" s="6"/>
      <c r="E258" s="8"/>
      <c r="F258" s="3"/>
      <c r="G258" s="3"/>
      <c r="H258" s="9"/>
      <c r="I258" s="9"/>
    </row>
    <row r="259" spans="1:9" ht="30" customHeight="1" x14ac:dyDescent="0.3">
      <c r="A259" s="5"/>
      <c r="B259" s="3"/>
      <c r="C259" s="9"/>
      <c r="D259" s="6"/>
      <c r="E259" s="8"/>
      <c r="F259" s="3"/>
      <c r="G259" s="3"/>
      <c r="H259" s="9"/>
      <c r="I259" s="9"/>
    </row>
    <row r="260" spans="1:9" ht="30" customHeight="1" x14ac:dyDescent="0.3">
      <c r="A260" s="5"/>
      <c r="B260" s="3"/>
      <c r="C260" s="9"/>
      <c r="D260" s="6"/>
      <c r="E260" s="8"/>
      <c r="F260" s="3"/>
      <c r="G260" s="3"/>
      <c r="H260" s="9"/>
      <c r="I260" s="9"/>
    </row>
    <row r="261" spans="1:9" ht="30" customHeight="1" x14ac:dyDescent="0.3">
      <c r="A261" s="5"/>
      <c r="B261" s="3"/>
      <c r="C261" s="9"/>
      <c r="D261" s="6"/>
      <c r="E261" s="8"/>
      <c r="F261" s="3"/>
      <c r="G261" s="3"/>
      <c r="H261" s="9"/>
      <c r="I261" s="9"/>
    </row>
    <row r="262" spans="1:9" ht="30" customHeight="1" x14ac:dyDescent="0.3">
      <c r="A262" s="5"/>
      <c r="B262" s="3"/>
      <c r="C262" s="9"/>
      <c r="D262" s="6"/>
      <c r="E262" s="8"/>
      <c r="F262" s="3"/>
      <c r="G262" s="3"/>
      <c r="H262" s="9"/>
      <c r="I262" s="9"/>
    </row>
    <row r="263" spans="1:9" ht="30" customHeight="1" x14ac:dyDescent="0.3">
      <c r="A263" s="5"/>
      <c r="B263" s="3"/>
      <c r="C263" s="9"/>
      <c r="D263" s="6"/>
      <c r="E263" s="8"/>
      <c r="F263" s="3"/>
      <c r="G263" s="3"/>
      <c r="H263" s="9"/>
      <c r="I263" s="9"/>
    </row>
    <row r="264" spans="1:9" ht="30" customHeight="1" x14ac:dyDescent="0.3">
      <c r="A264" s="5"/>
      <c r="B264" s="3"/>
      <c r="C264" s="9"/>
      <c r="D264" s="6"/>
      <c r="E264" s="8"/>
      <c r="F264" s="3"/>
      <c r="G264" s="3"/>
      <c r="H264" s="9"/>
      <c r="I264" s="9"/>
    </row>
    <row r="265" spans="1:9" ht="30" customHeight="1" x14ac:dyDescent="0.3">
      <c r="A265" s="5"/>
      <c r="B265" s="3"/>
      <c r="C265" s="9"/>
      <c r="D265" s="6"/>
      <c r="E265" s="8"/>
      <c r="F265" s="3"/>
      <c r="G265" s="3"/>
      <c r="H265" s="9"/>
      <c r="I265" s="9"/>
    </row>
    <row r="266" spans="1:9" ht="30" customHeight="1" x14ac:dyDescent="0.3">
      <c r="A266" s="5"/>
      <c r="B266" s="3"/>
      <c r="C266" s="9"/>
      <c r="D266" s="6"/>
      <c r="E266" s="8"/>
      <c r="F266" s="3"/>
      <c r="G266" s="3"/>
      <c r="H266" s="9"/>
      <c r="I266" s="9"/>
    </row>
    <row r="267" spans="1:9" ht="30" customHeight="1" x14ac:dyDescent="0.3">
      <c r="A267" s="5"/>
      <c r="B267" s="3"/>
      <c r="C267" s="9"/>
      <c r="D267" s="6"/>
      <c r="E267" s="8"/>
      <c r="F267" s="3"/>
      <c r="G267" s="3"/>
      <c r="H267" s="9"/>
      <c r="I267" s="9"/>
    </row>
    <row r="268" spans="1:9" ht="30" customHeight="1" x14ac:dyDescent="0.3">
      <c r="A268" s="5"/>
      <c r="B268" s="3"/>
      <c r="C268" s="9"/>
      <c r="D268" s="6"/>
      <c r="E268" s="8"/>
      <c r="F268" s="3"/>
      <c r="G268" s="3"/>
      <c r="H268" s="9"/>
      <c r="I268" s="9"/>
    </row>
    <row r="269" spans="1:9" ht="30" customHeight="1" x14ac:dyDescent="0.3">
      <c r="A269" s="5"/>
      <c r="B269" s="3"/>
      <c r="C269" s="9"/>
      <c r="D269" s="6"/>
      <c r="E269" s="8"/>
      <c r="F269" s="3"/>
      <c r="G269" s="3"/>
      <c r="H269" s="9"/>
      <c r="I269" s="9"/>
    </row>
    <row r="270" spans="1:9" ht="30" customHeight="1" x14ac:dyDescent="0.3">
      <c r="A270" s="5"/>
      <c r="B270" s="3"/>
      <c r="C270" s="9"/>
      <c r="D270" s="6"/>
      <c r="E270" s="8"/>
      <c r="F270" s="3"/>
      <c r="G270" s="3"/>
      <c r="H270" s="9"/>
      <c r="I270" s="9"/>
    </row>
    <row r="271" spans="1:9" ht="30" customHeight="1" x14ac:dyDescent="0.3">
      <c r="A271" s="5"/>
      <c r="B271" s="3"/>
      <c r="C271" s="9"/>
      <c r="D271" s="6"/>
      <c r="E271" s="8"/>
      <c r="F271" s="3"/>
      <c r="G271" s="3"/>
      <c r="H271" s="9"/>
      <c r="I271" s="9"/>
    </row>
    <row r="272" spans="1:9" ht="30" customHeight="1" x14ac:dyDescent="0.3">
      <c r="A272" s="5"/>
      <c r="B272" s="3"/>
      <c r="C272" s="9"/>
      <c r="D272" s="6"/>
      <c r="E272" s="8"/>
      <c r="F272" s="3"/>
      <c r="G272" s="3"/>
      <c r="H272" s="9"/>
      <c r="I272" s="9"/>
    </row>
    <row r="273" spans="1:9" ht="30" customHeight="1" x14ac:dyDescent="0.3">
      <c r="A273" s="5"/>
      <c r="B273" s="3"/>
      <c r="C273" s="9"/>
      <c r="D273" s="6"/>
      <c r="E273" s="8"/>
      <c r="F273" s="3"/>
      <c r="G273" s="3"/>
      <c r="H273" s="9"/>
      <c r="I273" s="9"/>
    </row>
    <row r="274" spans="1:9" ht="30" customHeight="1" x14ac:dyDescent="0.3">
      <c r="A274" s="5"/>
      <c r="B274" s="3"/>
      <c r="C274" s="9"/>
      <c r="D274" s="6"/>
      <c r="E274" s="8"/>
      <c r="F274" s="3"/>
      <c r="G274" s="3"/>
      <c r="H274" s="9"/>
      <c r="I274" s="9"/>
    </row>
    <row r="275" spans="1:9" ht="30" customHeight="1" x14ac:dyDescent="0.3">
      <c r="A275" s="2"/>
      <c r="B275" s="2"/>
      <c r="C275" s="9"/>
      <c r="D275" s="12"/>
      <c r="E275" s="10"/>
      <c r="F275" s="2"/>
      <c r="G275" s="2"/>
      <c r="H275" s="9"/>
      <c r="I275" s="9"/>
    </row>
    <row r="276" spans="1:9" ht="30" customHeight="1" x14ac:dyDescent="0.3">
      <c r="A276" s="2"/>
      <c r="B276" s="2"/>
      <c r="C276" s="9"/>
      <c r="D276" s="12"/>
      <c r="E276" s="10"/>
      <c r="F276" s="2"/>
      <c r="G276" s="2"/>
      <c r="H276" s="9"/>
      <c r="I276" s="9"/>
    </row>
    <row r="277" spans="1:9" ht="30" customHeight="1" x14ac:dyDescent="0.3">
      <c r="A277" s="2"/>
      <c r="B277" s="2"/>
      <c r="C277" s="9"/>
      <c r="D277" s="12"/>
      <c r="E277" s="10"/>
      <c r="F277" s="2"/>
      <c r="G277" s="2"/>
      <c r="H277" s="9"/>
      <c r="I277" s="9"/>
    </row>
    <row r="278" spans="1:9" ht="30" customHeight="1" x14ac:dyDescent="0.3">
      <c r="A278" s="2"/>
      <c r="B278" s="2"/>
      <c r="C278" s="9"/>
      <c r="D278" s="12"/>
      <c r="E278" s="10"/>
      <c r="F278" s="2"/>
      <c r="G278" s="2"/>
      <c r="H278" s="9"/>
      <c r="I278" s="9"/>
    </row>
    <row r="279" spans="1:9" ht="30" customHeight="1" x14ac:dyDescent="0.3">
      <c r="A279" s="2"/>
      <c r="B279" s="2"/>
      <c r="C279" s="9"/>
      <c r="D279" s="12"/>
      <c r="E279" s="10"/>
      <c r="F279" s="2"/>
      <c r="G279" s="2"/>
      <c r="H279" s="9"/>
      <c r="I279" s="9"/>
    </row>
    <row r="280" spans="1:9" ht="30" customHeight="1" x14ac:dyDescent="0.3">
      <c r="A280" s="2"/>
      <c r="B280" s="2"/>
      <c r="C280" s="9"/>
      <c r="D280" s="12"/>
      <c r="E280" s="10"/>
      <c r="F280" s="2"/>
      <c r="G280" s="2"/>
      <c r="H280" s="9"/>
      <c r="I280" s="9"/>
    </row>
    <row r="281" spans="1:9" ht="30" customHeight="1" x14ac:dyDescent="0.3">
      <c r="A281" s="2"/>
      <c r="B281" s="2"/>
      <c r="C281" s="9"/>
      <c r="D281" s="2"/>
      <c r="E281" s="10"/>
      <c r="F281" s="2"/>
      <c r="G281" s="2"/>
      <c r="H281" s="9"/>
      <c r="I281" s="9"/>
    </row>
    <row r="282" spans="1:9" ht="30" customHeight="1" x14ac:dyDescent="0.3">
      <c r="A282" s="2"/>
      <c r="B282" s="2"/>
      <c r="C282" s="9"/>
      <c r="D282" s="2"/>
      <c r="E282" s="10"/>
      <c r="F282" s="2"/>
      <c r="G282" s="2"/>
      <c r="H282" s="9"/>
      <c r="I282" s="9"/>
    </row>
    <row r="283" spans="1:9" x14ac:dyDescent="0.3">
      <c r="A283" s="9"/>
      <c r="B283" s="9"/>
      <c r="C283" s="9"/>
      <c r="D283" s="9"/>
      <c r="E283" s="9"/>
      <c r="F283" s="9"/>
      <c r="G283" s="9"/>
      <c r="H283" s="9"/>
      <c r="I283" s="9"/>
    </row>
    <row r="284" spans="1:9" x14ac:dyDescent="0.3">
      <c r="A284" s="9"/>
      <c r="B284" s="9"/>
      <c r="C284" s="9"/>
      <c r="D284" s="9"/>
      <c r="E284" s="9"/>
      <c r="F284" s="9"/>
      <c r="G284" s="9"/>
      <c r="H284" s="9"/>
      <c r="I284" s="9"/>
    </row>
    <row r="285" spans="1:9" x14ac:dyDescent="0.3">
      <c r="A285" s="9"/>
      <c r="B285" s="9"/>
      <c r="C285" s="9"/>
      <c r="D285" s="9"/>
      <c r="E285" s="9"/>
      <c r="F285" s="9"/>
      <c r="G285" s="9"/>
      <c r="H285" s="9"/>
      <c r="I285" s="9"/>
    </row>
    <row r="286" spans="1:9" x14ac:dyDescent="0.3">
      <c r="A286" s="9"/>
      <c r="B286" s="9"/>
      <c r="C286" s="9"/>
      <c r="D286" s="9"/>
      <c r="E286" s="9"/>
      <c r="F286" s="9"/>
      <c r="G286" s="9"/>
      <c r="H286" s="9"/>
      <c r="I286" s="9"/>
    </row>
    <row r="287" spans="1:9" x14ac:dyDescent="0.3">
      <c r="A287" s="9"/>
      <c r="B287" s="9"/>
      <c r="C287" s="9"/>
      <c r="D287" s="9"/>
      <c r="E287" s="9"/>
      <c r="F287" s="9"/>
      <c r="G287" s="9"/>
      <c r="H287" s="9"/>
      <c r="I287" s="9"/>
    </row>
    <row r="288" spans="1:9" x14ac:dyDescent="0.3">
      <c r="A288" s="9"/>
      <c r="B288" s="9"/>
      <c r="C288" s="9"/>
      <c r="D288" s="9"/>
      <c r="E288" s="9"/>
      <c r="F288" s="9"/>
      <c r="G288" s="9"/>
      <c r="H288" s="9"/>
      <c r="I288" s="9"/>
    </row>
    <row r="289" spans="1:9" x14ac:dyDescent="0.3">
      <c r="A289" s="9"/>
      <c r="B289" s="9"/>
      <c r="C289" s="9"/>
      <c r="D289" s="9"/>
      <c r="E289" s="9"/>
      <c r="F289" s="9"/>
      <c r="G289" s="9"/>
      <c r="H289" s="9"/>
      <c r="I289" s="9"/>
    </row>
    <row r="290" spans="1:9" x14ac:dyDescent="0.3">
      <c r="A290" s="9"/>
      <c r="B290" s="9"/>
      <c r="C290" s="9"/>
      <c r="D290" s="9"/>
      <c r="E290" s="9"/>
      <c r="F290" s="9"/>
      <c r="G290" s="9"/>
      <c r="H290" s="9"/>
      <c r="I290" s="9"/>
    </row>
    <row r="291" spans="1:9" x14ac:dyDescent="0.3">
      <c r="A291" s="9"/>
      <c r="B291" s="9"/>
      <c r="C291" s="9"/>
      <c r="D291" s="9"/>
      <c r="E291" s="9"/>
      <c r="F291" s="9"/>
      <c r="G291" s="9"/>
      <c r="H291" s="9"/>
      <c r="I291" s="9"/>
    </row>
    <row r="292" spans="1:9" x14ac:dyDescent="0.3">
      <c r="A292" s="9"/>
      <c r="B292" s="9"/>
      <c r="C292" s="9"/>
      <c r="D292" s="9"/>
      <c r="E292" s="9"/>
      <c r="F292" s="9"/>
      <c r="G292" s="9"/>
      <c r="H292" s="9"/>
      <c r="I292" s="9"/>
    </row>
    <row r="293" spans="1:9" x14ac:dyDescent="0.3">
      <c r="A293" s="9"/>
      <c r="B293" s="9"/>
      <c r="C293" s="9"/>
      <c r="D293" s="9"/>
      <c r="E293" s="9"/>
      <c r="F293" s="9"/>
      <c r="G293" s="9"/>
      <c r="H293" s="9"/>
      <c r="I293" s="9"/>
    </row>
    <row r="294" spans="1:9" x14ac:dyDescent="0.3">
      <c r="A294" s="9"/>
      <c r="B294" s="9"/>
      <c r="C294" s="9"/>
      <c r="D294" s="9"/>
      <c r="E294" s="9"/>
      <c r="F294" s="9"/>
      <c r="G294" s="9"/>
      <c r="H294" s="9"/>
      <c r="I294" s="9"/>
    </row>
    <row r="295" spans="1:9" x14ac:dyDescent="0.3">
      <c r="A295" s="9"/>
      <c r="B295" s="9"/>
      <c r="C295" s="9"/>
      <c r="D295" s="9"/>
      <c r="E295" s="9"/>
      <c r="F295" s="9"/>
      <c r="G295" s="9"/>
      <c r="H295" s="9"/>
      <c r="I295" s="9"/>
    </row>
    <row r="296" spans="1:9" x14ac:dyDescent="0.3">
      <c r="A296" s="9"/>
      <c r="B296" s="9"/>
      <c r="C296" s="9"/>
      <c r="D296" s="9"/>
      <c r="E296" s="9"/>
      <c r="F296" s="9"/>
      <c r="G296" s="9"/>
      <c r="H296" s="9"/>
      <c r="I296" s="9"/>
    </row>
    <row r="297" spans="1:9" x14ac:dyDescent="0.3">
      <c r="A297" s="9"/>
      <c r="B297" s="9"/>
      <c r="C297" s="9"/>
      <c r="D297" s="9"/>
      <c r="E297" s="9"/>
      <c r="F297" s="9"/>
      <c r="G297" s="9"/>
      <c r="H297" s="9"/>
      <c r="I297" s="9"/>
    </row>
    <row r="298" spans="1:9" x14ac:dyDescent="0.3">
      <c r="A298" s="9"/>
      <c r="B298" s="9"/>
      <c r="C298" s="9"/>
      <c r="D298" s="9"/>
      <c r="E298" s="9"/>
      <c r="F298" s="9"/>
      <c r="G298" s="9"/>
      <c r="H298" s="9"/>
      <c r="I298" s="9"/>
    </row>
    <row r="299" spans="1:9" x14ac:dyDescent="0.3">
      <c r="A299" s="9"/>
      <c r="B299" s="9"/>
      <c r="C299" s="9"/>
      <c r="D299" s="9"/>
      <c r="E299" s="9"/>
      <c r="F299" s="9"/>
      <c r="G299" s="9"/>
      <c r="H299" s="9"/>
      <c r="I299" s="9"/>
    </row>
    <row r="300" spans="1:9" x14ac:dyDescent="0.3">
      <c r="A300" s="9"/>
      <c r="B300" s="9"/>
      <c r="C300" s="9"/>
      <c r="D300" s="9"/>
      <c r="E300" s="9"/>
      <c r="F300" s="9"/>
      <c r="G300" s="9"/>
      <c r="H300" s="9"/>
      <c r="I300" s="9"/>
    </row>
    <row r="301" spans="1:9" x14ac:dyDescent="0.3">
      <c r="A301" s="9"/>
      <c r="B301" s="9"/>
      <c r="C301" s="9"/>
      <c r="D301" s="9"/>
      <c r="E301" s="9"/>
      <c r="F301" s="9"/>
      <c r="G301" s="9"/>
      <c r="H301" s="9"/>
      <c r="I301" s="9"/>
    </row>
    <row r="302" spans="1:9" x14ac:dyDescent="0.3">
      <c r="A302" s="9"/>
      <c r="B302" s="9"/>
      <c r="C302" s="9"/>
      <c r="D302" s="9"/>
      <c r="E302" s="9"/>
      <c r="F302" s="9"/>
      <c r="G302" s="9"/>
      <c r="H302" s="9"/>
      <c r="I302" s="9"/>
    </row>
    <row r="303" spans="1:9" x14ac:dyDescent="0.3">
      <c r="A303" s="9"/>
      <c r="B303" s="9"/>
      <c r="C303" s="9"/>
      <c r="D303" s="9"/>
      <c r="E303" s="9"/>
      <c r="F303" s="9"/>
      <c r="G303" s="9"/>
      <c r="H303" s="9"/>
      <c r="I303" s="9"/>
    </row>
    <row r="304" spans="1:9" x14ac:dyDescent="0.3">
      <c r="A304" s="9"/>
      <c r="B304" s="9"/>
      <c r="C304" s="9"/>
      <c r="D304" s="9"/>
      <c r="E304" s="9"/>
      <c r="F304" s="9"/>
      <c r="G304" s="9"/>
      <c r="H304" s="9"/>
      <c r="I304" s="9"/>
    </row>
    <row r="305" spans="1:9" x14ac:dyDescent="0.3">
      <c r="A305" s="9"/>
      <c r="B305" s="9"/>
      <c r="C305" s="9"/>
      <c r="D305" s="9"/>
      <c r="E305" s="9"/>
      <c r="F305" s="9"/>
      <c r="G305" s="9"/>
      <c r="H305" s="9"/>
      <c r="I305" s="9"/>
    </row>
    <row r="306" spans="1:9" x14ac:dyDescent="0.3">
      <c r="A306" s="9"/>
      <c r="B306" s="9"/>
      <c r="C306" s="9"/>
      <c r="D306" s="9"/>
      <c r="E306" s="9"/>
      <c r="F306" s="9"/>
      <c r="G306" s="9"/>
      <c r="H306" s="9"/>
      <c r="I306" s="9"/>
    </row>
    <row r="307" spans="1:9" x14ac:dyDescent="0.3">
      <c r="A307" s="9"/>
      <c r="B307" s="9"/>
      <c r="C307" s="9"/>
      <c r="D307" s="9"/>
      <c r="E307" s="9"/>
      <c r="F307" s="9"/>
      <c r="G307" s="9"/>
      <c r="H307" s="9"/>
      <c r="I307" s="9"/>
    </row>
    <row r="308" spans="1:9" x14ac:dyDescent="0.3">
      <c r="A308" s="9"/>
      <c r="B308" s="9"/>
      <c r="C308" s="9"/>
      <c r="D308" s="9"/>
      <c r="E308" s="9"/>
      <c r="F308" s="9"/>
      <c r="G308" s="9"/>
      <c r="H308" s="9"/>
      <c r="I308" s="9"/>
    </row>
    <row r="309" spans="1:9" x14ac:dyDescent="0.3">
      <c r="A309" s="9"/>
      <c r="B309" s="9"/>
      <c r="C309" s="9"/>
      <c r="D309" s="9"/>
      <c r="E309" s="9"/>
      <c r="F309" s="9"/>
      <c r="G309" s="9"/>
      <c r="H309" s="9"/>
      <c r="I309" s="9"/>
    </row>
    <row r="310" spans="1:9" x14ac:dyDescent="0.3">
      <c r="A310" s="9"/>
      <c r="B310" s="9"/>
      <c r="C310" s="9"/>
      <c r="D310" s="9"/>
      <c r="E310" s="9"/>
      <c r="F310" s="9"/>
      <c r="G310" s="9"/>
      <c r="H310" s="9"/>
      <c r="I310" s="9"/>
    </row>
    <row r="311" spans="1:9" x14ac:dyDescent="0.3">
      <c r="A311" s="9"/>
      <c r="B311" s="9"/>
      <c r="C311" s="9"/>
      <c r="D311" s="9"/>
      <c r="E311" s="9"/>
      <c r="F311" s="9"/>
      <c r="G311" s="9"/>
      <c r="H311" s="9"/>
      <c r="I311" s="9"/>
    </row>
    <row r="312" spans="1:9" x14ac:dyDescent="0.3">
      <c r="A312" s="9"/>
      <c r="B312" s="9"/>
      <c r="C312" s="9"/>
      <c r="D312" s="9"/>
      <c r="E312" s="9"/>
      <c r="F312" s="9"/>
      <c r="G312" s="9"/>
      <c r="H312" s="9"/>
      <c r="I312" s="9"/>
    </row>
    <row r="313" spans="1:9" x14ac:dyDescent="0.3">
      <c r="A313" s="9"/>
      <c r="B313" s="9"/>
      <c r="C313" s="9"/>
      <c r="D313" s="9"/>
      <c r="E313" s="9"/>
      <c r="F313" s="9"/>
      <c r="G313" s="9"/>
      <c r="H313" s="9"/>
      <c r="I313" s="9"/>
    </row>
    <row r="314" spans="1:9" x14ac:dyDescent="0.3">
      <c r="A314" s="9"/>
      <c r="B314" s="9"/>
      <c r="C314" s="9"/>
      <c r="D314" s="9"/>
      <c r="E314" s="9"/>
      <c r="F314" s="9"/>
      <c r="G314" s="9"/>
      <c r="H314" s="9"/>
      <c r="I314" s="9"/>
    </row>
    <row r="315" spans="1:9" x14ac:dyDescent="0.3">
      <c r="A315" s="9"/>
      <c r="B315" s="9"/>
      <c r="C315" s="9"/>
      <c r="D315" s="9"/>
      <c r="E315" s="9"/>
      <c r="F315" s="9"/>
      <c r="G315" s="9"/>
      <c r="H315" s="9"/>
      <c r="I315" s="9"/>
    </row>
    <row r="316" spans="1:9" x14ac:dyDescent="0.3">
      <c r="A316" s="9"/>
      <c r="B316" s="9"/>
      <c r="C316" s="9"/>
      <c r="D316" s="9"/>
      <c r="E316" s="9"/>
      <c r="F316" s="9"/>
      <c r="G316" s="9"/>
      <c r="H316" s="9"/>
      <c r="I316" s="9"/>
    </row>
    <row r="317" spans="1:9" x14ac:dyDescent="0.3">
      <c r="A317" s="9"/>
      <c r="B317" s="9"/>
      <c r="C317" s="9"/>
      <c r="D317" s="9"/>
      <c r="E317" s="9"/>
      <c r="F317" s="9"/>
      <c r="G317" s="9"/>
      <c r="H317" s="9"/>
      <c r="I317" s="9"/>
    </row>
    <row r="318" spans="1:9" x14ac:dyDescent="0.3">
      <c r="A318" s="9"/>
      <c r="B318" s="9"/>
      <c r="C318" s="9"/>
      <c r="D318" s="9"/>
      <c r="E318" s="9"/>
      <c r="F318" s="9"/>
      <c r="G318" s="9"/>
      <c r="H318" s="9"/>
      <c r="I318" s="9"/>
    </row>
    <row r="319" spans="1:9" x14ac:dyDescent="0.3">
      <c r="A319" s="9"/>
      <c r="B319" s="9"/>
      <c r="C319" s="9"/>
      <c r="D319" s="9"/>
      <c r="E319" s="9"/>
      <c r="F319" s="9"/>
      <c r="G319" s="9"/>
      <c r="H319" s="9"/>
      <c r="I319" s="9"/>
    </row>
    <row r="320" spans="1:9" x14ac:dyDescent="0.3">
      <c r="A320" s="9"/>
      <c r="B320" s="9"/>
      <c r="C320" s="9"/>
      <c r="D320" s="9"/>
      <c r="E320" s="9"/>
      <c r="F320" s="9"/>
      <c r="G320" s="9"/>
      <c r="H320" s="9"/>
      <c r="I320" s="9"/>
    </row>
    <row r="321" spans="1:9" x14ac:dyDescent="0.3">
      <c r="A321" s="9"/>
      <c r="B321" s="9"/>
      <c r="C321" s="9"/>
      <c r="D321" s="9"/>
      <c r="E321" s="9"/>
      <c r="F321" s="9"/>
      <c r="G321" s="9"/>
      <c r="H321" s="9"/>
      <c r="I321" s="9"/>
    </row>
    <row r="322" spans="1:9" x14ac:dyDescent="0.3">
      <c r="A322" s="9"/>
      <c r="B322" s="9"/>
      <c r="C322" s="9"/>
      <c r="D322" s="9"/>
      <c r="E322" s="9"/>
      <c r="F322" s="9"/>
      <c r="G322" s="9"/>
      <c r="H322" s="9"/>
      <c r="I322" s="9"/>
    </row>
    <row r="323" spans="1:9" x14ac:dyDescent="0.3">
      <c r="A323" s="9"/>
      <c r="B323" s="9"/>
      <c r="C323" s="9"/>
      <c r="D323" s="9"/>
      <c r="E323" s="9"/>
      <c r="F323" s="9"/>
      <c r="G323" s="9"/>
      <c r="H323" s="9"/>
      <c r="I323" s="9"/>
    </row>
    <row r="324" spans="1:9" x14ac:dyDescent="0.3">
      <c r="A324" s="9"/>
      <c r="B324" s="9"/>
      <c r="C324" s="9"/>
      <c r="D324" s="9"/>
      <c r="E324" s="9"/>
      <c r="F324" s="9"/>
      <c r="G324" s="9"/>
      <c r="H324" s="9"/>
      <c r="I324" s="9"/>
    </row>
    <row r="325" spans="1:9" x14ac:dyDescent="0.3">
      <c r="A325" s="9"/>
      <c r="B325" s="9"/>
      <c r="C325" s="9"/>
      <c r="D325" s="9"/>
      <c r="E325" s="9"/>
      <c r="F325" s="9"/>
      <c r="G325" s="9"/>
      <c r="H325" s="9"/>
      <c r="I325" s="9"/>
    </row>
    <row r="326" spans="1:9" x14ac:dyDescent="0.3">
      <c r="A326" s="9"/>
      <c r="B326" s="9"/>
      <c r="C326" s="9"/>
      <c r="D326" s="9"/>
      <c r="E326" s="9"/>
      <c r="F326" s="9"/>
      <c r="G326" s="9"/>
      <c r="H326" s="9"/>
      <c r="I326" s="9"/>
    </row>
    <row r="327" spans="1:9" x14ac:dyDescent="0.3">
      <c r="A327" s="9"/>
      <c r="B327" s="9"/>
      <c r="C327" s="9"/>
      <c r="D327" s="9"/>
      <c r="E327" s="9"/>
      <c r="F327" s="9"/>
      <c r="G327" s="9"/>
      <c r="H327" s="9"/>
      <c r="I327" s="9"/>
    </row>
    <row r="328" spans="1:9" x14ac:dyDescent="0.3">
      <c r="A328" s="9"/>
      <c r="B328" s="9"/>
      <c r="C328" s="9"/>
      <c r="D328" s="9"/>
      <c r="E328" s="9"/>
      <c r="F328" s="9"/>
      <c r="G328" s="9"/>
      <c r="H328" s="9"/>
      <c r="I328" s="9"/>
    </row>
    <row r="329" spans="1:9" x14ac:dyDescent="0.3">
      <c r="A329" s="9"/>
      <c r="B329" s="9"/>
      <c r="C329" s="9"/>
      <c r="D329" s="9"/>
      <c r="E329" s="9"/>
      <c r="F329" s="9"/>
      <c r="G329" s="9"/>
      <c r="H329" s="9"/>
      <c r="I329" s="9"/>
    </row>
    <row r="330" spans="1:9" x14ac:dyDescent="0.3">
      <c r="A330" s="9"/>
      <c r="B330" s="9"/>
      <c r="C330" s="9"/>
      <c r="D330" s="9"/>
      <c r="E330" s="9"/>
      <c r="F330" s="9"/>
      <c r="G330" s="9"/>
      <c r="H330" s="9"/>
      <c r="I330" s="9"/>
    </row>
    <row r="331" spans="1:9" x14ac:dyDescent="0.3">
      <c r="A331" s="9"/>
      <c r="B331" s="9"/>
      <c r="C331" s="9"/>
      <c r="D331" s="9"/>
      <c r="E331" s="9"/>
      <c r="F331" s="9"/>
      <c r="G331" s="9"/>
      <c r="H331" s="9"/>
      <c r="I331" s="9"/>
    </row>
    <row r="332" spans="1:9" x14ac:dyDescent="0.3">
      <c r="A332" s="9"/>
      <c r="B332" s="9"/>
      <c r="C332" s="9"/>
      <c r="D332" s="9"/>
      <c r="E332" s="9"/>
      <c r="F332" s="9"/>
      <c r="G332" s="9"/>
      <c r="H332" s="9"/>
      <c r="I332" s="9"/>
    </row>
    <row r="333" spans="1:9" x14ac:dyDescent="0.3">
      <c r="A333" s="9"/>
      <c r="B333" s="9"/>
      <c r="C333" s="9"/>
      <c r="D333" s="9"/>
      <c r="E333" s="9"/>
      <c r="F333" s="9"/>
      <c r="G333" s="9"/>
      <c r="H333" s="9"/>
      <c r="I333" s="9"/>
    </row>
    <row r="334" spans="1:9" x14ac:dyDescent="0.3">
      <c r="A334" s="9"/>
      <c r="B334" s="9"/>
      <c r="C334" s="9"/>
      <c r="D334" s="9"/>
      <c r="E334" s="9"/>
      <c r="F334" s="9"/>
      <c r="G334" s="9"/>
      <c r="H334" s="9"/>
      <c r="I334" s="9"/>
    </row>
    <row r="335" spans="1:9" x14ac:dyDescent="0.3">
      <c r="A335" s="9"/>
      <c r="B335" s="9"/>
      <c r="C335" s="9"/>
      <c r="D335" s="9"/>
      <c r="E335" s="9"/>
      <c r="F335" s="9"/>
      <c r="G335" s="9"/>
      <c r="H335" s="9"/>
      <c r="I335" s="9"/>
    </row>
    <row r="336" spans="1:9" x14ac:dyDescent="0.3">
      <c r="A336" s="9"/>
      <c r="B336" s="9"/>
      <c r="C336" s="9"/>
      <c r="D336" s="9"/>
      <c r="E336" s="9"/>
      <c r="F336" s="9"/>
      <c r="G336" s="9"/>
      <c r="H336" s="9"/>
      <c r="I336" s="9"/>
    </row>
    <row r="337" spans="1:9" x14ac:dyDescent="0.3">
      <c r="A337" s="9"/>
      <c r="B337" s="9"/>
      <c r="C337" s="9"/>
      <c r="D337" s="9"/>
      <c r="E337" s="9"/>
      <c r="F337" s="9"/>
      <c r="G337" s="9"/>
      <c r="H337" s="9"/>
      <c r="I337" s="9"/>
    </row>
    <row r="338" spans="1:9" x14ac:dyDescent="0.3">
      <c r="A338" s="9"/>
      <c r="B338" s="9"/>
      <c r="C338" s="9"/>
      <c r="D338" s="9"/>
      <c r="E338" s="9"/>
      <c r="F338" s="9"/>
      <c r="G338" s="9"/>
      <c r="H338" s="9"/>
      <c r="I338" s="9"/>
    </row>
    <row r="339" spans="1:9" x14ac:dyDescent="0.3">
      <c r="A339" s="9"/>
      <c r="B339" s="9"/>
      <c r="C339" s="9"/>
      <c r="D339" s="9"/>
      <c r="E339" s="9"/>
      <c r="F339" s="9"/>
      <c r="G339" s="9"/>
      <c r="H339" s="9"/>
      <c r="I339" s="9"/>
    </row>
    <row r="340" spans="1:9" x14ac:dyDescent="0.3">
      <c r="A340" s="9"/>
      <c r="B340" s="9"/>
      <c r="C340" s="9"/>
      <c r="D340" s="9"/>
      <c r="E340" s="9"/>
      <c r="F340" s="9"/>
      <c r="G340" s="9"/>
      <c r="H340" s="9"/>
      <c r="I340" s="9"/>
    </row>
    <row r="341" spans="1:9" x14ac:dyDescent="0.3">
      <c r="A341" s="9"/>
      <c r="B341" s="9"/>
      <c r="C341" s="9"/>
      <c r="D341" s="9"/>
      <c r="E341" s="9"/>
      <c r="F341" s="9"/>
      <c r="G341" s="9"/>
      <c r="H341" s="9"/>
      <c r="I341" s="9"/>
    </row>
    <row r="342" spans="1:9" x14ac:dyDescent="0.3">
      <c r="A342" s="9"/>
      <c r="B342" s="9"/>
      <c r="C342" s="9"/>
      <c r="D342" s="9"/>
      <c r="E342" s="9"/>
      <c r="F342" s="9"/>
      <c r="G342" s="9"/>
      <c r="H342" s="9"/>
      <c r="I342" s="9"/>
    </row>
    <row r="343" spans="1:9" x14ac:dyDescent="0.3">
      <c r="A343" s="9"/>
      <c r="B343" s="9"/>
      <c r="C343" s="9"/>
      <c r="D343" s="9"/>
      <c r="E343" s="9"/>
      <c r="F343" s="9"/>
      <c r="G343" s="9"/>
      <c r="H343" s="9"/>
      <c r="I343" s="9"/>
    </row>
    <row r="344" spans="1:9" x14ac:dyDescent="0.3">
      <c r="A344" s="9"/>
      <c r="B344" s="9"/>
      <c r="C344" s="9"/>
      <c r="D344" s="9"/>
      <c r="E344" s="9"/>
      <c r="F344" s="9"/>
      <c r="G344" s="9"/>
      <c r="H344" s="9"/>
      <c r="I344" s="9"/>
    </row>
    <row r="345" spans="1:9" x14ac:dyDescent="0.3">
      <c r="A345" s="9"/>
      <c r="B345" s="9"/>
      <c r="C345" s="9"/>
      <c r="D345" s="9"/>
      <c r="E345" s="9"/>
      <c r="F345" s="9"/>
      <c r="G345" s="9"/>
      <c r="H345" s="9"/>
      <c r="I345" s="9"/>
    </row>
    <row r="346" spans="1:9" x14ac:dyDescent="0.3">
      <c r="A346" s="9"/>
      <c r="B346" s="9"/>
      <c r="C346" s="9"/>
      <c r="D346" s="9"/>
      <c r="E346" s="9"/>
      <c r="F346" s="9"/>
      <c r="G346" s="9"/>
      <c r="H346" s="9"/>
      <c r="I346" s="9"/>
    </row>
    <row r="347" spans="1:9" x14ac:dyDescent="0.3">
      <c r="A347" s="9"/>
      <c r="B347" s="9"/>
      <c r="C347" s="9"/>
      <c r="D347" s="9"/>
      <c r="E347" s="9"/>
      <c r="F347" s="9"/>
      <c r="G347" s="9"/>
      <c r="H347" s="9"/>
      <c r="I347" s="9"/>
    </row>
    <row r="348" spans="1:9" x14ac:dyDescent="0.3">
      <c r="A348" s="9"/>
      <c r="B348" s="9"/>
      <c r="C348" s="9"/>
      <c r="D348" s="9"/>
      <c r="E348" s="9"/>
      <c r="F348" s="9"/>
      <c r="G348" s="9"/>
      <c r="H348" s="9"/>
      <c r="I348" s="9"/>
    </row>
    <row r="349" spans="1:9" x14ac:dyDescent="0.3">
      <c r="A349" s="9"/>
      <c r="B349" s="9"/>
      <c r="C349" s="9"/>
      <c r="D349" s="9"/>
      <c r="E349" s="9"/>
      <c r="F349" s="9"/>
      <c r="G349" s="9"/>
      <c r="H349" s="9"/>
      <c r="I349" s="9"/>
    </row>
    <row r="350" spans="1:9" x14ac:dyDescent="0.3">
      <c r="A350" s="9"/>
      <c r="B350" s="9"/>
      <c r="C350" s="9"/>
      <c r="D350" s="9"/>
      <c r="E350" s="9"/>
      <c r="F350" s="9"/>
      <c r="G350" s="9"/>
      <c r="H350" s="9"/>
      <c r="I350" s="9"/>
    </row>
    <row r="351" spans="1:9" x14ac:dyDescent="0.3">
      <c r="A351" s="9"/>
      <c r="B351" s="9"/>
      <c r="C351" s="9"/>
      <c r="D351" s="9"/>
      <c r="E351" s="9"/>
      <c r="F351" s="9"/>
      <c r="G351" s="9"/>
      <c r="H351" s="9"/>
      <c r="I351" s="9"/>
    </row>
    <row r="352" spans="1:9" x14ac:dyDescent="0.3">
      <c r="A352" s="9"/>
      <c r="B352" s="9"/>
      <c r="C352" s="9"/>
      <c r="D352" s="9"/>
      <c r="E352" s="9"/>
      <c r="F352" s="9"/>
      <c r="G352" s="9"/>
      <c r="H352" s="9"/>
      <c r="I352" s="9"/>
    </row>
    <row r="353" spans="1:9" x14ac:dyDescent="0.3">
      <c r="A353" s="9"/>
      <c r="B353" s="9"/>
      <c r="C353" s="9"/>
      <c r="D353" s="9"/>
      <c r="E353" s="9"/>
      <c r="F353" s="9"/>
      <c r="G353" s="9"/>
      <c r="H353" s="9"/>
      <c r="I353" s="9"/>
    </row>
    <row r="354" spans="1:9" x14ac:dyDescent="0.3">
      <c r="A354" s="9"/>
      <c r="B354" s="9"/>
      <c r="C354" s="9"/>
      <c r="D354" s="9"/>
      <c r="E354" s="9"/>
      <c r="F354" s="9"/>
      <c r="G354" s="9"/>
      <c r="H354" s="9"/>
      <c r="I354" s="9"/>
    </row>
    <row r="355" spans="1:9" x14ac:dyDescent="0.3">
      <c r="A355" s="9"/>
      <c r="B355" s="9"/>
      <c r="C355" s="9"/>
      <c r="D355" s="9"/>
      <c r="E355" s="9"/>
      <c r="F355" s="9"/>
      <c r="G355" s="9"/>
      <c r="H355" s="9"/>
      <c r="I355" s="9"/>
    </row>
    <row r="356" spans="1:9" x14ac:dyDescent="0.3">
      <c r="A356" s="9"/>
      <c r="B356" s="9"/>
      <c r="C356" s="9"/>
      <c r="D356" s="9"/>
      <c r="E356" s="9"/>
      <c r="F356" s="9"/>
      <c r="G356" s="9"/>
      <c r="H356" s="9"/>
      <c r="I356" s="9"/>
    </row>
    <row r="357" spans="1:9" x14ac:dyDescent="0.3">
      <c r="A357" s="9"/>
      <c r="B357" s="9"/>
      <c r="C357" s="9"/>
      <c r="D357" s="9"/>
      <c r="E357" s="9"/>
      <c r="F357" s="9"/>
      <c r="G357" s="9"/>
      <c r="H357" s="9"/>
      <c r="I357" s="9"/>
    </row>
    <row r="358" spans="1:9" x14ac:dyDescent="0.3">
      <c r="A358" s="9"/>
      <c r="B358" s="9"/>
      <c r="C358" s="9"/>
      <c r="D358" s="9"/>
      <c r="E358" s="9"/>
      <c r="F358" s="9"/>
      <c r="G358" s="9"/>
      <c r="H358" s="9"/>
      <c r="I358" s="9"/>
    </row>
    <row r="359" spans="1:9" x14ac:dyDescent="0.3">
      <c r="A359" s="9"/>
      <c r="B359" s="9"/>
      <c r="C359" s="9"/>
      <c r="D359" s="9"/>
      <c r="E359" s="9"/>
      <c r="F359" s="9"/>
      <c r="G359" s="9"/>
      <c r="H359" s="9"/>
      <c r="I359" s="9"/>
    </row>
    <row r="360" spans="1:9" x14ac:dyDescent="0.3">
      <c r="A360" s="9"/>
      <c r="B360" s="9"/>
      <c r="C360" s="9"/>
      <c r="D360" s="9"/>
      <c r="E360" s="9"/>
      <c r="F360" s="9"/>
      <c r="G360" s="9"/>
      <c r="H360" s="9"/>
      <c r="I360" s="9"/>
    </row>
    <row r="361" spans="1:9" x14ac:dyDescent="0.3">
      <c r="A361" s="9"/>
      <c r="B361" s="9"/>
      <c r="C361" s="9"/>
      <c r="D361" s="9"/>
      <c r="E361" s="9"/>
      <c r="F361" s="9"/>
      <c r="G361" s="9"/>
      <c r="H361" s="9"/>
      <c r="I361" s="9"/>
    </row>
    <row r="362" spans="1:9" x14ac:dyDescent="0.3">
      <c r="A362" s="9"/>
      <c r="B362" s="9"/>
      <c r="C362" s="9"/>
      <c r="D362" s="9"/>
      <c r="E362" s="9"/>
      <c r="F362" s="9"/>
      <c r="G362" s="9"/>
      <c r="H362" s="9"/>
      <c r="I362" s="9"/>
    </row>
    <row r="363" spans="1:9" x14ac:dyDescent="0.3">
      <c r="A363" s="9"/>
      <c r="B363" s="9"/>
      <c r="C363" s="9"/>
      <c r="D363" s="9"/>
      <c r="E363" s="9"/>
      <c r="F363" s="9"/>
      <c r="G363" s="9"/>
      <c r="H363" s="9"/>
      <c r="I363" s="9"/>
    </row>
    <row r="364" spans="1:9" x14ac:dyDescent="0.3">
      <c r="A364" s="9"/>
      <c r="B364" s="9"/>
      <c r="C364" s="9"/>
      <c r="D364" s="9"/>
      <c r="E364" s="9"/>
      <c r="F364" s="9"/>
      <c r="G364" s="9"/>
      <c r="H364" s="9"/>
      <c r="I364" s="9"/>
    </row>
    <row r="365" spans="1:9" x14ac:dyDescent="0.3">
      <c r="A365" s="9"/>
      <c r="B365" s="9"/>
      <c r="C365" s="9"/>
      <c r="D365" s="9"/>
      <c r="E365" s="9"/>
      <c r="F365" s="9"/>
      <c r="G365" s="9"/>
      <c r="H365" s="9"/>
      <c r="I365" s="9"/>
    </row>
    <row r="366" spans="1:9" x14ac:dyDescent="0.3">
      <c r="A366" s="9"/>
      <c r="B366" s="9"/>
      <c r="C366" s="9"/>
      <c r="D366" s="9"/>
      <c r="E366" s="9"/>
      <c r="F366" s="9"/>
      <c r="G366" s="9"/>
      <c r="H366" s="9"/>
      <c r="I366" s="9"/>
    </row>
    <row r="367" spans="1:9" x14ac:dyDescent="0.3">
      <c r="A367" s="9"/>
      <c r="B367" s="9"/>
      <c r="C367" s="9"/>
      <c r="D367" s="9"/>
      <c r="E367" s="9"/>
      <c r="F367" s="9"/>
      <c r="G367" s="9"/>
      <c r="H367" s="9"/>
      <c r="I367" s="9"/>
    </row>
    <row r="368" spans="1:9" x14ac:dyDescent="0.3">
      <c r="A368" s="9"/>
      <c r="B368" s="9"/>
      <c r="C368" s="9"/>
      <c r="D368" s="9"/>
      <c r="E368" s="9"/>
      <c r="F368" s="9"/>
      <c r="G368" s="9"/>
      <c r="H368" s="9"/>
      <c r="I368" s="9"/>
    </row>
    <row r="369" spans="1:9" x14ac:dyDescent="0.3">
      <c r="A369" s="9"/>
      <c r="B369" s="9"/>
      <c r="C369" s="9"/>
      <c r="D369" s="9"/>
      <c r="E369" s="9"/>
      <c r="F369" s="9"/>
      <c r="G369" s="9"/>
      <c r="H369" s="9"/>
      <c r="I369" s="9"/>
    </row>
    <row r="370" spans="1:9" x14ac:dyDescent="0.3">
      <c r="A370" s="9"/>
      <c r="B370" s="9"/>
      <c r="C370" s="9"/>
      <c r="D370" s="9"/>
      <c r="E370" s="9"/>
      <c r="F370" s="9"/>
      <c r="G370" s="9"/>
      <c r="H370" s="9"/>
      <c r="I370" s="9"/>
    </row>
    <row r="371" spans="1:9" x14ac:dyDescent="0.3">
      <c r="A371" s="9"/>
      <c r="B371" s="9"/>
      <c r="C371" s="9"/>
      <c r="D371" s="9"/>
      <c r="E371" s="9"/>
      <c r="F371" s="9"/>
      <c r="G371" s="9"/>
      <c r="H371" s="9"/>
      <c r="I371" s="9"/>
    </row>
    <row r="372" spans="1:9" x14ac:dyDescent="0.3">
      <c r="A372" s="9"/>
      <c r="B372" s="9"/>
      <c r="C372" s="9"/>
      <c r="D372" s="9"/>
      <c r="E372" s="9"/>
      <c r="F372" s="9"/>
      <c r="G372" s="9"/>
      <c r="H372" s="9"/>
      <c r="I372" s="9"/>
    </row>
    <row r="373" spans="1:9" x14ac:dyDescent="0.3">
      <c r="A373" s="9"/>
      <c r="B373" s="9"/>
      <c r="C373" s="9"/>
      <c r="D373" s="9"/>
      <c r="E373" s="9"/>
      <c r="F373" s="9"/>
      <c r="G373" s="9"/>
      <c r="H373" s="9"/>
      <c r="I373" s="9"/>
    </row>
    <row r="374" spans="1:9" x14ac:dyDescent="0.3">
      <c r="A374" s="9"/>
      <c r="B374" s="9"/>
      <c r="C374" s="9"/>
      <c r="D374" s="9"/>
      <c r="E374" s="9"/>
      <c r="F374" s="9"/>
      <c r="G374" s="9"/>
      <c r="H374" s="9"/>
      <c r="I374" s="9"/>
    </row>
    <row r="375" spans="1:9" x14ac:dyDescent="0.3">
      <c r="A375" s="9"/>
      <c r="B375" s="9"/>
      <c r="C375" s="9"/>
      <c r="D375" s="9"/>
      <c r="E375" s="9"/>
      <c r="F375" s="9"/>
      <c r="G375" s="9"/>
      <c r="H375" s="9"/>
      <c r="I375" s="9"/>
    </row>
    <row r="376" spans="1:9" x14ac:dyDescent="0.3">
      <c r="A376" s="9"/>
      <c r="B376" s="9"/>
      <c r="C376" s="9"/>
      <c r="D376" s="9"/>
      <c r="E376" s="9"/>
      <c r="F376" s="9"/>
      <c r="G376" s="9"/>
      <c r="H376" s="9"/>
      <c r="I376" s="9"/>
    </row>
    <row r="377" spans="1:9" x14ac:dyDescent="0.3">
      <c r="A377" s="9"/>
      <c r="B377" s="9"/>
      <c r="C377" s="9"/>
      <c r="D377" s="9"/>
      <c r="E377" s="9"/>
      <c r="F377" s="9"/>
      <c r="G377" s="9"/>
      <c r="H377" s="9"/>
      <c r="I377" s="9"/>
    </row>
    <row r="378" spans="1:9" x14ac:dyDescent="0.3">
      <c r="A378" s="9"/>
      <c r="B378" s="9"/>
      <c r="C378" s="9"/>
      <c r="D378" s="9"/>
      <c r="E378" s="9"/>
      <c r="F378" s="9"/>
      <c r="G378" s="9"/>
      <c r="H378" s="9"/>
      <c r="I378" s="9"/>
    </row>
    <row r="379" spans="1:9" x14ac:dyDescent="0.3">
      <c r="A379" s="9"/>
      <c r="B379" s="9"/>
      <c r="C379" s="9"/>
      <c r="D379" s="9"/>
      <c r="E379" s="9"/>
      <c r="F379" s="9"/>
      <c r="G379" s="9"/>
      <c r="H379" s="9"/>
      <c r="I379" s="9"/>
    </row>
    <row r="380" spans="1:9" x14ac:dyDescent="0.3">
      <c r="A380" s="9"/>
      <c r="B380" s="9"/>
      <c r="C380" s="9"/>
      <c r="D380" s="9"/>
      <c r="E380" s="9"/>
      <c r="F380" s="9"/>
      <c r="G380" s="9"/>
      <c r="H380" s="9"/>
      <c r="I380" s="9"/>
    </row>
    <row r="381" spans="1:9" x14ac:dyDescent="0.3">
      <c r="A381" s="9"/>
      <c r="B381" s="9"/>
      <c r="C381" s="9"/>
      <c r="D381" s="9"/>
      <c r="E381" s="9"/>
      <c r="F381" s="9"/>
      <c r="G381" s="9"/>
      <c r="H381" s="9"/>
      <c r="I381" s="9"/>
    </row>
    <row r="382" spans="1:9" x14ac:dyDescent="0.3">
      <c r="A382" s="9"/>
      <c r="B382" s="9"/>
      <c r="C382" s="9"/>
      <c r="D382" s="9"/>
      <c r="E382" s="9"/>
      <c r="F382" s="9"/>
      <c r="G382" s="9"/>
      <c r="H382" s="9"/>
      <c r="I382" s="9"/>
    </row>
    <row r="383" spans="1:9" x14ac:dyDescent="0.3">
      <c r="A383" s="9"/>
      <c r="B383" s="9"/>
      <c r="C383" s="9"/>
      <c r="D383" s="9"/>
      <c r="E383" s="9"/>
      <c r="F383" s="9"/>
      <c r="G383" s="9"/>
      <c r="H383" s="9"/>
      <c r="I383" s="9"/>
    </row>
    <row r="384" spans="1:9" x14ac:dyDescent="0.3">
      <c r="A384" s="9"/>
      <c r="B384" s="9"/>
      <c r="C384" s="9"/>
      <c r="D384" s="9"/>
      <c r="E384" s="9"/>
      <c r="F384" s="9"/>
      <c r="G384" s="9"/>
      <c r="H384" s="9"/>
      <c r="I384" s="9"/>
    </row>
    <row r="385" spans="1:9" x14ac:dyDescent="0.3">
      <c r="A385" s="9"/>
      <c r="B385" s="9"/>
      <c r="C385" s="9"/>
      <c r="D385" s="9"/>
      <c r="E385" s="9"/>
      <c r="F385" s="9"/>
      <c r="G385" s="9"/>
      <c r="H385" s="9"/>
      <c r="I385" s="9"/>
    </row>
    <row r="386" spans="1:9" x14ac:dyDescent="0.3">
      <c r="A386" s="9"/>
      <c r="B386" s="9"/>
      <c r="C386" s="9"/>
      <c r="D386" s="9"/>
      <c r="E386" s="9"/>
      <c r="F386" s="9"/>
      <c r="G386" s="9"/>
      <c r="H386" s="9"/>
      <c r="I386" s="9"/>
    </row>
    <row r="387" spans="1:9" x14ac:dyDescent="0.3">
      <c r="A387" s="9"/>
      <c r="B387" s="9"/>
      <c r="C387" s="9"/>
      <c r="D387" s="9"/>
      <c r="E387" s="9"/>
      <c r="F387" s="9"/>
      <c r="G387" s="9"/>
      <c r="H387" s="9"/>
      <c r="I387" s="9"/>
    </row>
    <row r="388" spans="1:9" x14ac:dyDescent="0.3">
      <c r="A388" s="9"/>
      <c r="B388" s="9"/>
      <c r="C388" s="9"/>
      <c r="D388" s="9"/>
      <c r="E388" s="9"/>
      <c r="F388" s="9"/>
      <c r="G388" s="9"/>
      <c r="H388" s="9"/>
      <c r="I388" s="9"/>
    </row>
    <row r="389" spans="1:9" x14ac:dyDescent="0.3">
      <c r="A389" s="9"/>
      <c r="B389" s="9"/>
      <c r="C389" s="9"/>
      <c r="D389" s="9"/>
      <c r="E389" s="9"/>
      <c r="F389" s="9"/>
      <c r="G389" s="9"/>
      <c r="H389" s="9"/>
      <c r="I389" s="9"/>
    </row>
    <row r="390" spans="1:9" x14ac:dyDescent="0.3">
      <c r="A390" s="9"/>
      <c r="B390" s="9"/>
      <c r="C390" s="9"/>
      <c r="D390" s="9"/>
      <c r="E390" s="9"/>
      <c r="F390" s="9"/>
      <c r="G390" s="9"/>
      <c r="H390" s="9"/>
      <c r="I390" s="9"/>
    </row>
    <row r="391" spans="1:9" x14ac:dyDescent="0.3">
      <c r="A391" s="9"/>
      <c r="B391" s="9"/>
      <c r="C391" s="9"/>
      <c r="D391" s="9"/>
      <c r="E391" s="9"/>
      <c r="F391" s="9"/>
      <c r="G391" s="9"/>
      <c r="H391" s="9"/>
      <c r="I391" s="9"/>
    </row>
    <row r="392" spans="1:9" x14ac:dyDescent="0.3">
      <c r="A392" s="9"/>
      <c r="B392" s="9"/>
      <c r="C392" s="9"/>
      <c r="D392" s="9"/>
      <c r="E392" s="9"/>
      <c r="F392" s="9"/>
      <c r="G392" s="9"/>
      <c r="H392" s="9"/>
      <c r="I392" s="9"/>
    </row>
    <row r="393" spans="1:9" x14ac:dyDescent="0.3">
      <c r="A393" s="9"/>
      <c r="B393" s="9"/>
      <c r="C393" s="9"/>
      <c r="D393" s="9"/>
      <c r="E393" s="9"/>
      <c r="F393" s="9"/>
      <c r="G393" s="9"/>
      <c r="H393" s="9"/>
      <c r="I393" s="9"/>
    </row>
    <row r="394" spans="1:9" x14ac:dyDescent="0.3">
      <c r="A394" s="9"/>
      <c r="B394" s="9"/>
      <c r="C394" s="9"/>
      <c r="D394" s="9"/>
      <c r="E394" s="9"/>
      <c r="F394" s="9"/>
      <c r="G394" s="9"/>
      <c r="H394" s="9"/>
      <c r="I394" s="9"/>
    </row>
    <row r="395" spans="1:9" x14ac:dyDescent="0.3">
      <c r="A395" s="9"/>
      <c r="B395" s="9"/>
      <c r="C395" s="9"/>
      <c r="D395" s="9"/>
      <c r="E395" s="9"/>
      <c r="F395" s="9"/>
      <c r="G395" s="9"/>
      <c r="H395" s="9"/>
      <c r="I395" s="9"/>
    </row>
    <row r="396" spans="1:9" x14ac:dyDescent="0.3">
      <c r="A396" s="9"/>
      <c r="B396" s="9"/>
      <c r="C396" s="9"/>
      <c r="D396" s="9"/>
      <c r="E396" s="9"/>
      <c r="F396" s="9"/>
      <c r="G396" s="9"/>
      <c r="H396" s="9"/>
      <c r="I396" s="9"/>
    </row>
    <row r="397" spans="1:9" x14ac:dyDescent="0.3">
      <c r="A397" s="9"/>
      <c r="B397" s="9"/>
      <c r="C397" s="9"/>
      <c r="D397" s="9"/>
      <c r="E397" s="9"/>
      <c r="F397" s="9"/>
      <c r="G397" s="9"/>
      <c r="H397" s="9"/>
      <c r="I397" s="9"/>
    </row>
    <row r="398" spans="1:9" x14ac:dyDescent="0.3">
      <c r="A398" s="9"/>
      <c r="B398" s="9"/>
      <c r="C398" s="9"/>
      <c r="D398" s="9"/>
      <c r="E398" s="9"/>
      <c r="F398" s="9"/>
      <c r="G398" s="9"/>
      <c r="H398" s="9"/>
      <c r="I398" s="9"/>
    </row>
    <row r="399" spans="1:9" x14ac:dyDescent="0.3">
      <c r="A399" s="9"/>
      <c r="B399" s="9"/>
      <c r="C399" s="9"/>
      <c r="D399" s="9"/>
      <c r="E399" s="9"/>
      <c r="F399" s="9"/>
      <c r="G399" s="9"/>
      <c r="H399" s="9"/>
      <c r="I399" s="9"/>
    </row>
    <row r="400" spans="1:9" x14ac:dyDescent="0.3">
      <c r="A400" s="9"/>
      <c r="B400" s="9"/>
      <c r="C400" s="9"/>
      <c r="D400" s="9"/>
      <c r="E400" s="9"/>
      <c r="F400" s="9"/>
      <c r="G400" s="9"/>
      <c r="H400" s="9"/>
      <c r="I400" s="9"/>
    </row>
    <row r="401" spans="1:9" x14ac:dyDescent="0.3">
      <c r="A401" s="9"/>
      <c r="B401" s="9"/>
      <c r="C401" s="9"/>
      <c r="D401" s="9"/>
      <c r="E401" s="9"/>
      <c r="F401" s="9"/>
      <c r="G401" s="9"/>
      <c r="H401" s="9"/>
      <c r="I401" s="9"/>
    </row>
    <row r="402" spans="1:9" x14ac:dyDescent="0.3">
      <c r="A402" s="9"/>
      <c r="B402" s="9"/>
      <c r="C402" s="9"/>
      <c r="D402" s="9"/>
      <c r="E402" s="9"/>
      <c r="F402" s="9"/>
      <c r="G402" s="9"/>
      <c r="H402" s="9"/>
      <c r="I402" s="9"/>
    </row>
    <row r="403" spans="1:9" x14ac:dyDescent="0.3">
      <c r="A403" s="9"/>
      <c r="B403" s="9"/>
      <c r="C403" s="9"/>
      <c r="D403" s="9"/>
      <c r="E403" s="9"/>
      <c r="F403" s="9"/>
      <c r="G403" s="9"/>
      <c r="H403" s="9"/>
    </row>
    <row r="404" spans="1:9" x14ac:dyDescent="0.3">
      <c r="A404" s="9"/>
      <c r="B404" s="9"/>
      <c r="C404" s="9"/>
      <c r="D404" s="9"/>
      <c r="E404" s="9"/>
      <c r="F404" s="9"/>
      <c r="G404" s="9"/>
      <c r="H404" s="9"/>
    </row>
    <row r="405" spans="1:9" x14ac:dyDescent="0.3">
      <c r="A405" s="9"/>
      <c r="B405" s="9"/>
      <c r="C405" s="9"/>
      <c r="D405" s="9"/>
      <c r="E405" s="9"/>
      <c r="F405" s="9"/>
      <c r="G405" s="9"/>
      <c r="H405" s="9"/>
    </row>
    <row r="406" spans="1:9" x14ac:dyDescent="0.3">
      <c r="A406" s="9"/>
      <c r="B406" s="9"/>
      <c r="C406" s="9"/>
      <c r="D406" s="9"/>
      <c r="E406" s="9"/>
      <c r="F406" s="9"/>
      <c r="G406" s="9"/>
      <c r="H406" s="9"/>
    </row>
    <row r="407" spans="1:9" x14ac:dyDescent="0.3">
      <c r="A407" s="9"/>
      <c r="B407" s="9"/>
      <c r="C407" s="9"/>
      <c r="D407" s="9"/>
      <c r="E407" s="9"/>
      <c r="F407" s="9"/>
      <c r="G407" s="9"/>
      <c r="H407" s="9"/>
    </row>
    <row r="408" spans="1:9" x14ac:dyDescent="0.3">
      <c r="A408" s="9"/>
      <c r="B408" s="9"/>
      <c r="C408" s="9"/>
      <c r="D408" s="9"/>
      <c r="E408" s="9"/>
      <c r="F408" s="9"/>
      <c r="G408" s="9"/>
      <c r="H408" s="9"/>
    </row>
    <row r="409" spans="1:9" x14ac:dyDescent="0.3">
      <c r="A409" s="9"/>
      <c r="B409" s="9"/>
      <c r="C409" s="9"/>
      <c r="D409" s="9"/>
      <c r="E409" s="9"/>
      <c r="F409" s="9"/>
      <c r="G409" s="9"/>
      <c r="H409" s="9"/>
    </row>
    <row r="410" spans="1:9" x14ac:dyDescent="0.3">
      <c r="A410" s="9"/>
      <c r="B410" s="9"/>
      <c r="C410" s="9"/>
      <c r="D410" s="9"/>
      <c r="E410" s="9"/>
      <c r="F410" s="9"/>
      <c r="G410" s="9"/>
      <c r="H410" s="9"/>
    </row>
    <row r="411" spans="1:9" x14ac:dyDescent="0.3">
      <c r="A411" s="9"/>
      <c r="B411" s="9"/>
      <c r="C411" s="9"/>
      <c r="D411" s="9"/>
      <c r="E411" s="9"/>
      <c r="F411" s="9"/>
      <c r="G411" s="9"/>
      <c r="H411" s="9"/>
    </row>
    <row r="412" spans="1:9" x14ac:dyDescent="0.3">
      <c r="A412" s="9"/>
      <c r="B412" s="9"/>
      <c r="C412" s="9"/>
      <c r="D412" s="9"/>
      <c r="E412" s="9"/>
      <c r="F412" s="9"/>
      <c r="G412" s="9"/>
      <c r="H412" s="9"/>
    </row>
  </sheetData>
  <mergeCells count="9">
    <mergeCell ref="I3:I4"/>
    <mergeCell ref="A1:H1"/>
    <mergeCell ref="A3:B3"/>
    <mergeCell ref="C3:C4"/>
    <mergeCell ref="D3:D4"/>
    <mergeCell ref="E3:E4"/>
    <mergeCell ref="F3:F4"/>
    <mergeCell ref="H3:H4"/>
    <mergeCell ref="G3:G4"/>
  </mergeCells>
  <phoneticPr fontId="5" type="noConversion"/>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2B37C-B5FF-4595-A3D0-38C58C79BA64}">
  <dimension ref="A1:I665"/>
  <sheetViews>
    <sheetView zoomScale="70" zoomScaleNormal="70" workbookViewId="0">
      <pane ySplit="4" topLeftCell="A215" activePane="bottomLeft" state="frozen"/>
      <selection pane="bottomLeft" activeCell="G229" sqref="G229"/>
    </sheetView>
  </sheetViews>
  <sheetFormatPr defaultRowHeight="20.25" x14ac:dyDescent="0.3"/>
  <cols>
    <col min="1" max="2" width="20.7109375" style="1" customWidth="1"/>
    <col min="3" max="3" width="15.7109375" style="1" customWidth="1"/>
    <col min="4" max="4" width="45.7109375" style="1" customWidth="1"/>
    <col min="5" max="5" width="30.7109375" style="1" customWidth="1"/>
    <col min="6" max="6" width="75.7109375" style="1" customWidth="1"/>
    <col min="7" max="7" width="120.7109375" style="1" customWidth="1"/>
    <col min="8" max="8" width="45.7109375" style="1" customWidth="1"/>
    <col min="9" max="9" width="24.7109375" style="1" customWidth="1"/>
    <col min="10" max="16384" width="9.140625" style="1"/>
  </cols>
  <sheetData>
    <row r="1" spans="1:9" x14ac:dyDescent="0.3">
      <c r="A1" s="112" t="s">
        <v>0</v>
      </c>
      <c r="B1" s="112"/>
      <c r="C1" s="112"/>
      <c r="D1" s="112"/>
      <c r="E1" s="112"/>
      <c r="F1" s="112"/>
      <c r="G1" s="112"/>
      <c r="H1" s="112"/>
    </row>
    <row r="3" spans="1:9" x14ac:dyDescent="0.3">
      <c r="A3" s="110" t="s">
        <v>1</v>
      </c>
      <c r="B3" s="110"/>
      <c r="C3" s="110" t="s">
        <v>4</v>
      </c>
      <c r="D3" s="110" t="s">
        <v>4137</v>
      </c>
      <c r="E3" s="110" t="s">
        <v>107</v>
      </c>
      <c r="F3" s="110" t="s">
        <v>7</v>
      </c>
      <c r="G3" s="110" t="s">
        <v>8</v>
      </c>
      <c r="H3" s="113" t="s">
        <v>11</v>
      </c>
      <c r="I3" s="60" t="s">
        <v>706</v>
      </c>
    </row>
    <row r="4" spans="1:9" x14ac:dyDescent="0.3">
      <c r="A4" s="18" t="s">
        <v>2</v>
      </c>
      <c r="B4" s="18" t="s">
        <v>3</v>
      </c>
      <c r="C4" s="110"/>
      <c r="D4" s="110"/>
      <c r="E4" s="110"/>
      <c r="F4" s="110"/>
      <c r="G4" s="110"/>
      <c r="H4" s="113"/>
      <c r="I4" s="61"/>
    </row>
    <row r="5" spans="1:9" s="9" customFormat="1" ht="30" customHeight="1" x14ac:dyDescent="0.3">
      <c r="A5" s="7" t="s">
        <v>169</v>
      </c>
      <c r="B5" s="8"/>
      <c r="C5" s="8"/>
      <c r="D5" s="6" t="s">
        <v>20</v>
      </c>
      <c r="E5" s="7" t="s">
        <v>654</v>
      </c>
      <c r="F5" s="6" t="s">
        <v>170</v>
      </c>
      <c r="G5" s="13" t="s">
        <v>171</v>
      </c>
      <c r="H5" s="9" t="s">
        <v>153</v>
      </c>
    </row>
    <row r="6" spans="1:9" s="9" customFormat="1" ht="30" customHeight="1" x14ac:dyDescent="0.3">
      <c r="A6" s="8"/>
      <c r="B6" s="8"/>
      <c r="C6" s="8"/>
      <c r="D6" s="6"/>
      <c r="E6" s="7"/>
      <c r="F6" s="6"/>
      <c r="G6" s="13"/>
    </row>
    <row r="7" spans="1:9" s="9" customFormat="1" ht="30" customHeight="1" x14ac:dyDescent="0.3">
      <c r="A7" s="8" t="s">
        <v>172</v>
      </c>
      <c r="B7" s="8"/>
      <c r="C7" s="8"/>
      <c r="D7" s="6" t="s">
        <v>173</v>
      </c>
      <c r="E7" s="7" t="s">
        <v>174</v>
      </c>
      <c r="F7" s="6" t="s">
        <v>175</v>
      </c>
      <c r="G7" s="13" t="s">
        <v>176</v>
      </c>
      <c r="H7" s="9" t="s">
        <v>159</v>
      </c>
    </row>
    <row r="8" spans="1:9" s="9" customFormat="1" ht="30" customHeight="1" x14ac:dyDescent="0.3">
      <c r="A8" s="8"/>
      <c r="B8" s="8"/>
      <c r="C8" s="8"/>
      <c r="D8" s="6"/>
      <c r="E8" s="7"/>
      <c r="F8" s="6"/>
      <c r="G8" s="13"/>
    </row>
    <row r="9" spans="1:9" s="9" customFormat="1" ht="30" customHeight="1" x14ac:dyDescent="0.3">
      <c r="A9" s="7" t="s">
        <v>177</v>
      </c>
      <c r="B9" s="8"/>
      <c r="C9" s="8"/>
      <c r="D9" s="6" t="s">
        <v>85</v>
      </c>
      <c r="E9" s="7" t="s">
        <v>179</v>
      </c>
      <c r="F9" s="6" t="s">
        <v>180</v>
      </c>
      <c r="G9" s="13" t="s">
        <v>181</v>
      </c>
      <c r="H9" s="9" t="s">
        <v>153</v>
      </c>
    </row>
    <row r="10" spans="1:9" s="20" customFormat="1" ht="30" customHeight="1" x14ac:dyDescent="0.3">
      <c r="A10" s="14"/>
      <c r="B10" s="15"/>
      <c r="C10" s="8"/>
      <c r="D10" s="16" t="s">
        <v>13</v>
      </c>
      <c r="E10" s="7" t="s">
        <v>179</v>
      </c>
      <c r="F10" s="6" t="s">
        <v>180</v>
      </c>
      <c r="G10" s="13" t="s">
        <v>181</v>
      </c>
      <c r="H10" s="9" t="s">
        <v>153</v>
      </c>
    </row>
    <row r="11" spans="1:9" s="9" customFormat="1" ht="30" customHeight="1" x14ac:dyDescent="0.3">
      <c r="A11" s="8"/>
      <c r="B11" s="8"/>
      <c r="C11" s="8"/>
      <c r="D11" s="6" t="s">
        <v>42</v>
      </c>
      <c r="E11" s="7" t="s">
        <v>179</v>
      </c>
      <c r="F11" s="6" t="s">
        <v>180</v>
      </c>
      <c r="G11" s="13" t="s">
        <v>181</v>
      </c>
      <c r="H11" s="9" t="s">
        <v>153</v>
      </c>
    </row>
    <row r="12" spans="1:9" s="9" customFormat="1" ht="30" customHeight="1" x14ac:dyDescent="0.3">
      <c r="A12" s="8"/>
      <c r="B12" s="8"/>
      <c r="C12" s="8"/>
      <c r="D12" s="6" t="s">
        <v>178</v>
      </c>
      <c r="E12" s="7" t="s">
        <v>179</v>
      </c>
      <c r="F12" s="6" t="s">
        <v>180</v>
      </c>
      <c r="G12" s="13" t="s">
        <v>181</v>
      </c>
      <c r="H12" s="9" t="s">
        <v>153</v>
      </c>
    </row>
    <row r="13" spans="1:9" s="9" customFormat="1" ht="30" customHeight="1" x14ac:dyDescent="0.3">
      <c r="A13" s="8"/>
      <c r="B13" s="8"/>
      <c r="C13" s="8"/>
      <c r="D13" s="6"/>
      <c r="E13" s="7"/>
      <c r="F13" s="6"/>
      <c r="G13" s="13"/>
    </row>
    <row r="14" spans="1:9" s="9" customFormat="1" ht="30" customHeight="1" x14ac:dyDescent="0.3">
      <c r="A14" s="8" t="s">
        <v>186</v>
      </c>
      <c r="B14" s="8"/>
      <c r="C14" s="8"/>
      <c r="D14" s="6" t="s">
        <v>22</v>
      </c>
      <c r="E14" s="7" t="s">
        <v>188</v>
      </c>
      <c r="F14" s="6" t="s">
        <v>189</v>
      </c>
      <c r="G14" s="13" t="s">
        <v>190</v>
      </c>
      <c r="H14" s="9" t="s">
        <v>153</v>
      </c>
    </row>
    <row r="15" spans="1:9" s="9" customFormat="1" ht="30" customHeight="1" x14ac:dyDescent="0.3">
      <c r="A15" s="8"/>
      <c r="B15" s="8"/>
      <c r="C15" s="8"/>
      <c r="D15" s="6" t="s">
        <v>187</v>
      </c>
      <c r="E15" s="7" t="s">
        <v>188</v>
      </c>
      <c r="F15" s="6" t="s">
        <v>189</v>
      </c>
      <c r="G15" s="13" t="s">
        <v>190</v>
      </c>
      <c r="H15" s="9" t="s">
        <v>153</v>
      </c>
    </row>
    <row r="16" spans="1:9" s="9" customFormat="1" ht="30" customHeight="1" x14ac:dyDescent="0.3">
      <c r="A16" s="8"/>
      <c r="B16" s="8"/>
      <c r="C16" s="8"/>
      <c r="D16" s="6" t="s">
        <v>29</v>
      </c>
      <c r="E16" s="7" t="s">
        <v>188</v>
      </c>
      <c r="F16" s="6" t="s">
        <v>189</v>
      </c>
      <c r="G16" s="13" t="s">
        <v>190</v>
      </c>
      <c r="H16" s="9" t="s">
        <v>153</v>
      </c>
    </row>
    <row r="17" spans="1:8" s="9" customFormat="1" ht="30" customHeight="1" x14ac:dyDescent="0.3">
      <c r="A17" s="8"/>
      <c r="B17" s="8"/>
      <c r="C17" s="8"/>
      <c r="D17" s="6"/>
      <c r="E17" s="7"/>
      <c r="F17" s="6"/>
      <c r="G17" s="13"/>
    </row>
    <row r="18" spans="1:8" s="9" customFormat="1" ht="30" customHeight="1" x14ac:dyDescent="0.3">
      <c r="A18" s="8" t="s">
        <v>339</v>
      </c>
      <c r="B18" s="8"/>
      <c r="C18" s="8"/>
      <c r="D18" s="6" t="s">
        <v>46</v>
      </c>
      <c r="E18" s="7" t="s">
        <v>259</v>
      </c>
      <c r="F18" s="6" t="s">
        <v>194</v>
      </c>
      <c r="G18" s="13" t="s">
        <v>260</v>
      </c>
      <c r="H18" s="9" t="s">
        <v>165</v>
      </c>
    </row>
    <row r="19" spans="1:8" s="9" customFormat="1" ht="30" customHeight="1" x14ac:dyDescent="0.3">
      <c r="A19" s="8"/>
      <c r="B19" s="8"/>
      <c r="C19" s="8"/>
      <c r="D19" s="6"/>
      <c r="E19" s="7"/>
      <c r="F19" s="6"/>
      <c r="G19" s="13"/>
    </row>
    <row r="20" spans="1:8" s="9" customFormat="1" ht="30" customHeight="1" x14ac:dyDescent="0.3">
      <c r="A20" s="8" t="s">
        <v>340</v>
      </c>
      <c r="B20" s="8"/>
      <c r="C20" s="8"/>
      <c r="D20" s="6" t="s">
        <v>20</v>
      </c>
      <c r="E20" s="7" t="s">
        <v>337</v>
      </c>
      <c r="F20" s="6" t="s">
        <v>345</v>
      </c>
      <c r="G20" s="13" t="s">
        <v>338</v>
      </c>
      <c r="H20" s="9" t="s">
        <v>153</v>
      </c>
    </row>
    <row r="21" spans="1:8" s="9" customFormat="1" ht="30" customHeight="1" x14ac:dyDescent="0.3">
      <c r="A21" s="8"/>
      <c r="B21" s="8"/>
      <c r="C21" s="8"/>
      <c r="D21" s="6" t="s">
        <v>16</v>
      </c>
      <c r="E21" s="7" t="s">
        <v>337</v>
      </c>
      <c r="F21" s="6" t="s">
        <v>345</v>
      </c>
      <c r="G21" s="13" t="s">
        <v>338</v>
      </c>
      <c r="H21" s="9" t="s">
        <v>153</v>
      </c>
    </row>
    <row r="22" spans="1:8" s="9" customFormat="1" ht="30" customHeight="1" x14ac:dyDescent="0.3">
      <c r="A22" s="8"/>
      <c r="B22" s="8"/>
      <c r="C22" s="8"/>
      <c r="D22" s="6"/>
      <c r="E22" s="7"/>
      <c r="F22" s="6"/>
      <c r="G22" s="13"/>
    </row>
    <row r="23" spans="1:8" s="9" customFormat="1" ht="30" customHeight="1" x14ac:dyDescent="0.3">
      <c r="A23" s="8" t="s">
        <v>341</v>
      </c>
      <c r="B23" s="8"/>
      <c r="C23" s="8"/>
      <c r="D23" s="6" t="s">
        <v>342</v>
      </c>
      <c r="E23" s="7" t="s">
        <v>337</v>
      </c>
      <c r="F23" s="31" t="s">
        <v>346</v>
      </c>
      <c r="G23" s="31" t="s">
        <v>344</v>
      </c>
      <c r="H23" s="50" t="s">
        <v>347</v>
      </c>
    </row>
    <row r="24" spans="1:8" s="9" customFormat="1" ht="30" customHeight="1" x14ac:dyDescent="0.3">
      <c r="A24" s="8"/>
      <c r="B24" s="8"/>
      <c r="C24" s="8"/>
      <c r="D24" s="6" t="s">
        <v>343</v>
      </c>
      <c r="E24" s="7" t="s">
        <v>337</v>
      </c>
      <c r="F24" s="31" t="s">
        <v>346</v>
      </c>
      <c r="G24" s="31" t="s">
        <v>344</v>
      </c>
      <c r="H24" s="50" t="s">
        <v>347</v>
      </c>
    </row>
    <row r="25" spans="1:8" s="9" customFormat="1" ht="30" customHeight="1" x14ac:dyDescent="0.3">
      <c r="A25" s="8"/>
      <c r="B25" s="8"/>
      <c r="C25" s="8"/>
      <c r="D25" s="6"/>
      <c r="E25" s="7"/>
      <c r="F25" s="6"/>
      <c r="G25" s="13"/>
    </row>
    <row r="26" spans="1:8" s="9" customFormat="1" ht="30" customHeight="1" x14ac:dyDescent="0.3">
      <c r="A26" s="8" t="s">
        <v>478</v>
      </c>
      <c r="B26" s="8"/>
      <c r="C26" s="8"/>
      <c r="D26" s="6" t="s">
        <v>182</v>
      </c>
      <c r="E26" s="7" t="s">
        <v>479</v>
      </c>
      <c r="F26" s="31" t="s">
        <v>480</v>
      </c>
      <c r="G26" s="13" t="s">
        <v>481</v>
      </c>
      <c r="H26" s="9" t="s">
        <v>153</v>
      </c>
    </row>
    <row r="27" spans="1:8" s="9" customFormat="1" ht="30" customHeight="1" x14ac:dyDescent="0.3">
      <c r="A27" s="8"/>
      <c r="B27" s="8"/>
      <c r="C27" s="8"/>
      <c r="D27" s="6"/>
      <c r="E27" s="7"/>
      <c r="F27" s="6"/>
      <c r="G27" s="13"/>
    </row>
    <row r="28" spans="1:8" s="9" customFormat="1" ht="30" customHeight="1" x14ac:dyDescent="0.3">
      <c r="A28" s="8" t="s">
        <v>510</v>
      </c>
      <c r="B28" s="8"/>
      <c r="C28" s="8"/>
      <c r="D28" s="6" t="s">
        <v>195</v>
      </c>
      <c r="E28" s="7" t="s">
        <v>511</v>
      </c>
      <c r="F28" s="31" t="s">
        <v>194</v>
      </c>
      <c r="G28" s="31" t="s">
        <v>512</v>
      </c>
      <c r="H28" s="9" t="s">
        <v>513</v>
      </c>
    </row>
    <row r="29" spans="1:8" s="9" customFormat="1" ht="30" customHeight="1" x14ac:dyDescent="0.3">
      <c r="A29" s="8"/>
      <c r="B29" s="8"/>
      <c r="C29" s="8"/>
      <c r="D29" s="6" t="s">
        <v>17</v>
      </c>
      <c r="E29" s="7" t="s">
        <v>511</v>
      </c>
      <c r="F29" s="31" t="s">
        <v>194</v>
      </c>
      <c r="G29" s="31" t="s">
        <v>512</v>
      </c>
      <c r="H29" s="9" t="s">
        <v>153</v>
      </c>
    </row>
    <row r="30" spans="1:8" s="9" customFormat="1" ht="30" customHeight="1" x14ac:dyDescent="0.3">
      <c r="A30" s="8"/>
      <c r="B30" s="8"/>
      <c r="C30" s="8"/>
      <c r="D30" s="6" t="s">
        <v>15</v>
      </c>
      <c r="E30" s="7" t="s">
        <v>511</v>
      </c>
      <c r="F30" s="31" t="s">
        <v>194</v>
      </c>
      <c r="G30" s="31" t="s">
        <v>512</v>
      </c>
      <c r="H30" s="9" t="s">
        <v>153</v>
      </c>
    </row>
    <row r="31" spans="1:8" s="9" customFormat="1" ht="30" customHeight="1" x14ac:dyDescent="0.3">
      <c r="A31" s="8" t="s">
        <v>639</v>
      </c>
      <c r="B31" s="8"/>
      <c r="C31" s="8"/>
      <c r="D31" s="6" t="s">
        <v>51</v>
      </c>
      <c r="E31" s="8" t="s">
        <v>679</v>
      </c>
      <c r="F31" s="5" t="s">
        <v>680</v>
      </c>
      <c r="G31" s="17" t="s">
        <v>681</v>
      </c>
      <c r="H31" s="9" t="s">
        <v>654</v>
      </c>
    </row>
    <row r="32" spans="1:8" s="9" customFormat="1" ht="30" customHeight="1" x14ac:dyDescent="0.3">
      <c r="A32" s="8"/>
      <c r="B32" s="8"/>
      <c r="C32" s="8"/>
      <c r="D32" s="6" t="s">
        <v>29</v>
      </c>
      <c r="E32" s="8" t="s">
        <v>679</v>
      </c>
      <c r="F32" s="5" t="s">
        <v>680</v>
      </c>
      <c r="G32" s="17" t="s">
        <v>682</v>
      </c>
      <c r="H32" s="9" t="s">
        <v>495</v>
      </c>
    </row>
    <row r="33" spans="1:9" s="9" customFormat="1" ht="30" customHeight="1" x14ac:dyDescent="0.3">
      <c r="A33" s="7">
        <v>46055</v>
      </c>
      <c r="B33" s="8"/>
      <c r="C33" s="8"/>
      <c r="D33" s="6" t="s">
        <v>46</v>
      </c>
      <c r="E33" s="8" t="s">
        <v>711</v>
      </c>
      <c r="F33" s="5" t="s">
        <v>712</v>
      </c>
      <c r="G33" s="3" t="s">
        <v>713</v>
      </c>
      <c r="I33" s="54" t="str">
        <f t="shared" ref="I33:I34" si="0">HYPERLINK("https://drive.google.com/file/d/1rhw7j2QSXatWQHHDyM-8SWcNxnaPZ6qh/view?usp=sharing", "ARNOLD, ARVIC")</f>
        <v>ARNOLD, ARVIC</v>
      </c>
    </row>
    <row r="34" spans="1:9" s="9" customFormat="1" ht="30" customHeight="1" x14ac:dyDescent="0.3">
      <c r="A34" s="8"/>
      <c r="B34" s="8"/>
      <c r="C34" s="8"/>
      <c r="D34" s="6" t="s">
        <v>622</v>
      </c>
      <c r="E34" s="8" t="s">
        <v>711</v>
      </c>
      <c r="F34" s="5" t="s">
        <v>712</v>
      </c>
      <c r="G34" s="3" t="s">
        <v>682</v>
      </c>
      <c r="I34" s="54" t="str">
        <f t="shared" si="0"/>
        <v>ARNOLD, ARVIC</v>
      </c>
    </row>
    <row r="35" spans="1:9" s="9" customFormat="1" ht="30" customHeight="1" x14ac:dyDescent="0.3">
      <c r="A35" s="7">
        <v>46083</v>
      </c>
      <c r="B35" s="8"/>
      <c r="C35" s="8"/>
      <c r="D35" s="6" t="s">
        <v>752</v>
      </c>
      <c r="E35" s="8" t="s">
        <v>753</v>
      </c>
      <c r="F35" s="5" t="s">
        <v>712</v>
      </c>
      <c r="G35" s="3" t="s">
        <v>682</v>
      </c>
      <c r="H35" s="9" t="s">
        <v>495</v>
      </c>
      <c r="I35" s="54"/>
    </row>
    <row r="36" spans="1:9" s="9" customFormat="1" ht="30" customHeight="1" x14ac:dyDescent="0.3">
      <c r="A36" s="7">
        <v>46267</v>
      </c>
      <c r="B36" s="8"/>
      <c r="C36" s="8"/>
      <c r="D36" s="6" t="s">
        <v>195</v>
      </c>
      <c r="E36" s="8" t="s">
        <v>812</v>
      </c>
      <c r="F36" s="5" t="s">
        <v>810</v>
      </c>
      <c r="G36" s="17" t="s">
        <v>817</v>
      </c>
    </row>
    <row r="37" spans="1:9" s="9" customFormat="1" ht="30" customHeight="1" x14ac:dyDescent="0.3">
      <c r="A37" s="8"/>
      <c r="B37" s="8"/>
      <c r="C37" s="8"/>
      <c r="D37" s="6" t="s">
        <v>59</v>
      </c>
      <c r="E37" s="8" t="s">
        <v>813</v>
      </c>
      <c r="F37" s="5" t="s">
        <v>810</v>
      </c>
      <c r="G37" s="17" t="s">
        <v>817</v>
      </c>
    </row>
    <row r="38" spans="1:9" s="9" customFormat="1" ht="30" customHeight="1" x14ac:dyDescent="0.3">
      <c r="A38" s="8"/>
      <c r="B38" s="8"/>
      <c r="C38" s="8"/>
      <c r="D38" s="6" t="s">
        <v>30</v>
      </c>
      <c r="E38" s="8" t="s">
        <v>814</v>
      </c>
      <c r="F38" s="5" t="s">
        <v>810</v>
      </c>
      <c r="G38" s="17" t="s">
        <v>817</v>
      </c>
    </row>
    <row r="39" spans="1:9" s="9" customFormat="1" ht="30" customHeight="1" x14ac:dyDescent="0.3">
      <c r="A39" s="8"/>
      <c r="B39" s="8"/>
      <c r="C39" s="8"/>
      <c r="D39" s="6" t="s">
        <v>635</v>
      </c>
      <c r="E39" s="8" t="s">
        <v>815</v>
      </c>
      <c r="F39" s="5" t="s">
        <v>810</v>
      </c>
      <c r="G39" s="17" t="s">
        <v>817</v>
      </c>
    </row>
    <row r="40" spans="1:9" s="9" customFormat="1" ht="30" customHeight="1" x14ac:dyDescent="0.3">
      <c r="A40" s="8"/>
      <c r="B40" s="8"/>
      <c r="C40" s="8"/>
      <c r="D40" s="6" t="s">
        <v>24</v>
      </c>
      <c r="E40" s="8" t="s">
        <v>816</v>
      </c>
      <c r="F40" s="5" t="s">
        <v>810</v>
      </c>
      <c r="G40" s="17" t="s">
        <v>817</v>
      </c>
    </row>
    <row r="41" spans="1:9" s="9" customFormat="1" ht="30" customHeight="1" x14ac:dyDescent="0.3">
      <c r="A41" s="8"/>
      <c r="B41" s="8"/>
      <c r="C41" s="8"/>
      <c r="D41" s="6" t="s">
        <v>49</v>
      </c>
      <c r="E41" s="8" t="s">
        <v>826</v>
      </c>
      <c r="F41" s="5" t="s">
        <v>827</v>
      </c>
      <c r="G41" s="3" t="s">
        <v>828</v>
      </c>
    </row>
    <row r="42" spans="1:9" s="9" customFormat="1" ht="30" customHeight="1" x14ac:dyDescent="0.3">
      <c r="A42" s="7">
        <v>46328</v>
      </c>
      <c r="B42" s="8"/>
      <c r="C42" s="8"/>
      <c r="D42" s="6" t="s">
        <v>16</v>
      </c>
      <c r="E42" s="8" t="s">
        <v>872</v>
      </c>
      <c r="F42" s="5" t="s">
        <v>349</v>
      </c>
      <c r="G42" s="3" t="s">
        <v>873</v>
      </c>
    </row>
    <row r="43" spans="1:9" s="9" customFormat="1" ht="30" customHeight="1" x14ac:dyDescent="0.3">
      <c r="A43" s="8"/>
      <c r="B43" s="8"/>
      <c r="C43" s="8"/>
      <c r="D43" s="6" t="s">
        <v>29</v>
      </c>
      <c r="E43" s="8" t="s">
        <v>872</v>
      </c>
      <c r="F43" s="5" t="s">
        <v>349</v>
      </c>
      <c r="G43" s="3" t="s">
        <v>873</v>
      </c>
    </row>
    <row r="44" spans="1:9" s="9" customFormat="1" ht="30" customHeight="1" x14ac:dyDescent="0.3">
      <c r="A44" s="8" t="s">
        <v>795</v>
      </c>
      <c r="B44" s="8"/>
      <c r="C44" s="8"/>
      <c r="D44" s="6" t="s">
        <v>23</v>
      </c>
      <c r="E44" s="8" t="s">
        <v>917</v>
      </c>
      <c r="F44" s="5" t="s">
        <v>918</v>
      </c>
      <c r="G44" s="17" t="s">
        <v>919</v>
      </c>
    </row>
    <row r="45" spans="1:9" s="9" customFormat="1" ht="30" customHeight="1" x14ac:dyDescent="0.3">
      <c r="A45" s="8"/>
      <c r="B45" s="8"/>
      <c r="C45" s="8"/>
      <c r="D45" s="6" t="s">
        <v>22</v>
      </c>
      <c r="E45" s="8" t="s">
        <v>917</v>
      </c>
      <c r="F45" s="5" t="s">
        <v>918</v>
      </c>
      <c r="G45" s="17" t="s">
        <v>919</v>
      </c>
    </row>
    <row r="46" spans="1:9" s="9" customFormat="1" ht="30" customHeight="1" x14ac:dyDescent="0.3">
      <c r="A46" s="8" t="s">
        <v>1006</v>
      </c>
      <c r="B46" s="8"/>
      <c r="C46" s="8"/>
      <c r="D46" s="6" t="s">
        <v>16</v>
      </c>
      <c r="E46" s="8" t="s">
        <v>1037</v>
      </c>
      <c r="F46" s="5" t="s">
        <v>1038</v>
      </c>
      <c r="G46" s="17" t="s">
        <v>1048</v>
      </c>
    </row>
    <row r="47" spans="1:9" s="9" customFormat="1" ht="30" customHeight="1" x14ac:dyDescent="0.3">
      <c r="A47" s="8"/>
      <c r="B47" s="8"/>
      <c r="C47" s="8"/>
      <c r="D47" s="6" t="s">
        <v>20</v>
      </c>
      <c r="E47" s="8" t="s">
        <v>1037</v>
      </c>
      <c r="F47" s="5" t="s">
        <v>1038</v>
      </c>
      <c r="G47" s="17" t="s">
        <v>1048</v>
      </c>
    </row>
    <row r="48" spans="1:9" s="9" customFormat="1" ht="30" customHeight="1" x14ac:dyDescent="0.3">
      <c r="A48" s="8" t="s">
        <v>1115</v>
      </c>
      <c r="B48" s="8"/>
      <c r="C48" s="8"/>
      <c r="D48" s="6" t="s">
        <v>59</v>
      </c>
      <c r="E48" s="8" t="s">
        <v>1116</v>
      </c>
      <c r="F48" s="5" t="s">
        <v>1117</v>
      </c>
      <c r="G48" s="3" t="s">
        <v>1118</v>
      </c>
    </row>
    <row r="49" spans="1:7" s="9" customFormat="1" ht="30" customHeight="1" x14ac:dyDescent="0.3">
      <c r="A49" s="8"/>
      <c r="B49" s="8"/>
      <c r="C49" s="8"/>
      <c r="D49" s="6" t="s">
        <v>30</v>
      </c>
      <c r="E49" s="8" t="s">
        <v>1119</v>
      </c>
      <c r="F49" s="5" t="s">
        <v>810</v>
      </c>
      <c r="G49" s="3" t="s">
        <v>1120</v>
      </c>
    </row>
    <row r="50" spans="1:7" s="9" customFormat="1" ht="30" customHeight="1" x14ac:dyDescent="0.3">
      <c r="A50" s="8"/>
      <c r="B50" s="8"/>
      <c r="C50" s="8"/>
      <c r="D50" s="6" t="s">
        <v>913</v>
      </c>
      <c r="E50" s="8" t="s">
        <v>1037</v>
      </c>
      <c r="F50" s="63" t="s">
        <v>1138</v>
      </c>
      <c r="G50" s="63" t="s">
        <v>1137</v>
      </c>
    </row>
    <row r="51" spans="1:7" s="9" customFormat="1" ht="30" customHeight="1" x14ac:dyDescent="0.3">
      <c r="A51" s="8"/>
      <c r="B51" s="8"/>
      <c r="C51" s="8"/>
      <c r="D51" s="6" t="s">
        <v>646</v>
      </c>
      <c r="E51" s="8" t="s">
        <v>1037</v>
      </c>
      <c r="F51" s="63" t="s">
        <v>1138</v>
      </c>
      <c r="G51" s="63" t="s">
        <v>1137</v>
      </c>
    </row>
    <row r="52" spans="1:7" s="9" customFormat="1" ht="30" customHeight="1" x14ac:dyDescent="0.3">
      <c r="A52" s="8" t="s">
        <v>1028</v>
      </c>
      <c r="B52" s="8"/>
      <c r="C52" s="8"/>
      <c r="D52" s="6" t="s">
        <v>85</v>
      </c>
      <c r="E52" s="8" t="s">
        <v>1224</v>
      </c>
      <c r="F52" s="5" t="s">
        <v>712</v>
      </c>
      <c r="G52" s="3" t="s">
        <v>1225</v>
      </c>
    </row>
    <row r="53" spans="1:7" s="9" customFormat="1" ht="30" customHeight="1" x14ac:dyDescent="0.3">
      <c r="A53" s="8"/>
      <c r="B53" s="8"/>
      <c r="C53" s="8"/>
      <c r="D53" s="6" t="s">
        <v>505</v>
      </c>
      <c r="E53" s="8" t="s">
        <v>1224</v>
      </c>
      <c r="F53" s="5" t="s">
        <v>712</v>
      </c>
      <c r="G53" s="3" t="s">
        <v>1225</v>
      </c>
    </row>
    <row r="54" spans="1:7" s="9" customFormat="1" ht="30" customHeight="1" x14ac:dyDescent="0.3">
      <c r="A54" s="8"/>
      <c r="B54" s="8"/>
      <c r="C54" s="8"/>
      <c r="D54" s="6" t="s">
        <v>42</v>
      </c>
      <c r="E54" s="8" t="s">
        <v>1224</v>
      </c>
      <c r="F54" s="5" t="s">
        <v>712</v>
      </c>
      <c r="G54" s="3" t="s">
        <v>1225</v>
      </c>
    </row>
    <row r="55" spans="1:7" s="9" customFormat="1" ht="30" customHeight="1" x14ac:dyDescent="0.3">
      <c r="A55" s="8"/>
      <c r="B55" s="8"/>
      <c r="C55" s="8"/>
      <c r="D55" s="6" t="s">
        <v>1223</v>
      </c>
      <c r="E55" s="8" t="s">
        <v>1224</v>
      </c>
      <c r="F55" s="5" t="s">
        <v>712</v>
      </c>
      <c r="G55" s="3" t="s">
        <v>682</v>
      </c>
    </row>
    <row r="56" spans="1:7" s="9" customFormat="1" ht="30" customHeight="1" x14ac:dyDescent="0.3">
      <c r="A56" s="8"/>
      <c r="B56" s="8"/>
      <c r="C56" s="8"/>
      <c r="D56" s="6" t="s">
        <v>16</v>
      </c>
      <c r="E56" s="8" t="s">
        <v>1315</v>
      </c>
      <c r="F56" s="5" t="s">
        <v>1316</v>
      </c>
      <c r="G56" s="3" t="s">
        <v>1317</v>
      </c>
    </row>
    <row r="57" spans="1:7" s="9" customFormat="1" ht="30" customHeight="1" x14ac:dyDescent="0.3">
      <c r="A57" s="8"/>
      <c r="B57" s="8"/>
      <c r="C57" s="8"/>
      <c r="D57" s="6" t="s">
        <v>49</v>
      </c>
      <c r="E57" s="8" t="s">
        <v>1328</v>
      </c>
      <c r="F57" s="5" t="s">
        <v>1329</v>
      </c>
      <c r="G57" s="3" t="s">
        <v>1330</v>
      </c>
    </row>
    <row r="58" spans="1:7" s="9" customFormat="1" ht="30" customHeight="1" x14ac:dyDescent="0.3">
      <c r="A58" s="8"/>
      <c r="B58" s="8"/>
      <c r="C58" s="8"/>
      <c r="D58" s="6" t="s">
        <v>461</v>
      </c>
      <c r="E58" s="8" t="s">
        <v>1328</v>
      </c>
      <c r="F58" s="5" t="s">
        <v>1329</v>
      </c>
      <c r="G58" s="3" t="s">
        <v>1330</v>
      </c>
    </row>
    <row r="59" spans="1:7" s="9" customFormat="1" ht="30" customHeight="1" x14ac:dyDescent="0.3">
      <c r="A59" s="7">
        <v>46115</v>
      </c>
      <c r="B59" s="8"/>
      <c r="C59" s="8"/>
      <c r="D59" s="6" t="s">
        <v>52</v>
      </c>
      <c r="E59" s="8" t="s">
        <v>1358</v>
      </c>
      <c r="F59" s="5" t="s">
        <v>1359</v>
      </c>
      <c r="G59" s="3" t="s">
        <v>1360</v>
      </c>
    </row>
    <row r="60" spans="1:7" s="9" customFormat="1" ht="30" customHeight="1" x14ac:dyDescent="0.3">
      <c r="A60" s="8"/>
      <c r="B60" s="8"/>
      <c r="C60" s="8"/>
      <c r="D60" s="6" t="s">
        <v>50</v>
      </c>
      <c r="E60" s="8" t="s">
        <v>1358</v>
      </c>
      <c r="F60" s="5" t="s">
        <v>1359</v>
      </c>
      <c r="G60" s="3" t="s">
        <v>1360</v>
      </c>
    </row>
    <row r="61" spans="1:7" s="9" customFormat="1" ht="30" customHeight="1" x14ac:dyDescent="0.3">
      <c r="A61" s="7">
        <v>46268</v>
      </c>
      <c r="B61" s="8"/>
      <c r="C61" s="8"/>
      <c r="D61" s="6" t="s">
        <v>29</v>
      </c>
      <c r="E61" s="8" t="s">
        <v>1460</v>
      </c>
      <c r="F61" s="5" t="s">
        <v>1442</v>
      </c>
      <c r="G61" s="3" t="s">
        <v>1461</v>
      </c>
    </row>
    <row r="62" spans="1:7" s="9" customFormat="1" ht="30" customHeight="1" x14ac:dyDescent="0.3">
      <c r="A62" s="8"/>
      <c r="B62" s="8"/>
      <c r="C62" s="8"/>
      <c r="D62" s="6" t="s">
        <v>1459</v>
      </c>
      <c r="E62" s="8" t="s">
        <v>1460</v>
      </c>
      <c r="F62" s="5" t="s">
        <v>1442</v>
      </c>
      <c r="G62" s="3" t="s">
        <v>1461</v>
      </c>
    </row>
    <row r="63" spans="1:7" s="9" customFormat="1" ht="30" customHeight="1" x14ac:dyDescent="0.3">
      <c r="A63" s="7">
        <v>46298</v>
      </c>
      <c r="B63" s="8"/>
      <c r="C63" s="8"/>
      <c r="D63" s="6" t="s">
        <v>15</v>
      </c>
      <c r="E63" s="8" t="s">
        <v>1493</v>
      </c>
      <c r="F63" s="5" t="s">
        <v>1494</v>
      </c>
      <c r="G63" s="17" t="s">
        <v>1495</v>
      </c>
    </row>
    <row r="64" spans="1:7" s="9" customFormat="1" ht="30" customHeight="1" x14ac:dyDescent="0.3">
      <c r="A64" s="8"/>
      <c r="B64" s="8"/>
      <c r="C64" s="8"/>
      <c r="D64" s="6" t="s">
        <v>195</v>
      </c>
      <c r="E64" s="8" t="s">
        <v>1417</v>
      </c>
      <c r="F64" s="5" t="s">
        <v>1218</v>
      </c>
      <c r="G64" s="3" t="s">
        <v>1496</v>
      </c>
    </row>
    <row r="65" spans="1:7" s="9" customFormat="1" ht="30" customHeight="1" x14ac:dyDescent="0.3">
      <c r="A65" s="8"/>
      <c r="B65" s="8"/>
      <c r="C65" s="8"/>
      <c r="D65" s="6" t="s">
        <v>54</v>
      </c>
      <c r="E65" s="8" t="s">
        <v>1417</v>
      </c>
      <c r="F65" s="5" t="s">
        <v>1218</v>
      </c>
      <c r="G65" s="3" t="s">
        <v>1496</v>
      </c>
    </row>
    <row r="66" spans="1:7" s="9" customFormat="1" ht="30" customHeight="1" x14ac:dyDescent="0.3">
      <c r="A66" s="7">
        <v>46359</v>
      </c>
      <c r="B66" s="8"/>
      <c r="C66" s="8"/>
      <c r="D66" s="6" t="s">
        <v>505</v>
      </c>
      <c r="E66" s="8" t="s">
        <v>1571</v>
      </c>
      <c r="F66" s="5" t="s">
        <v>1572</v>
      </c>
      <c r="G66" s="3" t="s">
        <v>1573</v>
      </c>
    </row>
    <row r="67" spans="1:7" s="9" customFormat="1" ht="30" customHeight="1" x14ac:dyDescent="0.3">
      <c r="A67" s="8"/>
      <c r="B67" s="8"/>
      <c r="C67" s="8"/>
      <c r="D67" s="6" t="s">
        <v>1570</v>
      </c>
      <c r="E67" s="8" t="s">
        <v>1571</v>
      </c>
      <c r="F67" s="5" t="s">
        <v>1572</v>
      </c>
      <c r="G67" s="3" t="s">
        <v>1573</v>
      </c>
    </row>
    <row r="68" spans="1:7" s="9" customFormat="1" ht="30" customHeight="1" x14ac:dyDescent="0.3">
      <c r="A68" s="8" t="s">
        <v>1582</v>
      </c>
      <c r="B68" s="8"/>
      <c r="C68" s="8"/>
      <c r="D68" s="6" t="s">
        <v>49</v>
      </c>
      <c r="E68" s="8" t="s">
        <v>1171</v>
      </c>
      <c r="F68" s="5" t="s">
        <v>1597</v>
      </c>
      <c r="G68" s="3" t="s">
        <v>1598</v>
      </c>
    </row>
    <row r="69" spans="1:7" s="9" customFormat="1" ht="30" customHeight="1" x14ac:dyDescent="0.3">
      <c r="A69" s="8" t="s">
        <v>1664</v>
      </c>
      <c r="B69" s="8"/>
      <c r="C69" s="8"/>
      <c r="D69" s="6" t="s">
        <v>635</v>
      </c>
      <c r="E69" s="8" t="s">
        <v>1667</v>
      </c>
      <c r="F69" s="5" t="s">
        <v>1668</v>
      </c>
      <c r="G69" s="3" t="s">
        <v>1669</v>
      </c>
    </row>
    <row r="70" spans="1:7" s="9" customFormat="1" ht="30" customHeight="1" x14ac:dyDescent="0.3">
      <c r="A70" s="8" t="s">
        <v>1464</v>
      </c>
      <c r="B70" s="8"/>
      <c r="C70" s="8"/>
      <c r="D70" s="6" t="s">
        <v>20</v>
      </c>
      <c r="E70" s="8" t="s">
        <v>1683</v>
      </c>
      <c r="F70" s="5" t="s">
        <v>1684</v>
      </c>
      <c r="G70" s="3" t="s">
        <v>1685</v>
      </c>
    </row>
    <row r="71" spans="1:7" s="9" customFormat="1" ht="30" customHeight="1" x14ac:dyDescent="0.3">
      <c r="A71" s="8" t="s">
        <v>1731</v>
      </c>
      <c r="B71" s="8"/>
      <c r="C71" s="8"/>
      <c r="D71" s="6" t="s">
        <v>635</v>
      </c>
      <c r="E71" s="8" t="s">
        <v>1754</v>
      </c>
      <c r="F71" s="5" t="s">
        <v>1782</v>
      </c>
      <c r="G71" s="3" t="s">
        <v>1783</v>
      </c>
    </row>
    <row r="72" spans="1:7" s="9" customFormat="1" ht="30" customHeight="1" x14ac:dyDescent="0.3">
      <c r="A72" s="8" t="s">
        <v>1818</v>
      </c>
      <c r="B72" s="8"/>
      <c r="C72" s="8"/>
      <c r="D72" s="6" t="s">
        <v>1826</v>
      </c>
      <c r="E72" s="8" t="s">
        <v>1827</v>
      </c>
      <c r="F72" s="5" t="s">
        <v>1828</v>
      </c>
      <c r="G72" s="3" t="s">
        <v>1829</v>
      </c>
    </row>
    <row r="73" spans="1:7" s="9" customFormat="1" ht="30" customHeight="1" x14ac:dyDescent="0.3">
      <c r="A73" s="8" t="s">
        <v>1818</v>
      </c>
      <c r="B73" s="8"/>
      <c r="C73" s="8"/>
      <c r="D73" s="6" t="s">
        <v>1830</v>
      </c>
      <c r="E73" s="8" t="s">
        <v>1831</v>
      </c>
      <c r="F73" s="5" t="s">
        <v>1828</v>
      </c>
      <c r="G73" s="3" t="s">
        <v>1832</v>
      </c>
    </row>
    <row r="74" spans="1:7" s="9" customFormat="1" ht="30" customHeight="1" x14ac:dyDescent="0.3">
      <c r="A74" s="8" t="s">
        <v>1818</v>
      </c>
      <c r="B74" s="8"/>
      <c r="C74" s="8"/>
      <c r="D74" s="6" t="s">
        <v>1459</v>
      </c>
      <c r="E74" s="8" t="s">
        <v>1831</v>
      </c>
      <c r="F74" s="5" t="s">
        <v>1828</v>
      </c>
      <c r="G74" s="3" t="s">
        <v>654</v>
      </c>
    </row>
    <row r="75" spans="1:7" s="9" customFormat="1" ht="30" customHeight="1" x14ac:dyDescent="0.3">
      <c r="A75" s="7">
        <v>46299</v>
      </c>
      <c r="B75" s="8"/>
      <c r="C75" s="8"/>
      <c r="D75" s="6" t="s">
        <v>58</v>
      </c>
      <c r="E75" s="8" t="s">
        <v>1959</v>
      </c>
      <c r="F75" s="5" t="s">
        <v>810</v>
      </c>
      <c r="G75" s="17" t="s">
        <v>1960</v>
      </c>
    </row>
    <row r="76" spans="1:7" s="9" customFormat="1" ht="30" customHeight="1" x14ac:dyDescent="0.3">
      <c r="A76" s="8" t="s">
        <v>2010</v>
      </c>
      <c r="B76" s="8"/>
      <c r="C76" s="8"/>
      <c r="D76" s="6" t="s">
        <v>342</v>
      </c>
      <c r="E76" s="8" t="s">
        <v>2011</v>
      </c>
      <c r="F76" s="5" t="s">
        <v>346</v>
      </c>
      <c r="G76" s="3" t="s">
        <v>2015</v>
      </c>
    </row>
    <row r="77" spans="1:7" s="9" customFormat="1" ht="30" customHeight="1" x14ac:dyDescent="0.3">
      <c r="A77" s="8"/>
      <c r="B77" s="8"/>
      <c r="C77" s="8"/>
      <c r="D77" s="3" t="s">
        <v>2013</v>
      </c>
      <c r="E77" s="8" t="s">
        <v>2011</v>
      </c>
      <c r="F77" s="5" t="s">
        <v>346</v>
      </c>
      <c r="G77" s="3" t="s">
        <v>2012</v>
      </c>
    </row>
    <row r="78" spans="1:7" s="9" customFormat="1" ht="30" customHeight="1" x14ac:dyDescent="0.3">
      <c r="A78" s="8"/>
      <c r="B78" s="8"/>
      <c r="C78" s="8"/>
      <c r="D78" s="6" t="s">
        <v>2014</v>
      </c>
      <c r="E78" s="8" t="s">
        <v>2011</v>
      </c>
      <c r="F78" s="5" t="s">
        <v>346</v>
      </c>
      <c r="G78" s="3" t="s">
        <v>2012</v>
      </c>
    </row>
    <row r="79" spans="1:7" s="9" customFormat="1" ht="30" customHeight="1" x14ac:dyDescent="0.3">
      <c r="A79" s="8" t="s">
        <v>2168</v>
      </c>
      <c r="B79" s="8"/>
      <c r="C79" s="8"/>
      <c r="D79" s="6" t="s">
        <v>46</v>
      </c>
      <c r="E79" s="8" t="s">
        <v>1816</v>
      </c>
      <c r="F79" s="5" t="s">
        <v>2159</v>
      </c>
      <c r="G79" s="17" t="s">
        <v>2160</v>
      </c>
    </row>
    <row r="80" spans="1:7" s="9" customFormat="1" ht="30" customHeight="1" x14ac:dyDescent="0.3">
      <c r="A80" s="8"/>
      <c r="B80" s="8"/>
      <c r="C80" s="8"/>
      <c r="D80" s="6" t="s">
        <v>58</v>
      </c>
      <c r="E80" s="8" t="s">
        <v>1816</v>
      </c>
      <c r="F80" s="5" t="s">
        <v>2159</v>
      </c>
      <c r="G80" s="17" t="s">
        <v>2160</v>
      </c>
    </row>
    <row r="81" spans="1:7" s="9" customFormat="1" ht="30" customHeight="1" x14ac:dyDescent="0.3">
      <c r="A81" s="8"/>
      <c r="B81" s="8"/>
      <c r="C81" s="8"/>
      <c r="D81" s="6" t="s">
        <v>1459</v>
      </c>
      <c r="E81" s="8" t="s">
        <v>1816</v>
      </c>
      <c r="F81" s="5" t="s">
        <v>2159</v>
      </c>
      <c r="G81" s="3" t="s">
        <v>682</v>
      </c>
    </row>
    <row r="82" spans="1:7" s="9" customFormat="1" ht="30" customHeight="1" x14ac:dyDescent="0.3">
      <c r="A82" s="8"/>
      <c r="B82" s="8"/>
      <c r="C82" s="8"/>
      <c r="D82" s="6" t="s">
        <v>23</v>
      </c>
      <c r="E82" s="8" t="s">
        <v>2177</v>
      </c>
      <c r="F82" s="5" t="s">
        <v>194</v>
      </c>
      <c r="G82" s="17" t="s">
        <v>2178</v>
      </c>
    </row>
    <row r="83" spans="1:7" s="9" customFormat="1" ht="30" customHeight="1" x14ac:dyDescent="0.3">
      <c r="A83" s="8"/>
      <c r="B83" s="8"/>
      <c r="C83" s="8"/>
      <c r="D83" s="6" t="s">
        <v>22</v>
      </c>
      <c r="E83" s="8" t="s">
        <v>2177</v>
      </c>
      <c r="F83" s="5" t="s">
        <v>194</v>
      </c>
      <c r="G83" s="17" t="s">
        <v>2178</v>
      </c>
    </row>
    <row r="84" spans="1:7" s="9" customFormat="1" ht="30" customHeight="1" x14ac:dyDescent="0.3">
      <c r="A84" s="8"/>
      <c r="B84" s="8"/>
      <c r="C84" s="8"/>
      <c r="D84" s="6" t="s">
        <v>635</v>
      </c>
      <c r="E84" s="8" t="s">
        <v>2006</v>
      </c>
      <c r="F84" s="5" t="s">
        <v>411</v>
      </c>
      <c r="G84" s="3" t="s">
        <v>2189</v>
      </c>
    </row>
    <row r="85" spans="1:7" s="9" customFormat="1" ht="30" customHeight="1" x14ac:dyDescent="0.3">
      <c r="A85" s="8"/>
      <c r="B85" s="8"/>
      <c r="C85" s="8"/>
      <c r="D85" s="6" t="s">
        <v>20</v>
      </c>
      <c r="E85" s="8" t="s">
        <v>2206</v>
      </c>
      <c r="F85" s="5" t="s">
        <v>235</v>
      </c>
      <c r="G85" s="3" t="s">
        <v>1873</v>
      </c>
    </row>
    <row r="86" spans="1:7" s="9" customFormat="1" ht="30" customHeight="1" x14ac:dyDescent="0.3">
      <c r="A86" s="8"/>
      <c r="B86" s="8" t="s">
        <v>2307</v>
      </c>
      <c r="C86" s="8"/>
      <c r="D86" s="6" t="s">
        <v>29</v>
      </c>
      <c r="E86" s="8" t="s">
        <v>2190</v>
      </c>
      <c r="F86" s="5" t="s">
        <v>2315</v>
      </c>
      <c r="G86" s="3" t="s">
        <v>2316</v>
      </c>
    </row>
    <row r="87" spans="1:7" s="9" customFormat="1" ht="30" customHeight="1" x14ac:dyDescent="0.3">
      <c r="A87" s="8"/>
      <c r="B87" s="8"/>
      <c r="C87" s="8"/>
      <c r="D87" s="6" t="s">
        <v>342</v>
      </c>
      <c r="E87" s="8" t="s">
        <v>2317</v>
      </c>
      <c r="F87" s="5" t="s">
        <v>2318</v>
      </c>
      <c r="G87" s="3" t="s">
        <v>2319</v>
      </c>
    </row>
    <row r="88" spans="1:7" s="9" customFormat="1" ht="30" customHeight="1" x14ac:dyDescent="0.3">
      <c r="A88" s="8"/>
      <c r="B88" s="8"/>
      <c r="C88" s="8"/>
      <c r="D88" s="6" t="s">
        <v>2014</v>
      </c>
      <c r="E88" s="8" t="s">
        <v>2190</v>
      </c>
      <c r="F88" s="5" t="s">
        <v>2318</v>
      </c>
      <c r="G88" s="3" t="s">
        <v>2319</v>
      </c>
    </row>
    <row r="89" spans="1:7" s="9" customFormat="1" ht="30" customHeight="1" x14ac:dyDescent="0.3">
      <c r="A89" s="8"/>
      <c r="B89" s="8"/>
      <c r="C89" s="8"/>
      <c r="D89" s="6" t="s">
        <v>1459</v>
      </c>
      <c r="E89" s="8" t="s">
        <v>2317</v>
      </c>
      <c r="F89" s="5" t="s">
        <v>2322</v>
      </c>
      <c r="G89" s="3" t="s">
        <v>2323</v>
      </c>
    </row>
    <row r="90" spans="1:7" s="9" customFormat="1" ht="30" customHeight="1" x14ac:dyDescent="0.3">
      <c r="A90" s="8"/>
      <c r="B90" s="8"/>
      <c r="C90" s="8"/>
      <c r="D90" s="6" t="s">
        <v>2320</v>
      </c>
      <c r="E90" s="8" t="s">
        <v>2321</v>
      </c>
      <c r="F90" s="5" t="s">
        <v>2322</v>
      </c>
      <c r="G90" s="3" t="s">
        <v>2323</v>
      </c>
    </row>
    <row r="91" spans="1:7" s="9" customFormat="1" ht="30" customHeight="1" x14ac:dyDescent="0.3">
      <c r="A91" s="8"/>
      <c r="B91" s="7">
        <v>46147</v>
      </c>
      <c r="C91" s="8"/>
      <c r="D91" s="6" t="s">
        <v>20</v>
      </c>
      <c r="E91" s="8"/>
      <c r="F91" s="5"/>
      <c r="G91" s="3"/>
    </row>
    <row r="92" spans="1:7" s="9" customFormat="1" ht="30" customHeight="1" x14ac:dyDescent="0.3">
      <c r="A92" s="8"/>
      <c r="B92" s="8"/>
      <c r="C92" s="8"/>
      <c r="D92" s="6" t="s">
        <v>16</v>
      </c>
      <c r="E92" s="8"/>
      <c r="F92" s="5"/>
      <c r="G92" s="3"/>
    </row>
    <row r="93" spans="1:7" s="9" customFormat="1" ht="30" customHeight="1" x14ac:dyDescent="0.3">
      <c r="A93" s="8"/>
      <c r="B93" s="8"/>
      <c r="C93" s="8"/>
      <c r="D93" s="6" t="s">
        <v>342</v>
      </c>
      <c r="E93" s="8"/>
      <c r="F93" s="5"/>
      <c r="G93" s="3"/>
    </row>
    <row r="94" spans="1:7" s="9" customFormat="1" ht="30" customHeight="1" x14ac:dyDescent="0.3">
      <c r="A94" s="8"/>
      <c r="B94" s="7">
        <v>46361</v>
      </c>
      <c r="C94" s="8"/>
      <c r="D94" s="6" t="s">
        <v>46</v>
      </c>
      <c r="E94" s="8" t="s">
        <v>2533</v>
      </c>
      <c r="F94" s="5" t="s">
        <v>194</v>
      </c>
      <c r="G94" s="3" t="s">
        <v>2539</v>
      </c>
    </row>
    <row r="95" spans="1:7" s="9" customFormat="1" ht="30" customHeight="1" x14ac:dyDescent="0.3">
      <c r="A95" s="8"/>
      <c r="B95" s="8"/>
      <c r="C95" s="8"/>
      <c r="D95" s="6" t="s">
        <v>85</v>
      </c>
      <c r="E95" s="8" t="s">
        <v>2534</v>
      </c>
      <c r="F95" s="5" t="s">
        <v>194</v>
      </c>
      <c r="G95" s="17" t="s">
        <v>2540</v>
      </c>
    </row>
    <row r="96" spans="1:7" s="9" customFormat="1" ht="30" customHeight="1" x14ac:dyDescent="0.3">
      <c r="A96" s="8"/>
      <c r="B96" s="8"/>
      <c r="C96" s="8"/>
      <c r="D96" s="6" t="s">
        <v>505</v>
      </c>
      <c r="E96" s="8" t="s">
        <v>2535</v>
      </c>
      <c r="F96" s="5" t="s">
        <v>194</v>
      </c>
      <c r="G96" s="17" t="s">
        <v>2540</v>
      </c>
    </row>
    <row r="97" spans="1:7" s="9" customFormat="1" ht="30" customHeight="1" x14ac:dyDescent="0.3">
      <c r="A97" s="8"/>
      <c r="B97" s="8"/>
      <c r="C97" s="8"/>
      <c r="D97" s="6" t="s">
        <v>1570</v>
      </c>
      <c r="E97" s="8" t="s">
        <v>2536</v>
      </c>
      <c r="F97" s="5" t="s">
        <v>194</v>
      </c>
      <c r="G97" s="17" t="s">
        <v>2540</v>
      </c>
    </row>
    <row r="98" spans="1:7" s="9" customFormat="1" ht="30" customHeight="1" x14ac:dyDescent="0.3">
      <c r="A98" s="8"/>
      <c r="B98" s="8"/>
      <c r="C98" s="8"/>
      <c r="D98" s="6" t="s">
        <v>42</v>
      </c>
      <c r="E98" s="8" t="s">
        <v>2537</v>
      </c>
      <c r="F98" s="5" t="s">
        <v>194</v>
      </c>
      <c r="G98" s="17" t="s">
        <v>2540</v>
      </c>
    </row>
    <row r="99" spans="1:7" s="9" customFormat="1" ht="30" customHeight="1" x14ac:dyDescent="0.3">
      <c r="A99" s="5"/>
      <c r="B99" s="3"/>
      <c r="C99" s="8"/>
      <c r="D99" s="6" t="s">
        <v>1459</v>
      </c>
      <c r="E99" s="8" t="s">
        <v>2538</v>
      </c>
      <c r="F99" s="5" t="s">
        <v>194</v>
      </c>
      <c r="G99" s="17" t="s">
        <v>2540</v>
      </c>
    </row>
    <row r="100" spans="1:7" s="9" customFormat="1" ht="30" customHeight="1" x14ac:dyDescent="0.3">
      <c r="A100" s="5"/>
      <c r="B100" s="3" t="s">
        <v>2554</v>
      </c>
      <c r="C100" s="8"/>
      <c r="D100" s="6" t="s">
        <v>85</v>
      </c>
      <c r="E100" s="8" t="s">
        <v>2557</v>
      </c>
      <c r="F100" s="5" t="s">
        <v>2560</v>
      </c>
      <c r="G100" s="3" t="s">
        <v>2561</v>
      </c>
    </row>
    <row r="101" spans="1:7" s="9" customFormat="1" ht="30" customHeight="1" x14ac:dyDescent="0.3">
      <c r="A101" s="5"/>
      <c r="B101" s="3"/>
      <c r="C101" s="8"/>
      <c r="D101" s="6" t="s">
        <v>42</v>
      </c>
      <c r="E101" s="8" t="s">
        <v>2558</v>
      </c>
      <c r="F101" s="5" t="s">
        <v>2560</v>
      </c>
      <c r="G101" s="3" t="s">
        <v>2561</v>
      </c>
    </row>
    <row r="102" spans="1:7" s="9" customFormat="1" ht="30" customHeight="1" x14ac:dyDescent="0.3">
      <c r="A102" s="5"/>
      <c r="B102" s="3"/>
      <c r="C102" s="8"/>
      <c r="D102" s="6" t="s">
        <v>1459</v>
      </c>
      <c r="E102" s="8" t="s">
        <v>2559</v>
      </c>
      <c r="F102" s="5" t="s">
        <v>2560</v>
      </c>
      <c r="G102" s="3" t="s">
        <v>2561</v>
      </c>
    </row>
    <row r="103" spans="1:7" s="9" customFormat="1" ht="30" customHeight="1" x14ac:dyDescent="0.3">
      <c r="A103" s="5"/>
      <c r="B103" s="3"/>
      <c r="C103" s="8"/>
      <c r="D103" s="6" t="s">
        <v>29</v>
      </c>
      <c r="E103" s="8" t="s">
        <v>2562</v>
      </c>
      <c r="F103" s="5" t="s">
        <v>2563</v>
      </c>
      <c r="G103" s="3" t="s">
        <v>2564</v>
      </c>
    </row>
    <row r="104" spans="1:7" s="9" customFormat="1" ht="30" customHeight="1" x14ac:dyDescent="0.3">
      <c r="A104" s="5"/>
      <c r="B104" s="3" t="s">
        <v>2571</v>
      </c>
      <c r="C104" s="8"/>
      <c r="D104" s="6" t="s">
        <v>15</v>
      </c>
      <c r="E104" s="8" t="s">
        <v>2551</v>
      </c>
      <c r="F104" s="5" t="s">
        <v>2578</v>
      </c>
      <c r="G104" s="17" t="s">
        <v>2579</v>
      </c>
    </row>
    <row r="105" spans="1:7" s="9" customFormat="1" ht="30" customHeight="1" x14ac:dyDescent="0.3">
      <c r="A105" s="5"/>
      <c r="B105" s="3"/>
      <c r="C105" s="8"/>
      <c r="D105" s="6" t="s">
        <v>15</v>
      </c>
      <c r="E105" s="8" t="s">
        <v>2580</v>
      </c>
      <c r="F105" s="5" t="s">
        <v>2581</v>
      </c>
      <c r="G105" s="3" t="s">
        <v>2582</v>
      </c>
    </row>
    <row r="106" spans="1:7" s="9" customFormat="1" ht="30" customHeight="1" x14ac:dyDescent="0.3">
      <c r="A106" s="5"/>
      <c r="B106" s="3" t="s">
        <v>2639</v>
      </c>
      <c r="C106" s="8"/>
      <c r="D106" s="6" t="s">
        <v>342</v>
      </c>
      <c r="E106" s="8" t="s">
        <v>2640</v>
      </c>
      <c r="F106" s="5" t="s">
        <v>2563</v>
      </c>
      <c r="G106" s="3" t="s">
        <v>2641</v>
      </c>
    </row>
    <row r="107" spans="1:7" s="9" customFormat="1" ht="30" customHeight="1" x14ac:dyDescent="0.3">
      <c r="A107" s="5"/>
      <c r="B107" s="3"/>
      <c r="C107" s="8"/>
      <c r="D107" s="6" t="s">
        <v>46</v>
      </c>
      <c r="E107" s="8" t="s">
        <v>2583</v>
      </c>
      <c r="F107" s="5" t="s">
        <v>2674</v>
      </c>
      <c r="G107" s="17" t="s">
        <v>2676</v>
      </c>
    </row>
    <row r="108" spans="1:7" s="9" customFormat="1" ht="30" customHeight="1" x14ac:dyDescent="0.3">
      <c r="A108" s="5"/>
      <c r="B108" s="3"/>
      <c r="C108" s="8"/>
      <c r="D108" s="6" t="s">
        <v>85</v>
      </c>
      <c r="E108" s="8" t="s">
        <v>2583</v>
      </c>
      <c r="F108" s="5" t="s">
        <v>2674</v>
      </c>
      <c r="G108" s="17" t="s">
        <v>2676</v>
      </c>
    </row>
    <row r="109" spans="1:7" s="9" customFormat="1" ht="30" customHeight="1" x14ac:dyDescent="0.3">
      <c r="A109" s="5"/>
      <c r="B109" s="3"/>
      <c r="C109" s="8"/>
      <c r="D109" s="6" t="s">
        <v>20</v>
      </c>
      <c r="E109" s="8" t="s">
        <v>2583</v>
      </c>
      <c r="F109" s="5" t="s">
        <v>2674</v>
      </c>
      <c r="G109" s="17" t="s">
        <v>2676</v>
      </c>
    </row>
    <row r="110" spans="1:7" s="9" customFormat="1" ht="30" customHeight="1" x14ac:dyDescent="0.3">
      <c r="A110" s="5"/>
      <c r="B110" s="3"/>
      <c r="C110" s="8"/>
      <c r="D110" s="6" t="s">
        <v>1459</v>
      </c>
      <c r="E110" s="8" t="s">
        <v>2583</v>
      </c>
      <c r="F110" s="5" t="s">
        <v>2674</v>
      </c>
      <c r="G110" s="3" t="s">
        <v>682</v>
      </c>
    </row>
    <row r="111" spans="1:7" s="9" customFormat="1" ht="30" customHeight="1" x14ac:dyDescent="0.3">
      <c r="A111" s="5"/>
      <c r="B111" s="3"/>
      <c r="C111" s="8"/>
      <c r="D111" s="6" t="s">
        <v>46</v>
      </c>
      <c r="E111" s="8" t="s">
        <v>2678</v>
      </c>
      <c r="F111" s="5" t="s">
        <v>2674</v>
      </c>
      <c r="G111" s="3" t="s">
        <v>2679</v>
      </c>
    </row>
    <row r="112" spans="1:7" s="9" customFormat="1" ht="30" customHeight="1" x14ac:dyDescent="0.3">
      <c r="A112" s="5"/>
      <c r="B112" s="3"/>
      <c r="C112" s="8"/>
      <c r="D112" s="6" t="s">
        <v>85</v>
      </c>
      <c r="E112" s="8" t="s">
        <v>2678</v>
      </c>
      <c r="F112" s="5" t="s">
        <v>2674</v>
      </c>
      <c r="G112" s="3" t="s">
        <v>2679</v>
      </c>
    </row>
    <row r="113" spans="1:7" s="9" customFormat="1" ht="30" customHeight="1" x14ac:dyDescent="0.3">
      <c r="A113" s="5"/>
      <c r="B113" s="3"/>
      <c r="C113" s="8"/>
      <c r="D113" s="6" t="s">
        <v>15</v>
      </c>
      <c r="E113" s="8" t="s">
        <v>2678</v>
      </c>
      <c r="F113" s="5" t="s">
        <v>2674</v>
      </c>
      <c r="G113" s="3" t="s">
        <v>2679</v>
      </c>
    </row>
    <row r="114" spans="1:7" s="9" customFormat="1" ht="30" customHeight="1" x14ac:dyDescent="0.3">
      <c r="A114" s="5"/>
      <c r="B114" s="3"/>
      <c r="C114" s="8"/>
      <c r="D114" s="6" t="s">
        <v>1459</v>
      </c>
      <c r="E114" s="8" t="s">
        <v>2678</v>
      </c>
      <c r="F114" s="5" t="s">
        <v>2674</v>
      </c>
      <c r="G114" s="3" t="s">
        <v>682</v>
      </c>
    </row>
    <row r="115" spans="1:7" s="9" customFormat="1" ht="30" customHeight="1" x14ac:dyDescent="0.3">
      <c r="A115" s="5"/>
      <c r="B115" s="3"/>
      <c r="C115" s="8"/>
      <c r="D115" s="6" t="s">
        <v>85</v>
      </c>
      <c r="E115" s="8" t="s">
        <v>2710</v>
      </c>
      <c r="F115" s="5" t="s">
        <v>2711</v>
      </c>
      <c r="G115" s="3" t="s">
        <v>2712</v>
      </c>
    </row>
    <row r="116" spans="1:7" s="9" customFormat="1" ht="30" customHeight="1" x14ac:dyDescent="0.3">
      <c r="A116" s="5"/>
      <c r="B116" s="3" t="s">
        <v>2717</v>
      </c>
      <c r="C116" s="8"/>
      <c r="D116" s="6" t="s">
        <v>15</v>
      </c>
      <c r="E116" s="8" t="s">
        <v>2718</v>
      </c>
      <c r="F116" s="5" t="s">
        <v>2719</v>
      </c>
      <c r="G116" s="17" t="s">
        <v>2720</v>
      </c>
    </row>
    <row r="117" spans="1:7" s="9" customFormat="1" ht="30" customHeight="1" x14ac:dyDescent="0.3">
      <c r="A117" s="5"/>
      <c r="B117" s="94">
        <v>46028</v>
      </c>
      <c r="C117" s="8"/>
      <c r="D117" s="6" t="s">
        <v>29</v>
      </c>
      <c r="E117" s="8" t="s">
        <v>2807</v>
      </c>
      <c r="F117" s="5" t="s">
        <v>2808</v>
      </c>
      <c r="G117" s="3" t="s">
        <v>682</v>
      </c>
    </row>
    <row r="118" spans="1:7" s="9" customFormat="1" ht="30" customHeight="1" x14ac:dyDescent="0.3">
      <c r="A118" s="5"/>
      <c r="B118" s="64">
        <v>46059</v>
      </c>
      <c r="C118" s="8"/>
      <c r="D118" s="6" t="s">
        <v>505</v>
      </c>
      <c r="E118" s="8" t="s">
        <v>2816</v>
      </c>
      <c r="F118" s="5" t="s">
        <v>194</v>
      </c>
      <c r="G118" s="3" t="s">
        <v>2817</v>
      </c>
    </row>
    <row r="119" spans="1:7" s="9" customFormat="1" ht="30" customHeight="1" x14ac:dyDescent="0.3">
      <c r="A119" s="5"/>
      <c r="B119" s="64">
        <v>46240</v>
      </c>
      <c r="C119" s="8"/>
      <c r="D119" s="6" t="s">
        <v>913</v>
      </c>
      <c r="E119" s="8" t="s">
        <v>2878</v>
      </c>
      <c r="F119" s="5" t="s">
        <v>1218</v>
      </c>
      <c r="G119" s="3" t="s">
        <v>2879</v>
      </c>
    </row>
    <row r="120" spans="1:7" s="9" customFormat="1" ht="30" customHeight="1" x14ac:dyDescent="0.3">
      <c r="A120" s="5"/>
      <c r="B120" s="3"/>
      <c r="C120" s="8"/>
      <c r="D120" s="6" t="s">
        <v>646</v>
      </c>
      <c r="E120" s="8" t="s">
        <v>2878</v>
      </c>
      <c r="F120" s="5" t="s">
        <v>1218</v>
      </c>
      <c r="G120" s="3" t="s">
        <v>2879</v>
      </c>
    </row>
    <row r="121" spans="1:7" s="9" customFormat="1" ht="30" customHeight="1" x14ac:dyDescent="0.3">
      <c r="A121" s="5"/>
      <c r="B121" s="64">
        <v>46271</v>
      </c>
      <c r="C121" s="8"/>
      <c r="D121" s="6" t="s">
        <v>85</v>
      </c>
      <c r="E121" s="8" t="s">
        <v>2924</v>
      </c>
      <c r="F121" s="5" t="s">
        <v>2925</v>
      </c>
      <c r="G121" s="3" t="s">
        <v>2926</v>
      </c>
    </row>
    <row r="122" spans="1:7" s="9" customFormat="1" ht="30" customHeight="1" x14ac:dyDescent="0.3">
      <c r="A122" s="5"/>
      <c r="B122" s="3"/>
      <c r="C122" s="8"/>
      <c r="D122" s="6" t="s">
        <v>23</v>
      </c>
      <c r="E122" s="8" t="s">
        <v>2924</v>
      </c>
      <c r="F122" s="5" t="s">
        <v>2925</v>
      </c>
      <c r="G122" s="3" t="s">
        <v>2926</v>
      </c>
    </row>
    <row r="123" spans="1:7" s="9" customFormat="1" ht="30" customHeight="1" x14ac:dyDescent="0.3">
      <c r="A123" s="5"/>
      <c r="B123" s="64">
        <v>46301</v>
      </c>
      <c r="C123" s="8"/>
      <c r="D123" s="6" t="s">
        <v>46</v>
      </c>
      <c r="E123" s="8" t="s">
        <v>2958</v>
      </c>
      <c r="F123" s="5" t="s">
        <v>2959</v>
      </c>
      <c r="G123" s="17" t="s">
        <v>2960</v>
      </c>
    </row>
    <row r="124" spans="1:7" s="9" customFormat="1" ht="30" customHeight="1" x14ac:dyDescent="0.3">
      <c r="A124" s="5"/>
      <c r="B124" s="3"/>
      <c r="C124" s="8"/>
      <c r="D124" s="6" t="s">
        <v>85</v>
      </c>
      <c r="E124" s="8" t="s">
        <v>2958</v>
      </c>
      <c r="F124" s="5" t="s">
        <v>2959</v>
      </c>
      <c r="G124" s="3" t="s">
        <v>2961</v>
      </c>
    </row>
    <row r="125" spans="1:7" s="9" customFormat="1" ht="30" customHeight="1" x14ac:dyDescent="0.3">
      <c r="A125" s="5"/>
      <c r="B125" s="3"/>
      <c r="C125" s="8"/>
      <c r="D125" s="6" t="s">
        <v>195</v>
      </c>
      <c r="E125" s="8" t="s">
        <v>2958</v>
      </c>
      <c r="F125" s="5" t="s">
        <v>2959</v>
      </c>
      <c r="G125" s="3" t="s">
        <v>2961</v>
      </c>
    </row>
    <row r="126" spans="1:7" s="9" customFormat="1" ht="30" customHeight="1" x14ac:dyDescent="0.3">
      <c r="A126" s="5"/>
      <c r="B126" s="3"/>
      <c r="C126" s="8"/>
      <c r="D126" s="6" t="s">
        <v>50</v>
      </c>
      <c r="E126" s="8" t="s">
        <v>2958</v>
      </c>
      <c r="F126" s="5" t="s">
        <v>2959</v>
      </c>
      <c r="G126" s="3" t="s">
        <v>2961</v>
      </c>
    </row>
    <row r="127" spans="1:7" s="9" customFormat="1" ht="30" customHeight="1" x14ac:dyDescent="0.3">
      <c r="A127" s="5"/>
      <c r="B127" s="3"/>
      <c r="C127" s="8"/>
      <c r="D127" s="6" t="s">
        <v>1459</v>
      </c>
      <c r="E127" s="8" t="s">
        <v>2958</v>
      </c>
      <c r="F127" s="5" t="s">
        <v>2959</v>
      </c>
      <c r="G127" s="3" t="s">
        <v>682</v>
      </c>
    </row>
    <row r="128" spans="1:7" s="9" customFormat="1" ht="30" customHeight="1" x14ac:dyDescent="0.3">
      <c r="A128" s="5"/>
      <c r="B128" s="3" t="s">
        <v>3000</v>
      </c>
      <c r="C128" s="8"/>
      <c r="D128" s="6" t="s">
        <v>195</v>
      </c>
      <c r="E128" s="8" t="s">
        <v>3025</v>
      </c>
      <c r="F128" s="5" t="s">
        <v>810</v>
      </c>
      <c r="G128" s="3" t="s">
        <v>3026</v>
      </c>
    </row>
    <row r="129" spans="1:7" s="9" customFormat="1" ht="30" customHeight="1" x14ac:dyDescent="0.3">
      <c r="A129" s="5"/>
      <c r="B129" s="3"/>
      <c r="C129" s="8"/>
      <c r="D129" s="6" t="s">
        <v>59</v>
      </c>
      <c r="E129" s="8" t="s">
        <v>3025</v>
      </c>
      <c r="F129" s="5" t="s">
        <v>810</v>
      </c>
      <c r="G129" s="3" t="s">
        <v>3026</v>
      </c>
    </row>
    <row r="130" spans="1:7" s="9" customFormat="1" ht="30" customHeight="1" x14ac:dyDescent="0.3">
      <c r="A130" s="5"/>
      <c r="B130" s="3"/>
      <c r="C130" s="8"/>
      <c r="D130" s="6" t="s">
        <v>342</v>
      </c>
      <c r="E130" s="8" t="s">
        <v>3025</v>
      </c>
      <c r="F130" s="5" t="s">
        <v>810</v>
      </c>
      <c r="G130" s="3" t="s">
        <v>682</v>
      </c>
    </row>
    <row r="131" spans="1:7" s="9" customFormat="1" ht="30" customHeight="1" x14ac:dyDescent="0.3">
      <c r="A131" s="5"/>
      <c r="B131" s="3"/>
      <c r="C131" s="8"/>
      <c r="D131" s="6" t="s">
        <v>85</v>
      </c>
      <c r="E131" s="8" t="s">
        <v>3027</v>
      </c>
      <c r="F131" s="5" t="s">
        <v>3028</v>
      </c>
      <c r="G131" s="3" t="s">
        <v>3029</v>
      </c>
    </row>
    <row r="132" spans="1:7" s="9" customFormat="1" ht="30" customHeight="1" x14ac:dyDescent="0.3">
      <c r="A132" s="5"/>
      <c r="B132" s="3"/>
      <c r="C132" s="8"/>
      <c r="D132" s="6" t="s">
        <v>635</v>
      </c>
      <c r="E132" s="8" t="s">
        <v>3027</v>
      </c>
      <c r="F132" s="5" t="s">
        <v>3028</v>
      </c>
      <c r="G132" s="3" t="s">
        <v>3029</v>
      </c>
    </row>
    <row r="133" spans="1:7" s="9" customFormat="1" ht="30" customHeight="1" x14ac:dyDescent="0.3">
      <c r="A133" s="5"/>
      <c r="B133" s="3"/>
      <c r="C133" s="8"/>
      <c r="D133" s="6" t="s">
        <v>20</v>
      </c>
      <c r="E133" s="8" t="s">
        <v>3027</v>
      </c>
      <c r="F133" s="5" t="s">
        <v>3028</v>
      </c>
      <c r="G133" s="3" t="s">
        <v>3029</v>
      </c>
    </row>
    <row r="134" spans="1:7" s="9" customFormat="1" ht="30" customHeight="1" x14ac:dyDescent="0.3">
      <c r="A134" s="5"/>
      <c r="B134" s="3"/>
      <c r="C134" s="8"/>
      <c r="D134" s="6" t="s">
        <v>1459</v>
      </c>
      <c r="E134" s="8" t="s">
        <v>3027</v>
      </c>
      <c r="F134" s="5" t="s">
        <v>3028</v>
      </c>
      <c r="G134" s="3" t="s">
        <v>682</v>
      </c>
    </row>
    <row r="135" spans="1:7" s="9" customFormat="1" ht="30" customHeight="1" x14ac:dyDescent="0.3">
      <c r="A135" s="5"/>
      <c r="B135" s="3" t="s">
        <v>3039</v>
      </c>
      <c r="C135" s="8"/>
      <c r="D135" s="6" t="s">
        <v>646</v>
      </c>
      <c r="E135" s="8" t="s">
        <v>2913</v>
      </c>
      <c r="F135" s="5" t="s">
        <v>656</v>
      </c>
      <c r="G135" s="3" t="s">
        <v>3046</v>
      </c>
    </row>
    <row r="136" spans="1:7" s="9" customFormat="1" ht="30" customHeight="1" x14ac:dyDescent="0.3">
      <c r="A136" s="5"/>
      <c r="B136" s="3" t="s">
        <v>3075</v>
      </c>
      <c r="C136" s="8"/>
      <c r="D136" s="6" t="s">
        <v>505</v>
      </c>
      <c r="E136" s="8" t="s">
        <v>3027</v>
      </c>
      <c r="F136" s="5" t="s">
        <v>3076</v>
      </c>
      <c r="G136" s="17" t="s">
        <v>3077</v>
      </c>
    </row>
    <row r="137" spans="1:7" s="9" customFormat="1" ht="30" customHeight="1" x14ac:dyDescent="0.3">
      <c r="A137" s="5"/>
      <c r="B137" s="3" t="s">
        <v>3103</v>
      </c>
      <c r="C137" s="8"/>
      <c r="D137" s="6" t="s">
        <v>1223</v>
      </c>
      <c r="E137" s="8" t="s">
        <v>3008</v>
      </c>
      <c r="F137" s="5" t="s">
        <v>1062</v>
      </c>
      <c r="G137" s="3" t="s">
        <v>3107</v>
      </c>
    </row>
    <row r="138" spans="1:7" s="9" customFormat="1" ht="30" customHeight="1" x14ac:dyDescent="0.3">
      <c r="A138" s="5"/>
      <c r="B138" s="5"/>
      <c r="C138" s="8"/>
      <c r="D138" s="6" t="s">
        <v>3112</v>
      </c>
      <c r="E138" s="8" t="s">
        <v>3008</v>
      </c>
      <c r="F138" s="5" t="s">
        <v>1062</v>
      </c>
      <c r="G138" s="3" t="s">
        <v>3107</v>
      </c>
    </row>
    <row r="139" spans="1:7" s="9" customFormat="1" ht="30" customHeight="1" x14ac:dyDescent="0.3">
      <c r="A139" s="5"/>
      <c r="B139" s="5" t="s">
        <v>3131</v>
      </c>
      <c r="C139" s="8"/>
      <c r="D139" s="6" t="s">
        <v>342</v>
      </c>
      <c r="E139" s="8" t="s">
        <v>3034</v>
      </c>
      <c r="F139" s="5" t="s">
        <v>407</v>
      </c>
      <c r="G139" s="3" t="s">
        <v>682</v>
      </c>
    </row>
    <row r="140" spans="1:7" s="9" customFormat="1" ht="30" customHeight="1" x14ac:dyDescent="0.3">
      <c r="A140" s="5"/>
      <c r="B140" s="5" t="s">
        <v>3188</v>
      </c>
      <c r="C140" s="8"/>
      <c r="D140" s="6" t="s">
        <v>1223</v>
      </c>
      <c r="E140" s="8" t="s">
        <v>3189</v>
      </c>
      <c r="F140" s="5" t="s">
        <v>349</v>
      </c>
      <c r="G140" s="5" t="s">
        <v>3190</v>
      </c>
    </row>
    <row r="141" spans="1:7" s="9" customFormat="1" ht="30" customHeight="1" x14ac:dyDescent="0.3">
      <c r="A141" s="5"/>
      <c r="B141" s="5"/>
      <c r="C141" s="8"/>
      <c r="D141" s="6" t="s">
        <v>85</v>
      </c>
      <c r="E141" s="8" t="s">
        <v>3226</v>
      </c>
      <c r="F141" s="5" t="s">
        <v>3237</v>
      </c>
      <c r="G141" s="17" t="s">
        <v>3238</v>
      </c>
    </row>
    <row r="142" spans="1:7" s="9" customFormat="1" ht="30" customHeight="1" x14ac:dyDescent="0.3">
      <c r="A142" s="5"/>
      <c r="B142" s="5"/>
      <c r="C142" s="8"/>
      <c r="D142" s="6" t="s">
        <v>195</v>
      </c>
      <c r="E142" s="8" t="s">
        <v>3227</v>
      </c>
      <c r="F142" s="5" t="s">
        <v>3237</v>
      </c>
      <c r="G142" s="17" t="s">
        <v>3238</v>
      </c>
    </row>
    <row r="143" spans="1:7" s="9" customFormat="1" ht="30" customHeight="1" x14ac:dyDescent="0.3">
      <c r="A143" s="5"/>
      <c r="B143" s="5"/>
      <c r="C143" s="8"/>
      <c r="D143" s="6" t="s">
        <v>505</v>
      </c>
      <c r="E143" s="8" t="s">
        <v>3228</v>
      </c>
      <c r="F143" s="5" t="s">
        <v>3237</v>
      </c>
      <c r="G143" s="17" t="s">
        <v>3238</v>
      </c>
    </row>
    <row r="144" spans="1:7" s="9" customFormat="1" ht="30" customHeight="1" x14ac:dyDescent="0.3">
      <c r="A144" s="5"/>
      <c r="B144" s="5"/>
      <c r="C144" s="8"/>
      <c r="D144" s="6" t="s">
        <v>23</v>
      </c>
      <c r="E144" s="8" t="s">
        <v>3229</v>
      </c>
      <c r="F144" s="5" t="s">
        <v>3237</v>
      </c>
      <c r="G144" s="17" t="s">
        <v>3238</v>
      </c>
    </row>
    <row r="145" spans="1:7" s="9" customFormat="1" ht="30" customHeight="1" x14ac:dyDescent="0.3">
      <c r="A145" s="5"/>
      <c r="B145" s="5"/>
      <c r="C145" s="8"/>
      <c r="D145" s="6" t="s">
        <v>22</v>
      </c>
      <c r="E145" s="8" t="s">
        <v>3230</v>
      </c>
      <c r="F145" s="5" t="s">
        <v>3237</v>
      </c>
      <c r="G145" s="17" t="s">
        <v>3238</v>
      </c>
    </row>
    <row r="146" spans="1:7" s="9" customFormat="1" ht="30" customHeight="1" x14ac:dyDescent="0.3">
      <c r="A146" s="5"/>
      <c r="B146" s="5"/>
      <c r="C146" s="8"/>
      <c r="D146" s="6" t="s">
        <v>913</v>
      </c>
      <c r="E146" s="8" t="s">
        <v>3231</v>
      </c>
      <c r="F146" s="5" t="s">
        <v>3237</v>
      </c>
      <c r="G146" s="17" t="s">
        <v>3238</v>
      </c>
    </row>
    <row r="147" spans="1:7" s="9" customFormat="1" ht="30" customHeight="1" x14ac:dyDescent="0.3">
      <c r="A147" s="5"/>
      <c r="B147" s="5"/>
      <c r="C147" s="8"/>
      <c r="D147" s="6" t="s">
        <v>646</v>
      </c>
      <c r="E147" s="8" t="s">
        <v>3232</v>
      </c>
      <c r="F147" s="5" t="s">
        <v>3237</v>
      </c>
      <c r="G147" s="17" t="s">
        <v>3238</v>
      </c>
    </row>
    <row r="148" spans="1:7" s="9" customFormat="1" ht="30" customHeight="1" x14ac:dyDescent="0.3">
      <c r="A148" s="5"/>
      <c r="B148" s="5"/>
      <c r="C148" s="8"/>
      <c r="D148" s="6" t="s">
        <v>20</v>
      </c>
      <c r="E148" s="8" t="s">
        <v>3233</v>
      </c>
      <c r="F148" s="5" t="s">
        <v>3237</v>
      </c>
      <c r="G148" s="17" t="s">
        <v>3238</v>
      </c>
    </row>
    <row r="149" spans="1:7" s="9" customFormat="1" ht="30" customHeight="1" x14ac:dyDescent="0.3">
      <c r="A149" s="5"/>
      <c r="B149" s="5"/>
      <c r="C149" s="8"/>
      <c r="D149" s="6" t="s">
        <v>15</v>
      </c>
      <c r="E149" s="8" t="s">
        <v>3234</v>
      </c>
      <c r="F149" s="5" t="s">
        <v>3237</v>
      </c>
      <c r="G149" s="17" t="s">
        <v>3238</v>
      </c>
    </row>
    <row r="150" spans="1:7" s="9" customFormat="1" ht="30" customHeight="1" x14ac:dyDescent="0.3">
      <c r="A150" s="5"/>
      <c r="B150" s="5"/>
      <c r="C150" s="8"/>
      <c r="D150" s="6" t="s">
        <v>35</v>
      </c>
      <c r="E150" s="8" t="s">
        <v>3235</v>
      </c>
      <c r="F150" s="5" t="s">
        <v>3237</v>
      </c>
      <c r="G150" s="17" t="s">
        <v>3238</v>
      </c>
    </row>
    <row r="151" spans="1:7" s="9" customFormat="1" ht="30" customHeight="1" x14ac:dyDescent="0.3">
      <c r="A151" s="5"/>
      <c r="B151" s="5"/>
      <c r="C151" s="8"/>
      <c r="D151" s="6" t="s">
        <v>3217</v>
      </c>
      <c r="E151" s="8" t="s">
        <v>3236</v>
      </c>
      <c r="F151" s="5" t="s">
        <v>3237</v>
      </c>
      <c r="G151" s="17" t="s">
        <v>3238</v>
      </c>
    </row>
    <row r="152" spans="1:7" s="9" customFormat="1" ht="30" customHeight="1" x14ac:dyDescent="0.3">
      <c r="A152" s="5"/>
      <c r="B152" s="5"/>
      <c r="C152" s="8"/>
      <c r="D152" s="6" t="s">
        <v>342</v>
      </c>
      <c r="E152" s="8" t="s">
        <v>3226</v>
      </c>
      <c r="F152" s="5" t="s">
        <v>3237</v>
      </c>
      <c r="G152" s="17" t="s">
        <v>3238</v>
      </c>
    </row>
    <row r="153" spans="1:7" s="9" customFormat="1" ht="30" customHeight="1" x14ac:dyDescent="0.3">
      <c r="A153" s="5"/>
      <c r="B153" s="64">
        <v>46029</v>
      </c>
      <c r="C153" s="8"/>
      <c r="D153" s="6" t="s">
        <v>23</v>
      </c>
      <c r="E153" s="8" t="s">
        <v>3182</v>
      </c>
      <c r="F153" s="5" t="s">
        <v>3224</v>
      </c>
      <c r="G153" s="3" t="s">
        <v>3244</v>
      </c>
    </row>
    <row r="154" spans="1:7" s="9" customFormat="1" ht="30" customHeight="1" x14ac:dyDescent="0.3">
      <c r="A154" s="5"/>
      <c r="B154" s="5"/>
      <c r="C154" s="8"/>
      <c r="D154" s="6" t="s">
        <v>22</v>
      </c>
      <c r="E154" s="8" t="s">
        <v>3182</v>
      </c>
      <c r="F154" s="5" t="s">
        <v>3224</v>
      </c>
      <c r="G154" s="3" t="s">
        <v>3244</v>
      </c>
    </row>
    <row r="155" spans="1:7" s="9" customFormat="1" ht="30" customHeight="1" x14ac:dyDescent="0.3">
      <c r="A155" s="5"/>
      <c r="B155" s="5"/>
      <c r="C155" s="8"/>
      <c r="D155" s="6" t="s">
        <v>342</v>
      </c>
      <c r="E155" s="8" t="s">
        <v>3182</v>
      </c>
      <c r="F155" s="5" t="s">
        <v>3224</v>
      </c>
      <c r="G155" s="3" t="s">
        <v>3244</v>
      </c>
    </row>
    <row r="156" spans="1:7" s="9" customFormat="1" ht="30" customHeight="1" x14ac:dyDescent="0.3">
      <c r="A156" s="5"/>
      <c r="B156" s="5"/>
      <c r="C156" s="8"/>
      <c r="D156" s="6" t="s">
        <v>46</v>
      </c>
      <c r="E156" s="8" t="s">
        <v>3182</v>
      </c>
      <c r="F156" s="5" t="s">
        <v>3224</v>
      </c>
      <c r="G156" s="3" t="s">
        <v>3244</v>
      </c>
    </row>
    <row r="157" spans="1:7" s="9" customFormat="1" ht="30" customHeight="1" x14ac:dyDescent="0.3">
      <c r="A157" s="5"/>
      <c r="B157" s="5"/>
      <c r="C157" s="8"/>
      <c r="D157" s="6" t="s">
        <v>1459</v>
      </c>
      <c r="E157" s="8" t="s">
        <v>3182</v>
      </c>
      <c r="F157" s="5" t="s">
        <v>3224</v>
      </c>
      <c r="G157" s="3" t="s">
        <v>3244</v>
      </c>
    </row>
    <row r="158" spans="1:7" s="9" customFormat="1" ht="30" customHeight="1" x14ac:dyDescent="0.3">
      <c r="A158" s="5"/>
      <c r="B158" s="64">
        <v>46180</v>
      </c>
      <c r="C158" s="8"/>
      <c r="D158" s="6" t="s">
        <v>42</v>
      </c>
      <c r="E158" s="8" t="s">
        <v>3189</v>
      </c>
      <c r="F158" s="5" t="s">
        <v>349</v>
      </c>
      <c r="G158" s="17" t="s">
        <v>3283</v>
      </c>
    </row>
    <row r="159" spans="1:7" s="9" customFormat="1" ht="30" customHeight="1" x14ac:dyDescent="0.3">
      <c r="A159" s="5"/>
      <c r="B159" s="64">
        <v>46180</v>
      </c>
      <c r="C159" s="8"/>
      <c r="D159" s="6" t="s">
        <v>16</v>
      </c>
      <c r="E159" s="8" t="s">
        <v>3324</v>
      </c>
      <c r="F159" s="5" t="s">
        <v>1782</v>
      </c>
      <c r="G159" s="17" t="s">
        <v>3325</v>
      </c>
    </row>
    <row r="160" spans="1:7" s="9" customFormat="1" ht="30" customHeight="1" x14ac:dyDescent="0.3">
      <c r="A160" s="5"/>
      <c r="B160" s="64">
        <v>46180</v>
      </c>
      <c r="C160" s="8"/>
      <c r="D160" s="6" t="s">
        <v>85</v>
      </c>
      <c r="E160" s="8" t="s">
        <v>3270</v>
      </c>
      <c r="F160" s="5" t="s">
        <v>2318</v>
      </c>
      <c r="G160" s="3" t="s">
        <v>3348</v>
      </c>
    </row>
    <row r="161" spans="1:7" s="9" customFormat="1" ht="30" customHeight="1" x14ac:dyDescent="0.3">
      <c r="A161" s="5"/>
      <c r="B161" s="5"/>
      <c r="C161" s="8"/>
      <c r="D161" s="6" t="s">
        <v>52</v>
      </c>
      <c r="E161" s="8" t="s">
        <v>3226</v>
      </c>
      <c r="F161" s="5" t="s">
        <v>3350</v>
      </c>
      <c r="G161" s="3"/>
    </row>
    <row r="162" spans="1:7" s="9" customFormat="1" ht="30" customHeight="1" x14ac:dyDescent="0.3">
      <c r="A162" s="5"/>
      <c r="B162" s="5"/>
      <c r="C162" s="8"/>
      <c r="D162" s="6" t="s">
        <v>50</v>
      </c>
      <c r="E162" s="8" t="s">
        <v>3226</v>
      </c>
      <c r="F162" s="5" t="s">
        <v>3350</v>
      </c>
      <c r="G162" s="3"/>
    </row>
    <row r="163" spans="1:7" s="9" customFormat="1" ht="30" customHeight="1" x14ac:dyDescent="0.3">
      <c r="A163" s="5"/>
      <c r="B163" s="5" t="s">
        <v>3365</v>
      </c>
      <c r="C163" s="8"/>
      <c r="D163" s="6" t="s">
        <v>46</v>
      </c>
      <c r="E163" s="8" t="s">
        <v>3367</v>
      </c>
      <c r="F163" s="5" t="s">
        <v>3368</v>
      </c>
      <c r="G163" s="3" t="s">
        <v>3369</v>
      </c>
    </row>
    <row r="164" spans="1:7" s="9" customFormat="1" ht="30" customHeight="1" x14ac:dyDescent="0.3">
      <c r="A164" s="5"/>
      <c r="B164" s="5"/>
      <c r="C164" s="8"/>
      <c r="D164" s="6" t="s">
        <v>20</v>
      </c>
      <c r="E164" s="8" t="s">
        <v>3367</v>
      </c>
      <c r="F164" s="5" t="s">
        <v>3368</v>
      </c>
      <c r="G164" s="3" t="s">
        <v>3369</v>
      </c>
    </row>
    <row r="165" spans="1:7" s="9" customFormat="1" ht="30" customHeight="1" x14ac:dyDescent="0.3">
      <c r="A165" s="5"/>
      <c r="B165" s="5"/>
      <c r="C165" s="8"/>
      <c r="D165" s="6" t="s">
        <v>3366</v>
      </c>
      <c r="E165" s="8" t="s">
        <v>3367</v>
      </c>
      <c r="F165" s="5" t="s">
        <v>3368</v>
      </c>
      <c r="G165" s="3" t="s">
        <v>3369</v>
      </c>
    </row>
    <row r="166" spans="1:7" s="9" customFormat="1" ht="30" customHeight="1" x14ac:dyDescent="0.3">
      <c r="A166" s="5"/>
      <c r="B166" s="5"/>
      <c r="C166" s="8"/>
      <c r="D166" s="6" t="s">
        <v>16</v>
      </c>
      <c r="E166" s="8" t="s">
        <v>3367</v>
      </c>
      <c r="F166" s="5" t="s">
        <v>3368</v>
      </c>
      <c r="G166" s="3" t="s">
        <v>3369</v>
      </c>
    </row>
    <row r="167" spans="1:7" s="9" customFormat="1" ht="30" customHeight="1" x14ac:dyDescent="0.3">
      <c r="A167" s="5"/>
      <c r="B167" s="5"/>
      <c r="C167" s="8"/>
      <c r="D167" s="6" t="s">
        <v>1459</v>
      </c>
      <c r="E167" s="8" t="s">
        <v>3367</v>
      </c>
      <c r="F167" s="5" t="s">
        <v>3368</v>
      </c>
      <c r="G167" s="3" t="s">
        <v>3369</v>
      </c>
    </row>
    <row r="168" spans="1:7" s="9" customFormat="1" ht="30" customHeight="1" x14ac:dyDescent="0.3">
      <c r="A168" s="5"/>
      <c r="B168" s="5" t="s">
        <v>3502</v>
      </c>
      <c r="C168" s="8"/>
      <c r="D168" s="6" t="s">
        <v>30</v>
      </c>
      <c r="E168" s="8" t="s">
        <v>3268</v>
      </c>
      <c r="F168" s="5" t="s">
        <v>3510</v>
      </c>
      <c r="G168" s="17" t="s">
        <v>3511</v>
      </c>
    </row>
    <row r="169" spans="1:7" s="9" customFormat="1" ht="30" customHeight="1" x14ac:dyDescent="0.3">
      <c r="A169" s="5"/>
      <c r="B169" s="5"/>
      <c r="C169" s="8"/>
      <c r="D169" s="6" t="s">
        <v>29</v>
      </c>
      <c r="E169" s="8" t="s">
        <v>3268</v>
      </c>
      <c r="F169" s="5" t="s">
        <v>3510</v>
      </c>
      <c r="G169" s="3"/>
    </row>
    <row r="170" spans="1:7" s="9" customFormat="1" ht="30" customHeight="1" x14ac:dyDescent="0.3">
      <c r="A170" s="5"/>
      <c r="B170" s="5" t="s">
        <v>3502</v>
      </c>
      <c r="C170" s="8"/>
      <c r="D170" s="6" t="s">
        <v>15</v>
      </c>
      <c r="E170" s="8" t="s">
        <v>3522</v>
      </c>
      <c r="F170" s="5" t="s">
        <v>3523</v>
      </c>
      <c r="G170" s="17" t="s">
        <v>3524</v>
      </c>
    </row>
    <row r="171" spans="1:7" s="9" customFormat="1" ht="30" customHeight="1" x14ac:dyDescent="0.3">
      <c r="A171" s="5"/>
      <c r="B171" s="5"/>
      <c r="C171" s="8"/>
      <c r="D171" s="6" t="s">
        <v>29</v>
      </c>
      <c r="E171" s="8" t="s">
        <v>3480</v>
      </c>
      <c r="F171" s="5" t="s">
        <v>3531</v>
      </c>
      <c r="G171" s="3" t="s">
        <v>3532</v>
      </c>
    </row>
    <row r="172" spans="1:7" s="9" customFormat="1" ht="30" customHeight="1" x14ac:dyDescent="0.3">
      <c r="A172" s="5"/>
      <c r="B172" s="5"/>
      <c r="C172" s="8"/>
      <c r="D172" s="6" t="s">
        <v>461</v>
      </c>
      <c r="E172" s="8" t="s">
        <v>3480</v>
      </c>
      <c r="F172" s="5" t="s">
        <v>3531</v>
      </c>
      <c r="G172" s="3" t="s">
        <v>3532</v>
      </c>
    </row>
    <row r="173" spans="1:7" s="9" customFormat="1" ht="30" customHeight="1" x14ac:dyDescent="0.3">
      <c r="A173" s="5"/>
      <c r="B173" s="5" t="s">
        <v>3540</v>
      </c>
      <c r="C173" s="10"/>
      <c r="D173" s="6" t="s">
        <v>85</v>
      </c>
      <c r="E173" s="8" t="s">
        <v>3547</v>
      </c>
      <c r="F173" s="5" t="s">
        <v>2581</v>
      </c>
      <c r="G173" s="17" t="s">
        <v>3548</v>
      </c>
    </row>
    <row r="174" spans="1:7" s="9" customFormat="1" ht="30" customHeight="1" x14ac:dyDescent="0.3">
      <c r="A174" s="5"/>
      <c r="B174" s="5"/>
      <c r="C174" s="10"/>
      <c r="D174" s="6" t="s">
        <v>505</v>
      </c>
      <c r="E174" s="8" t="s">
        <v>3547</v>
      </c>
      <c r="F174" s="5" t="s">
        <v>2581</v>
      </c>
      <c r="G174" s="17" t="s">
        <v>3548</v>
      </c>
    </row>
    <row r="175" spans="1:7" s="9" customFormat="1" ht="30" customHeight="1" x14ac:dyDescent="0.3">
      <c r="A175" s="5"/>
      <c r="B175" s="5"/>
      <c r="C175" s="10"/>
      <c r="D175" s="6" t="s">
        <v>42</v>
      </c>
      <c r="E175" s="8" t="s">
        <v>3547</v>
      </c>
      <c r="F175" s="5" t="s">
        <v>2581</v>
      </c>
      <c r="G175" s="17" t="s">
        <v>3548</v>
      </c>
    </row>
    <row r="176" spans="1:7" s="9" customFormat="1" ht="30" customHeight="1" x14ac:dyDescent="0.3">
      <c r="A176" s="5"/>
      <c r="B176" s="5"/>
      <c r="C176" s="10"/>
      <c r="D176" s="6" t="s">
        <v>342</v>
      </c>
      <c r="E176" s="8" t="s">
        <v>3547</v>
      </c>
      <c r="F176" s="5" t="s">
        <v>2581</v>
      </c>
      <c r="G176" s="17" t="s">
        <v>3548</v>
      </c>
    </row>
    <row r="177" spans="1:7" s="9" customFormat="1" ht="30" customHeight="1" x14ac:dyDescent="0.3">
      <c r="A177" s="5"/>
      <c r="B177" s="5" t="s">
        <v>3563</v>
      </c>
      <c r="C177" s="10"/>
      <c r="D177" s="6" t="s">
        <v>30</v>
      </c>
      <c r="E177" s="8" t="s">
        <v>3576</v>
      </c>
      <c r="F177" s="5" t="s">
        <v>3577</v>
      </c>
      <c r="G177" s="17" t="s">
        <v>3578</v>
      </c>
    </row>
    <row r="178" spans="1:7" s="9" customFormat="1" ht="30" customHeight="1" x14ac:dyDescent="0.3">
      <c r="A178" s="5"/>
      <c r="B178" s="5"/>
      <c r="C178" s="10"/>
      <c r="D178" s="6" t="s">
        <v>29</v>
      </c>
      <c r="E178" s="8" t="s">
        <v>3576</v>
      </c>
      <c r="F178" s="5" t="s">
        <v>3577</v>
      </c>
      <c r="G178" s="17" t="s">
        <v>682</v>
      </c>
    </row>
    <row r="179" spans="1:7" s="9" customFormat="1" ht="30" customHeight="1" x14ac:dyDescent="0.3">
      <c r="A179" s="5"/>
      <c r="B179" s="5"/>
      <c r="C179" s="10"/>
      <c r="D179" s="6" t="s">
        <v>46</v>
      </c>
      <c r="E179" s="8" t="s">
        <v>3576</v>
      </c>
      <c r="F179" s="5" t="s">
        <v>3577</v>
      </c>
      <c r="G179" s="17" t="s">
        <v>3578</v>
      </c>
    </row>
    <row r="180" spans="1:7" s="9" customFormat="1" ht="30" customHeight="1" x14ac:dyDescent="0.3">
      <c r="A180" s="5"/>
      <c r="B180" s="5"/>
      <c r="C180" s="10"/>
      <c r="D180" s="6" t="s">
        <v>1459</v>
      </c>
      <c r="E180" s="8" t="s">
        <v>3576</v>
      </c>
      <c r="F180" s="5" t="s">
        <v>3577</v>
      </c>
      <c r="G180" s="17" t="s">
        <v>682</v>
      </c>
    </row>
    <row r="181" spans="1:7" s="9" customFormat="1" ht="30" customHeight="1" x14ac:dyDescent="0.3">
      <c r="A181" s="5"/>
      <c r="B181" s="5"/>
      <c r="D181" s="6" t="s">
        <v>3592</v>
      </c>
      <c r="E181" s="8" t="s">
        <v>3594</v>
      </c>
      <c r="F181" s="5" t="s">
        <v>349</v>
      </c>
      <c r="G181" s="3" t="s">
        <v>3595</v>
      </c>
    </row>
    <row r="182" spans="1:7" s="9" customFormat="1" ht="30" customHeight="1" x14ac:dyDescent="0.3">
      <c r="A182" s="5"/>
      <c r="B182" s="5"/>
      <c r="D182" s="6" t="s">
        <v>3593</v>
      </c>
      <c r="E182" s="8" t="s">
        <v>3594</v>
      </c>
      <c r="F182" s="5" t="s">
        <v>349</v>
      </c>
      <c r="G182" s="3" t="s">
        <v>3595</v>
      </c>
    </row>
    <row r="183" spans="1:7" s="9" customFormat="1" ht="30" customHeight="1" x14ac:dyDescent="0.3">
      <c r="A183" s="5"/>
      <c r="B183" s="5"/>
      <c r="D183" s="6" t="s">
        <v>343</v>
      </c>
      <c r="E183" s="8" t="s">
        <v>3594</v>
      </c>
      <c r="F183" s="5" t="s">
        <v>349</v>
      </c>
      <c r="G183" s="3" t="s">
        <v>3595</v>
      </c>
    </row>
    <row r="184" spans="1:7" s="9" customFormat="1" ht="30" customHeight="1" x14ac:dyDescent="0.3">
      <c r="A184" s="5"/>
      <c r="B184" s="5"/>
      <c r="D184" s="6" t="s">
        <v>85</v>
      </c>
      <c r="E184" s="8" t="s">
        <v>3576</v>
      </c>
      <c r="F184" s="5" t="s">
        <v>3577</v>
      </c>
      <c r="G184" s="17" t="s">
        <v>3578</v>
      </c>
    </row>
    <row r="185" spans="1:7" s="9" customFormat="1" ht="30" customHeight="1" x14ac:dyDescent="0.3">
      <c r="A185" s="5"/>
      <c r="B185" s="5"/>
      <c r="D185" s="6" t="s">
        <v>1830</v>
      </c>
      <c r="E185" s="8" t="s">
        <v>3619</v>
      </c>
      <c r="F185" s="5" t="s">
        <v>3634</v>
      </c>
      <c r="G185" s="17" t="s">
        <v>3620</v>
      </c>
    </row>
    <row r="186" spans="1:7" s="9" customFormat="1" ht="30" customHeight="1" x14ac:dyDescent="0.3">
      <c r="A186" s="5"/>
      <c r="B186" s="5" t="s">
        <v>3651</v>
      </c>
      <c r="D186" s="6" t="s">
        <v>646</v>
      </c>
      <c r="E186" s="8" t="s">
        <v>3661</v>
      </c>
      <c r="F186" s="5" t="s">
        <v>3183</v>
      </c>
      <c r="G186" s="17" t="s">
        <v>3662</v>
      </c>
    </row>
    <row r="187" spans="1:7" s="9" customFormat="1" ht="30" customHeight="1" x14ac:dyDescent="0.3">
      <c r="A187" s="5"/>
      <c r="B187" s="5"/>
      <c r="D187" s="6" t="s">
        <v>3659</v>
      </c>
      <c r="E187" s="8" t="s">
        <v>3661</v>
      </c>
      <c r="F187" s="5" t="s">
        <v>3183</v>
      </c>
      <c r="G187" s="17" t="s">
        <v>3662</v>
      </c>
    </row>
    <row r="188" spans="1:7" s="9" customFormat="1" ht="30" customHeight="1" x14ac:dyDescent="0.3">
      <c r="A188" s="5"/>
      <c r="B188" s="5"/>
      <c r="D188" s="6" t="s">
        <v>3660</v>
      </c>
      <c r="E188" s="8" t="s">
        <v>3661</v>
      </c>
      <c r="F188" s="5" t="s">
        <v>3183</v>
      </c>
      <c r="G188" s="17" t="s">
        <v>3662</v>
      </c>
    </row>
    <row r="189" spans="1:7" s="9" customFormat="1" ht="30" customHeight="1" x14ac:dyDescent="0.3">
      <c r="A189" s="5"/>
      <c r="B189" s="5"/>
      <c r="D189" s="6" t="s">
        <v>46</v>
      </c>
      <c r="E189" s="8" t="s">
        <v>3666</v>
      </c>
      <c r="F189" s="5" t="s">
        <v>3667</v>
      </c>
      <c r="G189" s="3"/>
    </row>
    <row r="190" spans="1:7" s="9" customFormat="1" ht="30" customHeight="1" x14ac:dyDescent="0.3">
      <c r="A190" s="5"/>
      <c r="B190" s="5"/>
      <c r="D190" s="6" t="s">
        <v>3665</v>
      </c>
      <c r="E190" s="8" t="s">
        <v>3666</v>
      </c>
      <c r="F190" s="5" t="s">
        <v>3667</v>
      </c>
      <c r="G190" s="3"/>
    </row>
    <row r="191" spans="1:7" s="9" customFormat="1" ht="30" customHeight="1" x14ac:dyDescent="0.3">
      <c r="A191" s="5"/>
      <c r="B191" s="5"/>
      <c r="D191" s="6" t="s">
        <v>15</v>
      </c>
      <c r="E191" s="8" t="s">
        <v>3672</v>
      </c>
      <c r="F191" s="5" t="s">
        <v>3680</v>
      </c>
      <c r="G191" s="3" t="s">
        <v>3681</v>
      </c>
    </row>
    <row r="192" spans="1:7" s="9" customFormat="1" ht="30" customHeight="1" x14ac:dyDescent="0.3">
      <c r="A192" s="5"/>
      <c r="B192" s="5"/>
      <c r="D192" s="6" t="s">
        <v>342</v>
      </c>
      <c r="E192" s="8" t="s">
        <v>3672</v>
      </c>
      <c r="F192" s="5" t="s">
        <v>3680</v>
      </c>
      <c r="G192" s="3" t="s">
        <v>3681</v>
      </c>
    </row>
    <row r="193" spans="1:7" s="9" customFormat="1" ht="30" customHeight="1" x14ac:dyDescent="0.3">
      <c r="A193" s="5"/>
      <c r="B193" s="5"/>
      <c r="D193" s="6" t="s">
        <v>23</v>
      </c>
      <c r="E193" s="8" t="s">
        <v>3683</v>
      </c>
      <c r="F193" s="5" t="s">
        <v>918</v>
      </c>
      <c r="G193" s="3" t="s">
        <v>3682</v>
      </c>
    </row>
    <row r="194" spans="1:7" s="9" customFormat="1" ht="30" customHeight="1" x14ac:dyDescent="0.3">
      <c r="A194" s="5"/>
      <c r="B194" s="5"/>
      <c r="D194" s="6" t="s">
        <v>913</v>
      </c>
      <c r="E194" s="8" t="s">
        <v>3683</v>
      </c>
      <c r="F194" s="5" t="s">
        <v>918</v>
      </c>
      <c r="G194" s="3" t="s">
        <v>3682</v>
      </c>
    </row>
    <row r="195" spans="1:7" s="9" customFormat="1" ht="30" customHeight="1" x14ac:dyDescent="0.3">
      <c r="A195" s="5"/>
      <c r="B195" s="5"/>
      <c r="D195" s="6" t="s">
        <v>646</v>
      </c>
      <c r="E195" s="8" t="s">
        <v>3683</v>
      </c>
      <c r="F195" s="5" t="s">
        <v>918</v>
      </c>
      <c r="G195" s="3" t="s">
        <v>3682</v>
      </c>
    </row>
    <row r="196" spans="1:7" s="9" customFormat="1" ht="30" customHeight="1" x14ac:dyDescent="0.3">
      <c r="A196" s="5"/>
      <c r="B196" s="5" t="s">
        <v>3738</v>
      </c>
      <c r="D196" s="6" t="s">
        <v>49</v>
      </c>
      <c r="E196" s="8" t="s">
        <v>3792</v>
      </c>
      <c r="F196" s="5" t="s">
        <v>3741</v>
      </c>
      <c r="G196" s="17" t="s">
        <v>3742</v>
      </c>
    </row>
    <row r="197" spans="1:7" s="9" customFormat="1" ht="30" customHeight="1" x14ac:dyDescent="0.3">
      <c r="A197" s="5"/>
      <c r="B197" s="64">
        <v>46089</v>
      </c>
      <c r="D197" s="6" t="s">
        <v>342</v>
      </c>
      <c r="E197" s="8" t="s">
        <v>3793</v>
      </c>
      <c r="F197" s="5" t="s">
        <v>355</v>
      </c>
      <c r="G197" s="3" t="s">
        <v>3794</v>
      </c>
    </row>
    <row r="198" spans="1:7" s="9" customFormat="1" ht="30" customHeight="1" x14ac:dyDescent="0.3">
      <c r="A198" s="5"/>
      <c r="B198" s="5"/>
      <c r="D198" s="6" t="s">
        <v>46</v>
      </c>
      <c r="E198" s="8" t="s">
        <v>3792</v>
      </c>
      <c r="F198" s="5" t="s">
        <v>3795</v>
      </c>
      <c r="G198" s="17" t="s">
        <v>3796</v>
      </c>
    </row>
    <row r="199" spans="1:7" s="9" customFormat="1" ht="30" customHeight="1" x14ac:dyDescent="0.3">
      <c r="A199" s="5"/>
      <c r="B199" s="5"/>
      <c r="D199" s="6" t="s">
        <v>15</v>
      </c>
      <c r="E199" s="8" t="s">
        <v>3792</v>
      </c>
      <c r="F199" s="5" t="s">
        <v>3795</v>
      </c>
      <c r="G199" s="17" t="s">
        <v>3796</v>
      </c>
    </row>
    <row r="200" spans="1:7" s="9" customFormat="1" ht="30" customHeight="1" x14ac:dyDescent="0.3">
      <c r="A200" s="5"/>
      <c r="B200" s="5"/>
      <c r="D200" s="6" t="s">
        <v>1459</v>
      </c>
      <c r="E200" s="8" t="s">
        <v>3792</v>
      </c>
      <c r="F200" s="5" t="s">
        <v>3795</v>
      </c>
      <c r="G200" s="17" t="s">
        <v>3796</v>
      </c>
    </row>
    <row r="201" spans="1:7" s="9" customFormat="1" ht="30" customHeight="1" x14ac:dyDescent="0.3">
      <c r="A201" s="5"/>
      <c r="B201" s="5"/>
      <c r="D201" s="6" t="s">
        <v>646</v>
      </c>
      <c r="E201" s="8" t="s">
        <v>3793</v>
      </c>
      <c r="F201" s="5" t="s">
        <v>3823</v>
      </c>
      <c r="G201" s="3" t="s">
        <v>3824</v>
      </c>
    </row>
    <row r="202" spans="1:7" s="9" customFormat="1" ht="30" customHeight="1" x14ac:dyDescent="0.3">
      <c r="A202" s="5"/>
      <c r="B202" s="64">
        <v>46181</v>
      </c>
      <c r="D202" s="6" t="s">
        <v>646</v>
      </c>
      <c r="E202" s="8" t="s">
        <v>3877</v>
      </c>
      <c r="F202" s="5" t="s">
        <v>1782</v>
      </c>
      <c r="G202" s="3" t="s">
        <v>3878</v>
      </c>
    </row>
    <row r="203" spans="1:7" s="9" customFormat="1" ht="30" customHeight="1" x14ac:dyDescent="0.3">
      <c r="A203" s="5"/>
      <c r="B203" s="5"/>
      <c r="D203" s="6" t="s">
        <v>913</v>
      </c>
      <c r="E203" s="8" t="s">
        <v>3877</v>
      </c>
      <c r="F203" s="5" t="s">
        <v>1782</v>
      </c>
      <c r="G203" s="3" t="s">
        <v>3878</v>
      </c>
    </row>
    <row r="204" spans="1:7" s="9" customFormat="1" ht="30" customHeight="1" x14ac:dyDescent="0.3">
      <c r="A204" s="5"/>
      <c r="B204" s="64">
        <v>46303</v>
      </c>
      <c r="D204" s="6" t="s">
        <v>646</v>
      </c>
      <c r="E204" s="8" t="s">
        <v>3881</v>
      </c>
      <c r="F204" s="5" t="s">
        <v>3882</v>
      </c>
      <c r="G204" s="3" t="s">
        <v>3883</v>
      </c>
    </row>
    <row r="205" spans="1:7" s="9" customFormat="1" ht="30" customHeight="1" x14ac:dyDescent="0.3">
      <c r="A205" s="5"/>
      <c r="B205" s="64">
        <v>46334</v>
      </c>
      <c r="D205" s="6" t="s">
        <v>342</v>
      </c>
      <c r="E205" s="8" t="s">
        <v>3890</v>
      </c>
      <c r="F205" s="5" t="s">
        <v>3183</v>
      </c>
      <c r="G205" s="3" t="s">
        <v>682</v>
      </c>
    </row>
    <row r="206" spans="1:7" s="9" customFormat="1" ht="30" customHeight="1" x14ac:dyDescent="0.3">
      <c r="A206" s="5"/>
      <c r="B206" s="5"/>
      <c r="D206" s="6" t="s">
        <v>3965</v>
      </c>
      <c r="E206" s="8" t="s">
        <v>3966</v>
      </c>
      <c r="F206" s="5" t="s">
        <v>3183</v>
      </c>
      <c r="G206" s="3" t="s">
        <v>3967</v>
      </c>
    </row>
    <row r="207" spans="1:7" s="9" customFormat="1" ht="30" customHeight="1" x14ac:dyDescent="0.3">
      <c r="A207" s="5"/>
      <c r="B207" s="5"/>
      <c r="D207" s="6" t="s">
        <v>505</v>
      </c>
      <c r="E207" s="8" t="s">
        <v>3969</v>
      </c>
      <c r="F207" s="5" t="s">
        <v>194</v>
      </c>
      <c r="G207" s="3" t="s">
        <v>3970</v>
      </c>
    </row>
    <row r="208" spans="1:7" s="9" customFormat="1" ht="30" customHeight="1" x14ac:dyDescent="0.3">
      <c r="A208" s="5"/>
      <c r="B208" s="5"/>
      <c r="D208" s="6" t="s">
        <v>705</v>
      </c>
      <c r="E208" s="8" t="s">
        <v>3969</v>
      </c>
      <c r="F208" s="5" t="s">
        <v>194</v>
      </c>
      <c r="G208" s="3" t="s">
        <v>3970</v>
      </c>
    </row>
    <row r="209" spans="1:7" s="9" customFormat="1" ht="30" customHeight="1" x14ac:dyDescent="0.3">
      <c r="A209" s="5"/>
      <c r="B209" s="5" t="s">
        <v>3936</v>
      </c>
      <c r="D209" s="6" t="s">
        <v>16</v>
      </c>
      <c r="E209" s="8" t="s">
        <v>4009</v>
      </c>
      <c r="F209" s="5" t="s">
        <v>411</v>
      </c>
      <c r="G209" s="17" t="s">
        <v>4011</v>
      </c>
    </row>
    <row r="210" spans="1:7" s="9" customFormat="1" ht="30" customHeight="1" x14ac:dyDescent="0.3">
      <c r="A210" s="5"/>
      <c r="B210" s="5"/>
      <c r="D210" s="6" t="s">
        <v>20</v>
      </c>
      <c r="E210" s="8" t="s">
        <v>3763</v>
      </c>
      <c r="F210" s="5" t="s">
        <v>4010</v>
      </c>
      <c r="G210" s="17" t="s">
        <v>4011</v>
      </c>
    </row>
    <row r="211" spans="1:7" s="9" customFormat="1" ht="30" customHeight="1" x14ac:dyDescent="0.3">
      <c r="A211" s="5"/>
      <c r="B211" s="5"/>
      <c r="D211" s="6" t="s">
        <v>58</v>
      </c>
      <c r="E211" s="8" t="s">
        <v>3668</v>
      </c>
      <c r="F211" s="5" t="s">
        <v>4015</v>
      </c>
      <c r="G211" s="17" t="s">
        <v>4016</v>
      </c>
    </row>
    <row r="212" spans="1:7" s="9" customFormat="1" ht="30" customHeight="1" x14ac:dyDescent="0.3">
      <c r="A212" s="5"/>
      <c r="B212" s="5" t="s">
        <v>4049</v>
      </c>
      <c r="D212" s="6" t="s">
        <v>17</v>
      </c>
      <c r="E212" s="8" t="s">
        <v>3668</v>
      </c>
      <c r="F212" s="5" t="s">
        <v>4054</v>
      </c>
      <c r="G212" s="3" t="s">
        <v>4055</v>
      </c>
    </row>
    <row r="213" spans="1:7" s="9" customFormat="1" ht="30" customHeight="1" x14ac:dyDescent="0.3">
      <c r="A213" s="5"/>
      <c r="B213" s="5"/>
      <c r="D213" s="6" t="s">
        <v>49</v>
      </c>
      <c r="E213" s="8" t="s">
        <v>4040</v>
      </c>
      <c r="F213" s="5" t="s">
        <v>1488</v>
      </c>
      <c r="G213" s="3" t="s">
        <v>4057</v>
      </c>
    </row>
    <row r="214" spans="1:7" s="9" customFormat="1" ht="30" customHeight="1" x14ac:dyDescent="0.3">
      <c r="A214" s="5"/>
      <c r="B214" s="5" t="s">
        <v>4105</v>
      </c>
      <c r="D214" s="6" t="s">
        <v>4106</v>
      </c>
      <c r="E214" s="8" t="s">
        <v>4144</v>
      </c>
      <c r="F214" s="6" t="s">
        <v>2318</v>
      </c>
      <c r="G214" s="3" t="s">
        <v>4107</v>
      </c>
    </row>
    <row r="215" spans="1:7" s="9" customFormat="1" ht="30" customHeight="1" x14ac:dyDescent="0.3">
      <c r="A215" s="5"/>
      <c r="B215" s="5"/>
      <c r="D215" s="6" t="s">
        <v>29</v>
      </c>
      <c r="E215" s="8" t="s">
        <v>4144</v>
      </c>
      <c r="F215" s="6" t="s">
        <v>2318</v>
      </c>
      <c r="G215" s="3" t="s">
        <v>682</v>
      </c>
    </row>
    <row r="216" spans="1:7" s="9" customFormat="1" ht="30" customHeight="1" x14ac:dyDescent="0.3">
      <c r="A216" s="5"/>
      <c r="B216" s="5"/>
      <c r="D216" s="6" t="s">
        <v>22</v>
      </c>
      <c r="E216" s="8" t="s">
        <v>4009</v>
      </c>
      <c r="F216" s="5" t="s">
        <v>4010</v>
      </c>
      <c r="G216" s="3" t="s">
        <v>4108</v>
      </c>
    </row>
    <row r="217" spans="1:7" s="9" customFormat="1" ht="30" customHeight="1" x14ac:dyDescent="0.3">
      <c r="A217" s="5"/>
      <c r="B217" s="5"/>
      <c r="D217" s="6" t="s">
        <v>22</v>
      </c>
      <c r="E217" s="8" t="s">
        <v>4109</v>
      </c>
      <c r="F217" s="5" t="s">
        <v>194</v>
      </c>
      <c r="G217" s="3" t="s">
        <v>4108</v>
      </c>
    </row>
    <row r="218" spans="1:7" s="9" customFormat="1" ht="30" customHeight="1" x14ac:dyDescent="0.3">
      <c r="A218" s="5"/>
      <c r="B218" s="5" t="s">
        <v>4105</v>
      </c>
      <c r="D218" s="6" t="s">
        <v>85</v>
      </c>
      <c r="E218" s="8" t="s">
        <v>4123</v>
      </c>
      <c r="F218" s="5" t="s">
        <v>3600</v>
      </c>
      <c r="G218" s="3" t="s">
        <v>4128</v>
      </c>
    </row>
    <row r="219" spans="1:7" s="9" customFormat="1" ht="30" customHeight="1" x14ac:dyDescent="0.3">
      <c r="A219" s="5"/>
      <c r="B219" s="5"/>
      <c r="D219" s="6" t="s">
        <v>195</v>
      </c>
      <c r="E219" s="8" t="s">
        <v>4124</v>
      </c>
      <c r="F219" s="5" t="s">
        <v>3600</v>
      </c>
      <c r="G219" s="3" t="s">
        <v>4128</v>
      </c>
    </row>
    <row r="220" spans="1:7" s="9" customFormat="1" ht="30" customHeight="1" x14ac:dyDescent="0.3">
      <c r="A220" s="5"/>
      <c r="B220" s="5"/>
      <c r="D220" s="6" t="s">
        <v>20</v>
      </c>
      <c r="E220" s="8" t="s">
        <v>4125</v>
      </c>
      <c r="F220" s="5" t="s">
        <v>3600</v>
      </c>
      <c r="G220" s="3" t="s">
        <v>4128</v>
      </c>
    </row>
    <row r="221" spans="1:7" s="9" customFormat="1" ht="30" customHeight="1" x14ac:dyDescent="0.3">
      <c r="A221" s="5"/>
      <c r="B221" s="5"/>
      <c r="D221" s="6" t="s">
        <v>23</v>
      </c>
      <c r="E221" s="8" t="s">
        <v>4126</v>
      </c>
      <c r="F221" s="5" t="s">
        <v>3600</v>
      </c>
      <c r="G221" s="3" t="s">
        <v>4128</v>
      </c>
    </row>
    <row r="222" spans="1:7" s="9" customFormat="1" ht="30" customHeight="1" x14ac:dyDescent="0.3">
      <c r="A222" s="5"/>
      <c r="B222" s="5"/>
      <c r="D222" s="6" t="s">
        <v>4122</v>
      </c>
      <c r="E222" s="8" t="s">
        <v>4127</v>
      </c>
      <c r="F222" s="5" t="s">
        <v>3600</v>
      </c>
      <c r="G222" s="3" t="s">
        <v>4136</v>
      </c>
    </row>
    <row r="223" spans="1:7" s="9" customFormat="1" ht="30" customHeight="1" x14ac:dyDescent="0.3">
      <c r="A223" s="5"/>
      <c r="B223" s="5"/>
      <c r="D223" s="6" t="s">
        <v>46</v>
      </c>
      <c r="E223" s="8" t="s">
        <v>4135</v>
      </c>
      <c r="F223" s="5" t="s">
        <v>3600</v>
      </c>
      <c r="G223" s="3" t="s">
        <v>4128</v>
      </c>
    </row>
    <row r="224" spans="1:7" s="9" customFormat="1" ht="30" customHeight="1" x14ac:dyDescent="0.3">
      <c r="A224" s="5"/>
      <c r="B224" s="5" t="s">
        <v>4145</v>
      </c>
      <c r="D224" s="6" t="s">
        <v>30</v>
      </c>
      <c r="E224" s="8" t="s">
        <v>4168</v>
      </c>
      <c r="F224" s="5" t="s">
        <v>411</v>
      </c>
      <c r="G224" s="3" t="s">
        <v>3413</v>
      </c>
    </row>
    <row r="225" spans="1:7" s="9" customFormat="1" ht="30" customHeight="1" x14ac:dyDescent="0.3">
      <c r="A225" s="5"/>
      <c r="B225" s="5"/>
      <c r="D225" s="6" t="s">
        <v>29</v>
      </c>
      <c r="E225" s="8" t="s">
        <v>4168</v>
      </c>
      <c r="F225" s="5" t="s">
        <v>411</v>
      </c>
      <c r="G225" s="3" t="s">
        <v>3413</v>
      </c>
    </row>
    <row r="226" spans="1:7" s="9" customFormat="1" ht="30" customHeight="1" x14ac:dyDescent="0.3">
      <c r="A226" s="5"/>
      <c r="B226" s="5"/>
      <c r="D226" s="6" t="s">
        <v>342</v>
      </c>
      <c r="E226" s="8" t="s">
        <v>3888</v>
      </c>
      <c r="F226" s="5" t="s">
        <v>3183</v>
      </c>
      <c r="G226" s="3" t="s">
        <v>682</v>
      </c>
    </row>
    <row r="227" spans="1:7" s="9" customFormat="1" ht="30" customHeight="1" x14ac:dyDescent="0.3">
      <c r="A227" s="5"/>
      <c r="B227" s="5"/>
      <c r="D227" s="6" t="s">
        <v>46</v>
      </c>
      <c r="E227" s="8" t="s">
        <v>4169</v>
      </c>
      <c r="F227" s="5" t="s">
        <v>4170</v>
      </c>
      <c r="G227" s="3" t="s">
        <v>4171</v>
      </c>
    </row>
    <row r="228" spans="1:7" s="9" customFormat="1" ht="30" customHeight="1" x14ac:dyDescent="0.3">
      <c r="A228" s="5"/>
      <c r="B228" s="5"/>
      <c r="D228" s="6" t="s">
        <v>1459</v>
      </c>
      <c r="E228" s="8" t="s">
        <v>4169</v>
      </c>
      <c r="F228" s="5" t="s">
        <v>4170</v>
      </c>
      <c r="G228" s="3" t="s">
        <v>682</v>
      </c>
    </row>
    <row r="229" spans="1:7" s="9" customFormat="1" ht="30" customHeight="1" x14ac:dyDescent="0.3">
      <c r="A229" s="5"/>
      <c r="B229" s="5" t="s">
        <v>4177</v>
      </c>
      <c r="D229" s="6" t="s">
        <v>42</v>
      </c>
      <c r="E229" s="8" t="s">
        <v>4169</v>
      </c>
      <c r="F229" s="5" t="s">
        <v>4178</v>
      </c>
      <c r="G229" s="3" t="s">
        <v>4179</v>
      </c>
    </row>
    <row r="230" spans="1:7" s="9" customFormat="1" ht="30" customHeight="1" x14ac:dyDescent="0.3">
      <c r="A230" s="5"/>
      <c r="B230" s="5"/>
      <c r="D230" s="6" t="s">
        <v>342</v>
      </c>
      <c r="E230" s="8" t="s">
        <v>4169</v>
      </c>
      <c r="F230" s="5" t="s">
        <v>4178</v>
      </c>
      <c r="G230" s="3" t="s">
        <v>682</v>
      </c>
    </row>
    <row r="231" spans="1:7" s="9" customFormat="1" ht="30" customHeight="1" x14ac:dyDescent="0.3">
      <c r="A231" s="5"/>
      <c r="B231" s="5"/>
      <c r="D231" s="6"/>
      <c r="E231" s="8"/>
      <c r="F231" s="5"/>
      <c r="G231" s="3"/>
    </row>
    <row r="232" spans="1:7" s="9" customFormat="1" ht="30" customHeight="1" x14ac:dyDescent="0.3">
      <c r="A232" s="5"/>
      <c r="B232" s="5"/>
      <c r="D232" s="6"/>
      <c r="E232" s="8"/>
      <c r="F232" s="5"/>
      <c r="G232" s="3"/>
    </row>
    <row r="233" spans="1:7" s="9" customFormat="1" ht="30" customHeight="1" x14ac:dyDescent="0.3">
      <c r="A233" s="5"/>
      <c r="B233" s="5"/>
      <c r="D233" s="6"/>
      <c r="E233" s="8"/>
      <c r="F233" s="5"/>
      <c r="G233" s="3"/>
    </row>
    <row r="234" spans="1:7" s="9" customFormat="1" ht="30" customHeight="1" x14ac:dyDescent="0.3">
      <c r="A234" s="5"/>
      <c r="B234" s="5"/>
      <c r="D234" s="6" t="s">
        <v>868</v>
      </c>
      <c r="E234" s="8"/>
      <c r="F234" s="5"/>
      <c r="G234" s="3"/>
    </row>
    <row r="235" spans="1:7" s="9" customFormat="1" ht="30" customHeight="1" x14ac:dyDescent="0.3">
      <c r="A235" s="5"/>
      <c r="B235" s="5"/>
      <c r="D235" s="6"/>
      <c r="E235" s="8"/>
      <c r="F235" s="5"/>
      <c r="G235" s="3"/>
    </row>
    <row r="236" spans="1:7" s="9" customFormat="1" ht="30" customHeight="1" x14ac:dyDescent="0.3">
      <c r="A236" s="5"/>
      <c r="B236" s="5"/>
      <c r="D236" s="6"/>
      <c r="E236" s="8"/>
      <c r="F236" s="5"/>
      <c r="G236" s="3"/>
    </row>
    <row r="237" spans="1:7" s="9" customFormat="1" ht="30" customHeight="1" x14ac:dyDescent="0.3">
      <c r="A237" s="5"/>
      <c r="B237" s="5"/>
      <c r="D237" s="6"/>
      <c r="E237" s="8"/>
      <c r="F237" s="5"/>
      <c r="G237" s="3"/>
    </row>
    <row r="238" spans="1:7" s="9" customFormat="1" ht="30" customHeight="1" x14ac:dyDescent="0.3">
      <c r="A238" s="5"/>
      <c r="B238" s="5"/>
      <c r="D238" s="6"/>
      <c r="E238" s="8"/>
      <c r="F238" s="5"/>
      <c r="G238" s="3"/>
    </row>
    <row r="239" spans="1:7" s="9" customFormat="1" ht="30" customHeight="1" x14ac:dyDescent="0.3">
      <c r="A239" s="5"/>
      <c r="B239" s="5"/>
      <c r="D239" s="6"/>
      <c r="E239" s="8"/>
      <c r="F239" s="5"/>
      <c r="G239" s="3"/>
    </row>
    <row r="240" spans="1:7" s="9" customFormat="1" ht="30" customHeight="1" x14ac:dyDescent="0.3">
      <c r="A240" s="5"/>
      <c r="B240" s="5"/>
      <c r="D240" s="6"/>
      <c r="E240" s="8"/>
      <c r="F240" s="5"/>
      <c r="G240" s="3"/>
    </row>
    <row r="241" spans="1:7" s="9" customFormat="1" ht="30" customHeight="1" x14ac:dyDescent="0.3">
      <c r="A241" s="5"/>
      <c r="B241" s="5"/>
      <c r="D241" s="6"/>
      <c r="E241" s="8"/>
      <c r="F241" s="5"/>
      <c r="G241" s="3"/>
    </row>
    <row r="242" spans="1:7" s="9" customFormat="1" ht="30" customHeight="1" x14ac:dyDescent="0.3">
      <c r="A242" s="5"/>
      <c r="B242" s="5"/>
      <c r="D242" s="6"/>
      <c r="E242" s="8"/>
      <c r="F242" s="5"/>
      <c r="G242" s="3"/>
    </row>
    <row r="243" spans="1:7" s="9" customFormat="1" ht="30" customHeight="1" x14ac:dyDescent="0.3">
      <c r="A243" s="5"/>
      <c r="B243" s="5"/>
      <c r="D243" s="6"/>
      <c r="E243" s="8"/>
      <c r="F243" s="5"/>
      <c r="G243" s="3"/>
    </row>
    <row r="244" spans="1:7" s="9" customFormat="1" ht="30" customHeight="1" x14ac:dyDescent="0.3">
      <c r="A244" s="5"/>
      <c r="B244" s="5"/>
      <c r="D244" s="6"/>
      <c r="E244" s="8"/>
      <c r="F244" s="5"/>
      <c r="G244" s="3"/>
    </row>
    <row r="245" spans="1:7" s="9" customFormat="1" ht="30" customHeight="1" x14ac:dyDescent="0.3">
      <c r="A245" s="5"/>
      <c r="B245" s="5"/>
      <c r="D245" s="6"/>
      <c r="E245" s="8"/>
      <c r="F245" s="5"/>
      <c r="G245" s="3"/>
    </row>
    <row r="246" spans="1:7" s="9" customFormat="1" ht="30" customHeight="1" x14ac:dyDescent="0.3">
      <c r="A246" s="5"/>
      <c r="B246" s="5"/>
      <c r="D246" s="6"/>
      <c r="E246" s="8"/>
      <c r="F246" s="5"/>
      <c r="G246" s="3"/>
    </row>
    <row r="247" spans="1:7" s="9" customFormat="1" ht="30" customHeight="1" x14ac:dyDescent="0.3">
      <c r="A247" s="5"/>
      <c r="B247" s="5"/>
      <c r="D247" s="6"/>
      <c r="E247" s="8"/>
      <c r="F247" s="5"/>
      <c r="G247" s="3"/>
    </row>
    <row r="248" spans="1:7" s="9" customFormat="1" ht="30" customHeight="1" x14ac:dyDescent="0.3">
      <c r="A248" s="5"/>
      <c r="B248" s="5"/>
      <c r="D248" s="6"/>
      <c r="E248" s="8"/>
      <c r="F248" s="5"/>
      <c r="G248" s="3"/>
    </row>
    <row r="249" spans="1:7" s="9" customFormat="1" ht="30" customHeight="1" x14ac:dyDescent="0.3">
      <c r="A249" s="5"/>
      <c r="B249" s="5"/>
      <c r="D249" s="6"/>
      <c r="E249" s="8"/>
      <c r="F249" s="5"/>
      <c r="G249" s="3"/>
    </row>
    <row r="250" spans="1:7" s="9" customFormat="1" ht="30" customHeight="1" x14ac:dyDescent="0.3">
      <c r="A250" s="5"/>
      <c r="B250" s="5"/>
      <c r="D250" s="6"/>
      <c r="E250" s="8"/>
      <c r="F250" s="5"/>
      <c r="G250" s="3"/>
    </row>
    <row r="251" spans="1:7" s="9" customFormat="1" ht="30" customHeight="1" x14ac:dyDescent="0.3">
      <c r="A251" s="5"/>
      <c r="B251" s="5"/>
      <c r="D251" s="6"/>
      <c r="E251" s="8"/>
      <c r="F251" s="5"/>
      <c r="G251" s="3"/>
    </row>
    <row r="252" spans="1:7" s="9" customFormat="1" ht="30" customHeight="1" x14ac:dyDescent="0.3">
      <c r="A252" s="5"/>
      <c r="B252" s="5"/>
      <c r="D252" s="6"/>
      <c r="E252" s="8"/>
      <c r="F252" s="5"/>
      <c r="G252" s="3"/>
    </row>
    <row r="253" spans="1:7" s="9" customFormat="1" ht="30" customHeight="1" x14ac:dyDescent="0.3">
      <c r="A253" s="5"/>
      <c r="B253" s="5"/>
      <c r="D253" s="6"/>
      <c r="E253" s="8"/>
      <c r="F253" s="5"/>
      <c r="G253" s="3"/>
    </row>
    <row r="254" spans="1:7" s="9" customFormat="1" ht="30" customHeight="1" x14ac:dyDescent="0.3">
      <c r="A254" s="5"/>
      <c r="B254" s="5"/>
      <c r="D254" s="6"/>
      <c r="E254" s="8"/>
      <c r="F254" s="5"/>
      <c r="G254" s="3"/>
    </row>
    <row r="255" spans="1:7" s="9" customFormat="1" ht="30" customHeight="1" x14ac:dyDescent="0.3">
      <c r="A255" s="5"/>
      <c r="B255" s="5"/>
      <c r="D255" s="6"/>
      <c r="E255" s="8"/>
      <c r="F255" s="5"/>
      <c r="G255" s="3"/>
    </row>
    <row r="256" spans="1:7" s="9" customFormat="1" ht="30" customHeight="1" x14ac:dyDescent="0.3">
      <c r="A256" s="5"/>
      <c r="B256" s="5"/>
      <c r="D256" s="6"/>
      <c r="E256" s="8"/>
      <c r="F256" s="5"/>
      <c r="G256" s="3"/>
    </row>
    <row r="257" spans="1:7" s="9" customFormat="1" ht="30" customHeight="1" x14ac:dyDescent="0.3">
      <c r="A257" s="5"/>
      <c r="B257" s="5"/>
      <c r="D257" s="6"/>
      <c r="E257" s="8"/>
      <c r="F257" s="5"/>
      <c r="G257" s="3"/>
    </row>
    <row r="258" spans="1:7" s="9" customFormat="1" ht="30" customHeight="1" x14ac:dyDescent="0.3">
      <c r="A258" s="5"/>
      <c r="B258" s="5"/>
      <c r="D258" s="6"/>
      <c r="E258" s="8"/>
      <c r="F258" s="5"/>
      <c r="G258" s="3"/>
    </row>
    <row r="259" spans="1:7" s="9" customFormat="1" ht="30" customHeight="1" x14ac:dyDescent="0.3">
      <c r="A259" s="5"/>
      <c r="B259" s="5"/>
      <c r="D259" s="6"/>
      <c r="E259" s="8"/>
      <c r="F259" s="5"/>
      <c r="G259" s="3"/>
    </row>
    <row r="260" spans="1:7" s="9" customFormat="1" ht="30" customHeight="1" x14ac:dyDescent="0.3">
      <c r="A260" s="5"/>
      <c r="B260" s="5"/>
      <c r="D260" s="6"/>
      <c r="E260" s="8"/>
      <c r="F260" s="5"/>
      <c r="G260" s="3"/>
    </row>
    <row r="261" spans="1:7" s="9" customFormat="1" ht="30" customHeight="1" x14ac:dyDescent="0.3">
      <c r="A261" s="5"/>
      <c r="B261" s="5"/>
      <c r="D261" s="6"/>
      <c r="E261" s="8"/>
      <c r="F261" s="5"/>
      <c r="G261" s="3"/>
    </row>
    <row r="262" spans="1:7" s="9" customFormat="1" ht="30" customHeight="1" x14ac:dyDescent="0.3">
      <c r="A262" s="5"/>
      <c r="B262" s="5"/>
      <c r="D262" s="6"/>
      <c r="E262" s="8"/>
      <c r="F262" s="5"/>
      <c r="G262" s="3"/>
    </row>
    <row r="263" spans="1:7" s="9" customFormat="1" ht="30" customHeight="1" x14ac:dyDescent="0.3">
      <c r="A263" s="5"/>
      <c r="B263" s="5"/>
      <c r="D263" s="6"/>
      <c r="E263" s="8"/>
      <c r="F263" s="5"/>
      <c r="G263" s="3"/>
    </row>
    <row r="264" spans="1:7" s="9" customFormat="1" ht="30" customHeight="1" x14ac:dyDescent="0.3">
      <c r="A264" s="5"/>
      <c r="B264" s="5"/>
      <c r="D264" s="6"/>
      <c r="E264" s="8"/>
      <c r="F264" s="5"/>
      <c r="G264" s="3"/>
    </row>
    <row r="265" spans="1:7" s="9" customFormat="1" ht="30" customHeight="1" x14ac:dyDescent="0.3">
      <c r="A265" s="5"/>
      <c r="B265" s="5"/>
      <c r="D265" s="6"/>
      <c r="E265" s="8"/>
      <c r="F265" s="5"/>
      <c r="G265" s="3"/>
    </row>
    <row r="266" spans="1:7" s="9" customFormat="1" ht="30" customHeight="1" x14ac:dyDescent="0.3">
      <c r="A266" s="5"/>
      <c r="B266" s="5"/>
      <c r="D266" s="6"/>
      <c r="E266" s="8"/>
      <c r="F266" s="5"/>
      <c r="G266" s="3"/>
    </row>
    <row r="267" spans="1:7" s="9" customFormat="1" ht="30" customHeight="1" x14ac:dyDescent="0.3">
      <c r="A267" s="5"/>
      <c r="B267" s="5"/>
      <c r="D267" s="6"/>
      <c r="E267" s="8"/>
      <c r="F267" s="5"/>
      <c r="G267" s="3"/>
    </row>
    <row r="268" spans="1:7" s="9" customFormat="1" ht="30" customHeight="1" x14ac:dyDescent="0.3">
      <c r="A268" s="5"/>
      <c r="B268" s="5"/>
      <c r="D268" s="6"/>
      <c r="E268" s="8"/>
      <c r="F268" s="5"/>
      <c r="G268" s="3"/>
    </row>
    <row r="269" spans="1:7" s="9" customFormat="1" ht="30" customHeight="1" x14ac:dyDescent="0.3">
      <c r="A269" s="5"/>
      <c r="B269" s="5"/>
      <c r="D269" s="6"/>
      <c r="E269" s="8"/>
      <c r="F269" s="5"/>
      <c r="G269" s="3"/>
    </row>
    <row r="270" spans="1:7" s="9" customFormat="1" ht="30" customHeight="1" x14ac:dyDescent="0.3">
      <c r="A270" s="5"/>
      <c r="B270" s="5"/>
      <c r="D270" s="6"/>
      <c r="E270" s="8"/>
      <c r="F270" s="5"/>
      <c r="G270" s="3"/>
    </row>
    <row r="271" spans="1:7" s="9" customFormat="1" ht="30" customHeight="1" x14ac:dyDescent="0.3">
      <c r="A271" s="5"/>
      <c r="B271" s="5"/>
      <c r="D271" s="6"/>
      <c r="E271" s="8"/>
      <c r="F271" s="5"/>
      <c r="G271" s="3"/>
    </row>
    <row r="272" spans="1:7" s="9" customFormat="1" ht="30" customHeight="1" x14ac:dyDescent="0.3">
      <c r="A272" s="5"/>
      <c r="B272" s="5"/>
      <c r="D272" s="6"/>
      <c r="E272" s="8"/>
      <c r="F272" s="5"/>
      <c r="G272" s="3"/>
    </row>
    <row r="273" spans="1:7" s="9" customFormat="1" ht="30" customHeight="1" x14ac:dyDescent="0.3">
      <c r="A273" s="5"/>
      <c r="B273" s="5"/>
      <c r="D273" s="6"/>
      <c r="E273" s="8"/>
      <c r="F273" s="5"/>
      <c r="G273" s="3"/>
    </row>
    <row r="274" spans="1:7" s="9" customFormat="1" ht="30" customHeight="1" x14ac:dyDescent="0.3">
      <c r="A274" s="5"/>
      <c r="B274" s="5"/>
      <c r="D274" s="6"/>
      <c r="E274" s="8"/>
      <c r="F274" s="5"/>
      <c r="G274" s="3"/>
    </row>
    <row r="275" spans="1:7" s="9" customFormat="1" ht="30" customHeight="1" x14ac:dyDescent="0.3">
      <c r="A275" s="11"/>
      <c r="B275" s="11"/>
      <c r="D275" s="12"/>
      <c r="E275" s="10"/>
      <c r="F275" s="11"/>
      <c r="G275" s="2"/>
    </row>
    <row r="276" spans="1:7" s="9" customFormat="1" ht="30" customHeight="1" x14ac:dyDescent="0.3">
      <c r="A276" s="11"/>
      <c r="B276" s="11"/>
      <c r="D276" s="12"/>
      <c r="E276" s="10"/>
      <c r="F276" s="11"/>
      <c r="G276" s="2"/>
    </row>
    <row r="277" spans="1:7" s="9" customFormat="1" ht="30" customHeight="1" x14ac:dyDescent="0.3">
      <c r="A277" s="11"/>
      <c r="B277" s="11"/>
      <c r="D277" s="12"/>
      <c r="E277" s="10"/>
      <c r="F277" s="11"/>
      <c r="G277" s="2"/>
    </row>
    <row r="278" spans="1:7" s="9" customFormat="1" ht="30" customHeight="1" x14ac:dyDescent="0.3">
      <c r="A278" s="11"/>
      <c r="B278" s="11"/>
      <c r="D278" s="12"/>
      <c r="E278" s="10"/>
      <c r="F278" s="11"/>
      <c r="G278" s="2"/>
    </row>
    <row r="279" spans="1:7" s="9" customFormat="1" ht="30" customHeight="1" x14ac:dyDescent="0.3">
      <c r="A279" s="11"/>
      <c r="B279" s="11"/>
      <c r="D279" s="12"/>
      <c r="E279" s="10"/>
      <c r="F279" s="2"/>
      <c r="G279" s="2"/>
    </row>
    <row r="280" spans="1:7" s="9" customFormat="1" ht="30" customHeight="1" x14ac:dyDescent="0.3">
      <c r="A280" s="11"/>
      <c r="B280" s="11"/>
      <c r="D280" s="12"/>
      <c r="E280" s="10"/>
      <c r="F280" s="2"/>
      <c r="G280" s="2"/>
    </row>
    <row r="281" spans="1:7" s="9" customFormat="1" ht="30" customHeight="1" x14ac:dyDescent="0.3">
      <c r="A281" s="11"/>
      <c r="B281" s="11"/>
      <c r="D281" s="2"/>
      <c r="E281" s="10"/>
      <c r="F281" s="2"/>
      <c r="G281" s="2"/>
    </row>
    <row r="282" spans="1:7" s="9" customFormat="1" ht="30" customHeight="1" x14ac:dyDescent="0.3">
      <c r="A282" s="11"/>
      <c r="B282" s="11"/>
      <c r="D282" s="2"/>
      <c r="E282" s="10"/>
      <c r="F282" s="2"/>
      <c r="G282" s="2"/>
    </row>
    <row r="283" spans="1:7" x14ac:dyDescent="0.3">
      <c r="A283" s="105"/>
      <c r="B283" s="105"/>
    </row>
    <row r="284" spans="1:7" x14ac:dyDescent="0.3">
      <c r="A284" s="105"/>
      <c r="B284" s="105"/>
    </row>
    <row r="285" spans="1:7" x14ac:dyDescent="0.3">
      <c r="A285" s="105"/>
      <c r="B285" s="105"/>
    </row>
    <row r="286" spans="1:7" x14ac:dyDescent="0.3">
      <c r="A286" s="105"/>
      <c r="B286" s="105"/>
    </row>
    <row r="287" spans="1:7" x14ac:dyDescent="0.3">
      <c r="A287" s="105"/>
      <c r="B287" s="105"/>
    </row>
    <row r="288" spans="1:7" x14ac:dyDescent="0.3">
      <c r="A288" s="105"/>
      <c r="B288" s="105"/>
    </row>
    <row r="289" spans="1:2" x14ac:dyDescent="0.3">
      <c r="A289" s="105"/>
      <c r="B289" s="105"/>
    </row>
    <row r="290" spans="1:2" x14ac:dyDescent="0.3">
      <c r="A290" s="105"/>
      <c r="B290" s="105"/>
    </row>
    <row r="291" spans="1:2" x14ac:dyDescent="0.3">
      <c r="A291" s="105"/>
      <c r="B291" s="105"/>
    </row>
    <row r="292" spans="1:2" x14ac:dyDescent="0.3">
      <c r="A292" s="105"/>
      <c r="B292" s="105"/>
    </row>
    <row r="293" spans="1:2" x14ac:dyDescent="0.3">
      <c r="A293" s="105"/>
      <c r="B293" s="105"/>
    </row>
    <row r="294" spans="1:2" x14ac:dyDescent="0.3">
      <c r="A294" s="105"/>
      <c r="B294" s="105"/>
    </row>
    <row r="295" spans="1:2" x14ac:dyDescent="0.3">
      <c r="A295" s="105"/>
      <c r="B295" s="105"/>
    </row>
    <row r="296" spans="1:2" x14ac:dyDescent="0.3">
      <c r="A296" s="105"/>
      <c r="B296" s="105"/>
    </row>
    <row r="297" spans="1:2" x14ac:dyDescent="0.3">
      <c r="A297" s="105"/>
      <c r="B297" s="105"/>
    </row>
    <row r="298" spans="1:2" x14ac:dyDescent="0.3">
      <c r="A298" s="105"/>
      <c r="B298" s="105"/>
    </row>
    <row r="299" spans="1:2" x14ac:dyDescent="0.3">
      <c r="A299" s="105"/>
      <c r="B299" s="105"/>
    </row>
    <row r="300" spans="1:2" x14ac:dyDescent="0.3">
      <c r="A300" s="105"/>
      <c r="B300" s="105"/>
    </row>
    <row r="301" spans="1:2" x14ac:dyDescent="0.3">
      <c r="A301" s="105"/>
      <c r="B301" s="105"/>
    </row>
    <row r="302" spans="1:2" x14ac:dyDescent="0.3">
      <c r="A302" s="105"/>
      <c r="B302" s="105"/>
    </row>
    <row r="303" spans="1:2" x14ac:dyDescent="0.3">
      <c r="A303" s="105"/>
      <c r="B303" s="105"/>
    </row>
    <row r="304" spans="1:2" x14ac:dyDescent="0.3">
      <c r="A304" s="105"/>
      <c r="B304" s="105"/>
    </row>
    <row r="305" spans="1:2" x14ac:dyDescent="0.3">
      <c r="A305" s="105"/>
      <c r="B305" s="105"/>
    </row>
    <row r="306" spans="1:2" x14ac:dyDescent="0.3">
      <c r="A306" s="105"/>
      <c r="B306" s="105"/>
    </row>
    <row r="307" spans="1:2" x14ac:dyDescent="0.3">
      <c r="A307" s="105"/>
      <c r="B307" s="105"/>
    </row>
    <row r="308" spans="1:2" x14ac:dyDescent="0.3">
      <c r="A308" s="105"/>
      <c r="B308" s="105"/>
    </row>
    <row r="309" spans="1:2" x14ac:dyDescent="0.3">
      <c r="A309" s="105"/>
      <c r="B309" s="105"/>
    </row>
    <row r="310" spans="1:2" x14ac:dyDescent="0.3">
      <c r="A310" s="105"/>
      <c r="B310" s="105"/>
    </row>
    <row r="311" spans="1:2" x14ac:dyDescent="0.3">
      <c r="A311" s="105"/>
      <c r="B311" s="105"/>
    </row>
    <row r="312" spans="1:2" x14ac:dyDescent="0.3">
      <c r="A312" s="105"/>
      <c r="B312" s="105"/>
    </row>
    <row r="313" spans="1:2" x14ac:dyDescent="0.3">
      <c r="A313" s="105"/>
      <c r="B313" s="105"/>
    </row>
    <row r="314" spans="1:2" x14ac:dyDescent="0.3">
      <c r="A314" s="105"/>
      <c r="B314" s="105"/>
    </row>
    <row r="315" spans="1:2" x14ac:dyDescent="0.3">
      <c r="A315" s="105"/>
      <c r="B315" s="105"/>
    </row>
    <row r="316" spans="1:2" x14ac:dyDescent="0.3">
      <c r="A316" s="105"/>
      <c r="B316" s="105"/>
    </row>
    <row r="317" spans="1:2" x14ac:dyDescent="0.3">
      <c r="A317" s="105"/>
      <c r="B317" s="105"/>
    </row>
    <row r="318" spans="1:2" x14ac:dyDescent="0.3">
      <c r="A318" s="105"/>
      <c r="B318" s="105"/>
    </row>
    <row r="319" spans="1:2" x14ac:dyDescent="0.3">
      <c r="A319" s="105"/>
      <c r="B319" s="105"/>
    </row>
    <row r="320" spans="1:2" x14ac:dyDescent="0.3">
      <c r="A320" s="105"/>
      <c r="B320" s="105"/>
    </row>
    <row r="321" spans="1:2" x14ac:dyDescent="0.3">
      <c r="A321" s="105"/>
      <c r="B321" s="105"/>
    </row>
    <row r="322" spans="1:2" x14ac:dyDescent="0.3">
      <c r="A322" s="105"/>
      <c r="B322" s="105"/>
    </row>
    <row r="323" spans="1:2" x14ac:dyDescent="0.3">
      <c r="A323" s="105"/>
      <c r="B323" s="105"/>
    </row>
    <row r="324" spans="1:2" x14ac:dyDescent="0.3">
      <c r="A324" s="105"/>
      <c r="B324" s="105"/>
    </row>
    <row r="325" spans="1:2" x14ac:dyDescent="0.3">
      <c r="A325" s="105"/>
      <c r="B325" s="105"/>
    </row>
    <row r="326" spans="1:2" x14ac:dyDescent="0.3">
      <c r="A326" s="105"/>
      <c r="B326" s="105"/>
    </row>
    <row r="327" spans="1:2" x14ac:dyDescent="0.3">
      <c r="A327" s="105"/>
      <c r="B327" s="105"/>
    </row>
    <row r="328" spans="1:2" x14ac:dyDescent="0.3">
      <c r="A328" s="105"/>
      <c r="B328" s="105"/>
    </row>
    <row r="329" spans="1:2" x14ac:dyDescent="0.3">
      <c r="A329" s="105"/>
      <c r="B329" s="105"/>
    </row>
    <row r="330" spans="1:2" x14ac:dyDescent="0.3">
      <c r="A330" s="105"/>
      <c r="B330" s="105"/>
    </row>
    <row r="331" spans="1:2" x14ac:dyDescent="0.3">
      <c r="A331" s="105"/>
      <c r="B331" s="105"/>
    </row>
    <row r="332" spans="1:2" x14ac:dyDescent="0.3">
      <c r="A332" s="105"/>
      <c r="B332" s="105"/>
    </row>
    <row r="333" spans="1:2" x14ac:dyDescent="0.3">
      <c r="A333" s="105"/>
      <c r="B333" s="105"/>
    </row>
    <row r="334" spans="1:2" x14ac:dyDescent="0.3">
      <c r="A334" s="105"/>
      <c r="B334" s="105"/>
    </row>
    <row r="335" spans="1:2" x14ac:dyDescent="0.3">
      <c r="A335" s="105"/>
      <c r="B335" s="105"/>
    </row>
    <row r="336" spans="1:2" x14ac:dyDescent="0.3">
      <c r="A336" s="105"/>
      <c r="B336" s="105"/>
    </row>
    <row r="337" spans="1:2" x14ac:dyDescent="0.3">
      <c r="A337" s="105"/>
      <c r="B337" s="105"/>
    </row>
    <row r="338" spans="1:2" x14ac:dyDescent="0.3">
      <c r="A338" s="105"/>
      <c r="B338" s="105"/>
    </row>
    <row r="339" spans="1:2" x14ac:dyDescent="0.3">
      <c r="A339" s="105"/>
      <c r="B339" s="105"/>
    </row>
    <row r="340" spans="1:2" x14ac:dyDescent="0.3">
      <c r="A340" s="105"/>
      <c r="B340" s="105"/>
    </row>
    <row r="341" spans="1:2" x14ac:dyDescent="0.3">
      <c r="A341" s="105"/>
      <c r="B341" s="105"/>
    </row>
    <row r="342" spans="1:2" x14ac:dyDescent="0.3">
      <c r="A342" s="105"/>
      <c r="B342" s="105"/>
    </row>
    <row r="343" spans="1:2" x14ac:dyDescent="0.3">
      <c r="A343" s="105"/>
      <c r="B343" s="105"/>
    </row>
    <row r="344" spans="1:2" x14ac:dyDescent="0.3">
      <c r="A344" s="105"/>
      <c r="B344" s="105"/>
    </row>
    <row r="345" spans="1:2" x14ac:dyDescent="0.3">
      <c r="A345" s="105"/>
      <c r="B345" s="105"/>
    </row>
    <row r="346" spans="1:2" x14ac:dyDescent="0.3">
      <c r="A346" s="105"/>
      <c r="B346" s="105"/>
    </row>
    <row r="347" spans="1:2" x14ac:dyDescent="0.3">
      <c r="A347" s="105"/>
      <c r="B347" s="105"/>
    </row>
    <row r="348" spans="1:2" x14ac:dyDescent="0.3">
      <c r="A348" s="105"/>
      <c r="B348" s="105"/>
    </row>
    <row r="349" spans="1:2" x14ac:dyDescent="0.3">
      <c r="A349" s="105"/>
      <c r="B349" s="105"/>
    </row>
    <row r="350" spans="1:2" x14ac:dyDescent="0.3">
      <c r="A350" s="105"/>
      <c r="B350" s="105"/>
    </row>
    <row r="351" spans="1:2" x14ac:dyDescent="0.3">
      <c r="A351" s="105"/>
      <c r="B351" s="105"/>
    </row>
    <row r="352" spans="1:2" x14ac:dyDescent="0.3">
      <c r="A352" s="105"/>
      <c r="B352" s="105"/>
    </row>
    <row r="353" spans="1:2" x14ac:dyDescent="0.3">
      <c r="A353" s="105"/>
      <c r="B353" s="105"/>
    </row>
    <row r="354" spans="1:2" x14ac:dyDescent="0.3">
      <c r="A354" s="105"/>
      <c r="B354" s="105"/>
    </row>
    <row r="355" spans="1:2" x14ac:dyDescent="0.3">
      <c r="A355" s="105"/>
      <c r="B355" s="105"/>
    </row>
    <row r="356" spans="1:2" x14ac:dyDescent="0.3">
      <c r="A356" s="105"/>
      <c r="B356" s="105"/>
    </row>
    <row r="357" spans="1:2" x14ac:dyDescent="0.3">
      <c r="A357" s="105"/>
      <c r="B357" s="105"/>
    </row>
    <row r="358" spans="1:2" x14ac:dyDescent="0.3">
      <c r="A358" s="105"/>
      <c r="B358" s="105"/>
    </row>
    <row r="359" spans="1:2" x14ac:dyDescent="0.3">
      <c r="A359" s="105"/>
      <c r="B359" s="105"/>
    </row>
    <row r="360" spans="1:2" x14ac:dyDescent="0.3">
      <c r="A360" s="105"/>
      <c r="B360" s="105"/>
    </row>
    <row r="361" spans="1:2" x14ac:dyDescent="0.3">
      <c r="A361" s="105"/>
      <c r="B361" s="105"/>
    </row>
    <row r="362" spans="1:2" x14ac:dyDescent="0.3">
      <c r="A362" s="105"/>
      <c r="B362" s="105"/>
    </row>
    <row r="363" spans="1:2" x14ac:dyDescent="0.3">
      <c r="A363" s="105"/>
      <c r="B363" s="105"/>
    </row>
    <row r="364" spans="1:2" x14ac:dyDescent="0.3">
      <c r="A364" s="105"/>
      <c r="B364" s="105"/>
    </row>
    <row r="365" spans="1:2" x14ac:dyDescent="0.3">
      <c r="A365" s="105"/>
      <c r="B365" s="105"/>
    </row>
    <row r="366" spans="1:2" x14ac:dyDescent="0.3">
      <c r="A366" s="105"/>
      <c r="B366" s="105"/>
    </row>
    <row r="367" spans="1:2" x14ac:dyDescent="0.3">
      <c r="A367" s="105"/>
      <c r="B367" s="105"/>
    </row>
    <row r="368" spans="1:2" x14ac:dyDescent="0.3">
      <c r="A368" s="105"/>
      <c r="B368" s="105"/>
    </row>
    <row r="369" spans="1:2" x14ac:dyDescent="0.3">
      <c r="A369" s="105"/>
      <c r="B369" s="105"/>
    </row>
    <row r="370" spans="1:2" x14ac:dyDescent="0.3">
      <c r="A370" s="105"/>
      <c r="B370" s="105"/>
    </row>
    <row r="371" spans="1:2" x14ac:dyDescent="0.3">
      <c r="A371" s="105"/>
      <c r="B371" s="105"/>
    </row>
    <row r="372" spans="1:2" x14ac:dyDescent="0.3">
      <c r="A372" s="105"/>
      <c r="B372" s="105"/>
    </row>
    <row r="373" spans="1:2" x14ac:dyDescent="0.3">
      <c r="A373" s="105"/>
      <c r="B373" s="105"/>
    </row>
    <row r="374" spans="1:2" x14ac:dyDescent="0.3">
      <c r="A374" s="105"/>
      <c r="B374" s="105"/>
    </row>
    <row r="375" spans="1:2" x14ac:dyDescent="0.3">
      <c r="A375" s="105"/>
      <c r="B375" s="105"/>
    </row>
    <row r="376" spans="1:2" x14ac:dyDescent="0.3">
      <c r="A376" s="105"/>
      <c r="B376" s="105"/>
    </row>
    <row r="377" spans="1:2" x14ac:dyDescent="0.3">
      <c r="A377" s="105"/>
      <c r="B377" s="105"/>
    </row>
    <row r="378" spans="1:2" x14ac:dyDescent="0.3">
      <c r="A378" s="105"/>
      <c r="B378" s="105"/>
    </row>
    <row r="379" spans="1:2" x14ac:dyDescent="0.3">
      <c r="A379" s="105"/>
      <c r="B379" s="105"/>
    </row>
    <row r="380" spans="1:2" x14ac:dyDescent="0.3">
      <c r="A380" s="105"/>
      <c r="B380" s="105"/>
    </row>
    <row r="381" spans="1:2" x14ac:dyDescent="0.3">
      <c r="A381" s="105"/>
      <c r="B381" s="105"/>
    </row>
    <row r="382" spans="1:2" x14ac:dyDescent="0.3">
      <c r="A382" s="105"/>
      <c r="B382" s="105"/>
    </row>
    <row r="383" spans="1:2" x14ac:dyDescent="0.3">
      <c r="A383" s="105"/>
      <c r="B383" s="105"/>
    </row>
    <row r="384" spans="1:2" x14ac:dyDescent="0.3">
      <c r="A384" s="105"/>
      <c r="B384" s="105"/>
    </row>
    <row r="385" spans="1:2" x14ac:dyDescent="0.3">
      <c r="A385" s="105"/>
      <c r="B385" s="105"/>
    </row>
    <row r="386" spans="1:2" x14ac:dyDescent="0.3">
      <c r="A386" s="105"/>
      <c r="B386" s="105"/>
    </row>
    <row r="387" spans="1:2" x14ac:dyDescent="0.3">
      <c r="A387" s="105"/>
      <c r="B387" s="105"/>
    </row>
    <row r="388" spans="1:2" x14ac:dyDescent="0.3">
      <c r="A388" s="105"/>
      <c r="B388" s="105"/>
    </row>
    <row r="389" spans="1:2" x14ac:dyDescent="0.3">
      <c r="A389" s="105"/>
      <c r="B389" s="105"/>
    </row>
    <row r="390" spans="1:2" x14ac:dyDescent="0.3">
      <c r="A390" s="105"/>
      <c r="B390" s="105"/>
    </row>
    <row r="391" spans="1:2" x14ac:dyDescent="0.3">
      <c r="A391" s="105"/>
      <c r="B391" s="105"/>
    </row>
    <row r="392" spans="1:2" x14ac:dyDescent="0.3">
      <c r="A392" s="105"/>
      <c r="B392" s="105"/>
    </row>
    <row r="393" spans="1:2" x14ac:dyDescent="0.3">
      <c r="A393" s="105"/>
      <c r="B393" s="105"/>
    </row>
    <row r="394" spans="1:2" x14ac:dyDescent="0.3">
      <c r="A394" s="105"/>
      <c r="B394" s="105"/>
    </row>
    <row r="395" spans="1:2" x14ac:dyDescent="0.3">
      <c r="A395" s="105"/>
      <c r="B395" s="105"/>
    </row>
    <row r="396" spans="1:2" x14ac:dyDescent="0.3">
      <c r="A396" s="105"/>
      <c r="B396" s="105"/>
    </row>
    <row r="397" spans="1:2" x14ac:dyDescent="0.3">
      <c r="A397" s="105"/>
      <c r="B397" s="105"/>
    </row>
    <row r="398" spans="1:2" x14ac:dyDescent="0.3">
      <c r="A398" s="105"/>
      <c r="B398" s="105"/>
    </row>
    <row r="399" spans="1:2" x14ac:dyDescent="0.3">
      <c r="A399" s="105"/>
      <c r="B399" s="105"/>
    </row>
    <row r="400" spans="1:2" x14ac:dyDescent="0.3">
      <c r="A400" s="105"/>
      <c r="B400" s="105"/>
    </row>
    <row r="401" spans="1:2" x14ac:dyDescent="0.3">
      <c r="A401" s="105"/>
      <c r="B401" s="105"/>
    </row>
    <row r="402" spans="1:2" x14ac:dyDescent="0.3">
      <c r="A402" s="105"/>
      <c r="B402" s="105"/>
    </row>
    <row r="403" spans="1:2" x14ac:dyDescent="0.3">
      <c r="A403" s="105"/>
      <c r="B403" s="105"/>
    </row>
    <row r="404" spans="1:2" x14ac:dyDescent="0.3">
      <c r="A404" s="105"/>
      <c r="B404" s="105"/>
    </row>
    <row r="405" spans="1:2" x14ac:dyDescent="0.3">
      <c r="A405" s="105"/>
      <c r="B405" s="105"/>
    </row>
    <row r="406" spans="1:2" x14ac:dyDescent="0.3">
      <c r="A406" s="105"/>
      <c r="B406" s="105"/>
    </row>
    <row r="407" spans="1:2" x14ac:dyDescent="0.3">
      <c r="A407" s="105"/>
      <c r="B407" s="105"/>
    </row>
    <row r="408" spans="1:2" x14ac:dyDescent="0.3">
      <c r="A408" s="105"/>
      <c r="B408" s="105"/>
    </row>
    <row r="409" spans="1:2" x14ac:dyDescent="0.3">
      <c r="A409" s="105"/>
      <c r="B409" s="105"/>
    </row>
    <row r="410" spans="1:2" x14ac:dyDescent="0.3">
      <c r="A410" s="105"/>
      <c r="B410" s="105"/>
    </row>
    <row r="411" spans="1:2" x14ac:dyDescent="0.3">
      <c r="A411" s="105"/>
      <c r="B411" s="105"/>
    </row>
    <row r="412" spans="1:2" x14ac:dyDescent="0.3">
      <c r="A412" s="105"/>
      <c r="B412" s="105"/>
    </row>
    <row r="413" spans="1:2" x14ac:dyDescent="0.3">
      <c r="A413" s="105"/>
      <c r="B413" s="105"/>
    </row>
    <row r="414" spans="1:2" x14ac:dyDescent="0.3">
      <c r="A414" s="105"/>
      <c r="B414" s="105"/>
    </row>
    <row r="415" spans="1:2" x14ac:dyDescent="0.3">
      <c r="A415" s="105"/>
      <c r="B415" s="105"/>
    </row>
    <row r="416" spans="1:2" x14ac:dyDescent="0.3">
      <c r="A416" s="105"/>
      <c r="B416" s="105"/>
    </row>
    <row r="417" spans="1:2" x14ac:dyDescent="0.3">
      <c r="A417" s="105"/>
      <c r="B417" s="105"/>
    </row>
    <row r="418" spans="1:2" x14ac:dyDescent="0.3">
      <c r="A418" s="105"/>
      <c r="B418" s="105"/>
    </row>
    <row r="419" spans="1:2" x14ac:dyDescent="0.3">
      <c r="A419" s="105"/>
      <c r="B419" s="105"/>
    </row>
    <row r="420" spans="1:2" x14ac:dyDescent="0.3">
      <c r="A420" s="105"/>
      <c r="B420" s="105"/>
    </row>
    <row r="421" spans="1:2" x14ac:dyDescent="0.3">
      <c r="A421" s="105"/>
      <c r="B421" s="105"/>
    </row>
    <row r="422" spans="1:2" x14ac:dyDescent="0.3">
      <c r="A422" s="105"/>
      <c r="B422" s="105"/>
    </row>
    <row r="423" spans="1:2" x14ac:dyDescent="0.3">
      <c r="A423" s="105"/>
      <c r="B423" s="105"/>
    </row>
    <row r="424" spans="1:2" x14ac:dyDescent="0.3">
      <c r="A424" s="105"/>
      <c r="B424" s="105"/>
    </row>
    <row r="425" spans="1:2" x14ac:dyDescent="0.3">
      <c r="A425" s="105"/>
      <c r="B425" s="105"/>
    </row>
    <row r="426" spans="1:2" x14ac:dyDescent="0.3">
      <c r="A426" s="105"/>
      <c r="B426" s="105"/>
    </row>
    <row r="427" spans="1:2" x14ac:dyDescent="0.3">
      <c r="A427" s="105"/>
      <c r="B427" s="105"/>
    </row>
    <row r="428" spans="1:2" x14ac:dyDescent="0.3">
      <c r="A428" s="105"/>
      <c r="B428" s="105"/>
    </row>
    <row r="429" spans="1:2" x14ac:dyDescent="0.3">
      <c r="A429" s="105"/>
      <c r="B429" s="105"/>
    </row>
    <row r="430" spans="1:2" x14ac:dyDescent="0.3">
      <c r="A430" s="105"/>
      <c r="B430" s="105"/>
    </row>
    <row r="431" spans="1:2" x14ac:dyDescent="0.3">
      <c r="A431" s="105"/>
      <c r="B431" s="105"/>
    </row>
    <row r="432" spans="1:2" x14ac:dyDescent="0.3">
      <c r="A432" s="105"/>
      <c r="B432" s="105"/>
    </row>
    <row r="433" spans="1:2" x14ac:dyDescent="0.3">
      <c r="A433" s="105"/>
      <c r="B433" s="105"/>
    </row>
    <row r="434" spans="1:2" x14ac:dyDescent="0.3">
      <c r="A434" s="105"/>
      <c r="B434" s="105"/>
    </row>
    <row r="435" spans="1:2" x14ac:dyDescent="0.3">
      <c r="A435" s="105"/>
      <c r="B435" s="105"/>
    </row>
    <row r="436" spans="1:2" x14ac:dyDescent="0.3">
      <c r="A436" s="105"/>
      <c r="B436" s="105"/>
    </row>
    <row r="437" spans="1:2" x14ac:dyDescent="0.3">
      <c r="A437" s="105"/>
      <c r="B437" s="105"/>
    </row>
    <row r="438" spans="1:2" x14ac:dyDescent="0.3">
      <c r="A438" s="105"/>
      <c r="B438" s="105"/>
    </row>
    <row r="439" spans="1:2" x14ac:dyDescent="0.3">
      <c r="A439" s="105"/>
      <c r="B439" s="105"/>
    </row>
    <row r="440" spans="1:2" x14ac:dyDescent="0.3">
      <c r="A440" s="105"/>
      <c r="B440" s="105"/>
    </row>
    <row r="441" spans="1:2" x14ac:dyDescent="0.3">
      <c r="A441" s="105"/>
      <c r="B441" s="105"/>
    </row>
    <row r="442" spans="1:2" x14ac:dyDescent="0.3">
      <c r="A442" s="105"/>
      <c r="B442" s="105"/>
    </row>
    <row r="443" spans="1:2" x14ac:dyDescent="0.3">
      <c r="A443" s="105"/>
      <c r="B443" s="105"/>
    </row>
    <row r="444" spans="1:2" x14ac:dyDescent="0.3">
      <c r="A444" s="105"/>
      <c r="B444" s="105"/>
    </row>
    <row r="445" spans="1:2" x14ac:dyDescent="0.3">
      <c r="A445" s="105"/>
      <c r="B445" s="105"/>
    </row>
    <row r="446" spans="1:2" x14ac:dyDescent="0.3">
      <c r="A446" s="105"/>
      <c r="B446" s="105"/>
    </row>
    <row r="447" spans="1:2" x14ac:dyDescent="0.3">
      <c r="A447" s="105"/>
      <c r="B447" s="105"/>
    </row>
    <row r="448" spans="1:2" x14ac:dyDescent="0.3">
      <c r="A448" s="105"/>
      <c r="B448" s="105"/>
    </row>
    <row r="449" spans="1:2" x14ac:dyDescent="0.3">
      <c r="A449" s="105"/>
      <c r="B449" s="105"/>
    </row>
    <row r="450" spans="1:2" x14ac:dyDescent="0.3">
      <c r="A450" s="105"/>
      <c r="B450" s="105"/>
    </row>
    <row r="451" spans="1:2" x14ac:dyDescent="0.3">
      <c r="A451" s="105"/>
      <c r="B451" s="105"/>
    </row>
    <row r="452" spans="1:2" x14ac:dyDescent="0.3">
      <c r="A452" s="105"/>
      <c r="B452" s="105"/>
    </row>
    <row r="453" spans="1:2" x14ac:dyDescent="0.3">
      <c r="A453" s="105"/>
      <c r="B453" s="105"/>
    </row>
    <row r="454" spans="1:2" x14ac:dyDescent="0.3">
      <c r="A454" s="105"/>
      <c r="B454" s="105"/>
    </row>
    <row r="455" spans="1:2" x14ac:dyDescent="0.3">
      <c r="A455" s="105"/>
      <c r="B455" s="105"/>
    </row>
    <row r="456" spans="1:2" x14ac:dyDescent="0.3">
      <c r="A456" s="105"/>
      <c r="B456" s="105"/>
    </row>
    <row r="457" spans="1:2" x14ac:dyDescent="0.3">
      <c r="A457" s="105"/>
      <c r="B457" s="105"/>
    </row>
    <row r="458" spans="1:2" x14ac:dyDescent="0.3">
      <c r="A458" s="105"/>
      <c r="B458" s="105"/>
    </row>
    <row r="459" spans="1:2" x14ac:dyDescent="0.3">
      <c r="A459" s="105"/>
      <c r="B459" s="105"/>
    </row>
    <row r="460" spans="1:2" x14ac:dyDescent="0.3">
      <c r="A460" s="105"/>
      <c r="B460" s="105"/>
    </row>
    <row r="461" spans="1:2" x14ac:dyDescent="0.3">
      <c r="A461" s="105"/>
      <c r="B461" s="105"/>
    </row>
    <row r="462" spans="1:2" x14ac:dyDescent="0.3">
      <c r="A462" s="105"/>
      <c r="B462" s="105"/>
    </row>
    <row r="463" spans="1:2" x14ac:dyDescent="0.3">
      <c r="A463" s="105"/>
      <c r="B463" s="105"/>
    </row>
    <row r="464" spans="1:2" x14ac:dyDescent="0.3">
      <c r="A464" s="105"/>
      <c r="B464" s="105"/>
    </row>
    <row r="465" spans="1:2" x14ac:dyDescent="0.3">
      <c r="A465" s="105"/>
      <c r="B465" s="105"/>
    </row>
    <row r="466" spans="1:2" x14ac:dyDescent="0.3">
      <c r="A466" s="105"/>
      <c r="B466" s="105"/>
    </row>
    <row r="467" spans="1:2" x14ac:dyDescent="0.3">
      <c r="A467" s="105"/>
      <c r="B467" s="105"/>
    </row>
    <row r="468" spans="1:2" x14ac:dyDescent="0.3">
      <c r="A468" s="105"/>
      <c r="B468" s="105"/>
    </row>
    <row r="469" spans="1:2" x14ac:dyDescent="0.3">
      <c r="A469" s="105"/>
      <c r="B469" s="105"/>
    </row>
    <row r="470" spans="1:2" x14ac:dyDescent="0.3">
      <c r="A470" s="105"/>
      <c r="B470" s="105"/>
    </row>
    <row r="471" spans="1:2" x14ac:dyDescent="0.3">
      <c r="A471" s="105"/>
      <c r="B471" s="105"/>
    </row>
    <row r="472" spans="1:2" x14ac:dyDescent="0.3">
      <c r="A472" s="105"/>
      <c r="B472" s="105"/>
    </row>
    <row r="473" spans="1:2" x14ac:dyDescent="0.3">
      <c r="A473" s="105"/>
      <c r="B473" s="105"/>
    </row>
    <row r="474" spans="1:2" x14ac:dyDescent="0.3">
      <c r="A474" s="105"/>
      <c r="B474" s="105"/>
    </row>
    <row r="475" spans="1:2" x14ac:dyDescent="0.3">
      <c r="A475" s="105"/>
      <c r="B475" s="105"/>
    </row>
    <row r="476" spans="1:2" x14ac:dyDescent="0.3">
      <c r="A476" s="105"/>
      <c r="B476" s="105"/>
    </row>
    <row r="477" spans="1:2" x14ac:dyDescent="0.3">
      <c r="A477" s="105"/>
      <c r="B477" s="105"/>
    </row>
    <row r="478" spans="1:2" x14ac:dyDescent="0.3">
      <c r="A478" s="105"/>
      <c r="B478" s="105"/>
    </row>
    <row r="479" spans="1:2" x14ac:dyDescent="0.3">
      <c r="A479" s="105"/>
      <c r="B479" s="105"/>
    </row>
    <row r="480" spans="1:2" x14ac:dyDescent="0.3">
      <c r="A480" s="105"/>
      <c r="B480" s="105"/>
    </row>
    <row r="481" spans="1:2" x14ac:dyDescent="0.3">
      <c r="A481" s="105"/>
      <c r="B481" s="105"/>
    </row>
    <row r="482" spans="1:2" x14ac:dyDescent="0.3">
      <c r="A482" s="105"/>
      <c r="B482" s="105"/>
    </row>
    <row r="483" spans="1:2" x14ac:dyDescent="0.3">
      <c r="A483" s="105"/>
      <c r="B483" s="105"/>
    </row>
    <row r="484" spans="1:2" x14ac:dyDescent="0.3">
      <c r="A484" s="105"/>
      <c r="B484" s="105"/>
    </row>
    <row r="485" spans="1:2" x14ac:dyDescent="0.3">
      <c r="A485" s="105"/>
      <c r="B485" s="105"/>
    </row>
    <row r="486" spans="1:2" x14ac:dyDescent="0.3">
      <c r="A486" s="105"/>
      <c r="B486" s="105"/>
    </row>
    <row r="487" spans="1:2" x14ac:dyDescent="0.3">
      <c r="A487" s="105"/>
      <c r="B487" s="105"/>
    </row>
    <row r="488" spans="1:2" x14ac:dyDescent="0.3">
      <c r="A488" s="105"/>
      <c r="B488" s="105"/>
    </row>
    <row r="489" spans="1:2" x14ac:dyDescent="0.3">
      <c r="A489" s="105"/>
      <c r="B489" s="105"/>
    </row>
    <row r="490" spans="1:2" x14ac:dyDescent="0.3">
      <c r="A490" s="105"/>
      <c r="B490" s="105"/>
    </row>
    <row r="491" spans="1:2" x14ac:dyDescent="0.3">
      <c r="A491" s="105"/>
      <c r="B491" s="105"/>
    </row>
    <row r="492" spans="1:2" x14ac:dyDescent="0.3">
      <c r="A492" s="105"/>
      <c r="B492" s="105"/>
    </row>
    <row r="493" spans="1:2" x14ac:dyDescent="0.3">
      <c r="A493" s="105"/>
      <c r="B493" s="105"/>
    </row>
    <row r="494" spans="1:2" x14ac:dyDescent="0.3">
      <c r="A494" s="105"/>
      <c r="B494" s="105"/>
    </row>
    <row r="495" spans="1:2" x14ac:dyDescent="0.3">
      <c r="A495" s="105"/>
      <c r="B495" s="105"/>
    </row>
    <row r="496" spans="1:2" x14ac:dyDescent="0.3">
      <c r="A496" s="105"/>
      <c r="B496" s="105"/>
    </row>
    <row r="497" spans="1:2" x14ac:dyDescent="0.3">
      <c r="A497" s="105"/>
      <c r="B497" s="105"/>
    </row>
    <row r="498" spans="1:2" x14ac:dyDescent="0.3">
      <c r="A498" s="105"/>
      <c r="B498" s="105"/>
    </row>
    <row r="499" spans="1:2" x14ac:dyDescent="0.3">
      <c r="A499" s="105"/>
      <c r="B499" s="105"/>
    </row>
    <row r="500" spans="1:2" x14ac:dyDescent="0.3">
      <c r="A500" s="105"/>
      <c r="B500" s="105"/>
    </row>
    <row r="501" spans="1:2" x14ac:dyDescent="0.3">
      <c r="A501" s="105"/>
      <c r="B501" s="105"/>
    </row>
    <row r="502" spans="1:2" x14ac:dyDescent="0.3">
      <c r="A502" s="105"/>
      <c r="B502" s="105"/>
    </row>
    <row r="503" spans="1:2" x14ac:dyDescent="0.3">
      <c r="A503" s="105"/>
      <c r="B503" s="105"/>
    </row>
    <row r="504" spans="1:2" x14ac:dyDescent="0.3">
      <c r="A504" s="105"/>
      <c r="B504" s="105"/>
    </row>
    <row r="505" spans="1:2" x14ac:dyDescent="0.3">
      <c r="A505" s="105"/>
      <c r="B505" s="105"/>
    </row>
    <row r="506" spans="1:2" x14ac:dyDescent="0.3">
      <c r="A506" s="105"/>
      <c r="B506" s="105"/>
    </row>
    <row r="507" spans="1:2" x14ac:dyDescent="0.3">
      <c r="A507" s="105"/>
      <c r="B507" s="105"/>
    </row>
    <row r="508" spans="1:2" x14ac:dyDescent="0.3">
      <c r="A508" s="105"/>
      <c r="B508" s="105"/>
    </row>
    <row r="509" spans="1:2" x14ac:dyDescent="0.3">
      <c r="A509" s="105"/>
      <c r="B509" s="105"/>
    </row>
    <row r="510" spans="1:2" x14ac:dyDescent="0.3">
      <c r="A510" s="105"/>
      <c r="B510" s="105"/>
    </row>
    <row r="511" spans="1:2" x14ac:dyDescent="0.3">
      <c r="A511" s="105"/>
      <c r="B511" s="105"/>
    </row>
    <row r="512" spans="1:2" x14ac:dyDescent="0.3">
      <c r="A512" s="105"/>
      <c r="B512" s="105"/>
    </row>
    <row r="513" spans="1:2" x14ac:dyDescent="0.3">
      <c r="A513" s="105"/>
      <c r="B513" s="105"/>
    </row>
    <row r="514" spans="1:2" x14ac:dyDescent="0.3">
      <c r="A514" s="105"/>
      <c r="B514" s="105"/>
    </row>
    <row r="515" spans="1:2" x14ac:dyDescent="0.3">
      <c r="A515" s="105"/>
      <c r="B515" s="105"/>
    </row>
    <row r="516" spans="1:2" x14ac:dyDescent="0.3">
      <c r="A516" s="105"/>
      <c r="B516" s="105"/>
    </row>
    <row r="517" spans="1:2" x14ac:dyDescent="0.3">
      <c r="A517" s="105"/>
      <c r="B517" s="105"/>
    </row>
    <row r="518" spans="1:2" x14ac:dyDescent="0.3">
      <c r="A518" s="105"/>
      <c r="B518" s="105"/>
    </row>
    <row r="519" spans="1:2" x14ac:dyDescent="0.3">
      <c r="A519" s="105"/>
      <c r="B519" s="105"/>
    </row>
    <row r="520" spans="1:2" x14ac:dyDescent="0.3">
      <c r="A520" s="105"/>
      <c r="B520" s="105"/>
    </row>
    <row r="521" spans="1:2" x14ac:dyDescent="0.3">
      <c r="A521" s="105"/>
      <c r="B521" s="105"/>
    </row>
    <row r="522" spans="1:2" x14ac:dyDescent="0.3">
      <c r="A522" s="105"/>
      <c r="B522" s="105"/>
    </row>
    <row r="523" spans="1:2" x14ac:dyDescent="0.3">
      <c r="A523" s="105"/>
      <c r="B523" s="105"/>
    </row>
    <row r="524" spans="1:2" x14ac:dyDescent="0.3">
      <c r="A524" s="105"/>
      <c r="B524" s="105"/>
    </row>
    <row r="525" spans="1:2" x14ac:dyDescent="0.3">
      <c r="A525" s="105"/>
      <c r="B525" s="105"/>
    </row>
    <row r="526" spans="1:2" x14ac:dyDescent="0.3">
      <c r="A526" s="105"/>
      <c r="B526" s="105"/>
    </row>
    <row r="527" spans="1:2" x14ac:dyDescent="0.3">
      <c r="A527" s="105"/>
      <c r="B527" s="105"/>
    </row>
    <row r="528" spans="1:2" x14ac:dyDescent="0.3">
      <c r="A528" s="105"/>
      <c r="B528" s="105"/>
    </row>
    <row r="529" spans="1:2" x14ac:dyDescent="0.3">
      <c r="A529" s="105"/>
      <c r="B529" s="105"/>
    </row>
    <row r="530" spans="1:2" x14ac:dyDescent="0.3">
      <c r="A530" s="105"/>
      <c r="B530" s="105"/>
    </row>
    <row r="531" spans="1:2" x14ac:dyDescent="0.3">
      <c r="A531" s="105"/>
      <c r="B531" s="105"/>
    </row>
    <row r="532" spans="1:2" x14ac:dyDescent="0.3">
      <c r="A532" s="105"/>
      <c r="B532" s="105"/>
    </row>
    <row r="533" spans="1:2" x14ac:dyDescent="0.3">
      <c r="A533" s="105"/>
      <c r="B533" s="105"/>
    </row>
    <row r="534" spans="1:2" x14ac:dyDescent="0.3">
      <c r="A534" s="105"/>
      <c r="B534" s="105"/>
    </row>
    <row r="535" spans="1:2" x14ac:dyDescent="0.3">
      <c r="A535" s="105"/>
      <c r="B535" s="105"/>
    </row>
    <row r="536" spans="1:2" x14ac:dyDescent="0.3">
      <c r="A536" s="105"/>
      <c r="B536" s="105"/>
    </row>
    <row r="537" spans="1:2" x14ac:dyDescent="0.3">
      <c r="A537" s="105"/>
      <c r="B537" s="105"/>
    </row>
    <row r="538" spans="1:2" x14ac:dyDescent="0.3">
      <c r="A538" s="105"/>
      <c r="B538" s="105"/>
    </row>
    <row r="539" spans="1:2" x14ac:dyDescent="0.3">
      <c r="A539" s="105"/>
      <c r="B539" s="105"/>
    </row>
    <row r="540" spans="1:2" x14ac:dyDescent="0.3">
      <c r="A540" s="105"/>
      <c r="B540" s="105"/>
    </row>
    <row r="541" spans="1:2" x14ac:dyDescent="0.3">
      <c r="A541" s="105"/>
      <c r="B541" s="105"/>
    </row>
    <row r="542" spans="1:2" x14ac:dyDescent="0.3">
      <c r="A542" s="105"/>
      <c r="B542" s="105"/>
    </row>
    <row r="543" spans="1:2" x14ac:dyDescent="0.3">
      <c r="A543" s="105"/>
      <c r="B543" s="105"/>
    </row>
    <row r="544" spans="1:2" x14ac:dyDescent="0.3">
      <c r="A544" s="105"/>
      <c r="B544" s="105"/>
    </row>
    <row r="545" spans="1:2" x14ac:dyDescent="0.3">
      <c r="A545" s="105"/>
      <c r="B545" s="105"/>
    </row>
    <row r="546" spans="1:2" x14ac:dyDescent="0.3">
      <c r="A546" s="105"/>
      <c r="B546" s="105"/>
    </row>
    <row r="547" spans="1:2" x14ac:dyDescent="0.3">
      <c r="A547" s="105"/>
      <c r="B547" s="105"/>
    </row>
    <row r="548" spans="1:2" x14ac:dyDescent="0.3">
      <c r="A548" s="105"/>
      <c r="B548" s="105"/>
    </row>
    <row r="549" spans="1:2" x14ac:dyDescent="0.3">
      <c r="A549" s="105"/>
      <c r="B549" s="105"/>
    </row>
    <row r="550" spans="1:2" x14ac:dyDescent="0.3">
      <c r="A550" s="105"/>
      <c r="B550" s="105"/>
    </row>
    <row r="551" spans="1:2" x14ac:dyDescent="0.3">
      <c r="A551" s="105"/>
      <c r="B551" s="105"/>
    </row>
    <row r="552" spans="1:2" x14ac:dyDescent="0.3">
      <c r="A552" s="105"/>
      <c r="B552" s="105"/>
    </row>
    <row r="553" spans="1:2" x14ac:dyDescent="0.3">
      <c r="A553" s="105"/>
      <c r="B553" s="105"/>
    </row>
    <row r="554" spans="1:2" x14ac:dyDescent="0.3">
      <c r="A554" s="105"/>
      <c r="B554" s="105"/>
    </row>
    <row r="555" spans="1:2" x14ac:dyDescent="0.3">
      <c r="A555" s="105"/>
      <c r="B555" s="105"/>
    </row>
    <row r="556" spans="1:2" x14ac:dyDescent="0.3">
      <c r="A556" s="105"/>
      <c r="B556" s="105"/>
    </row>
    <row r="557" spans="1:2" x14ac:dyDescent="0.3">
      <c r="A557" s="105"/>
      <c r="B557" s="105"/>
    </row>
    <row r="558" spans="1:2" x14ac:dyDescent="0.3">
      <c r="A558" s="105"/>
      <c r="B558" s="105"/>
    </row>
    <row r="559" spans="1:2" x14ac:dyDescent="0.3">
      <c r="A559" s="105"/>
      <c r="B559" s="105"/>
    </row>
    <row r="560" spans="1:2" x14ac:dyDescent="0.3">
      <c r="A560" s="105"/>
      <c r="B560" s="105"/>
    </row>
    <row r="561" spans="1:2" x14ac:dyDescent="0.3">
      <c r="A561" s="105"/>
      <c r="B561" s="105"/>
    </row>
    <row r="562" spans="1:2" x14ac:dyDescent="0.3">
      <c r="A562" s="105"/>
      <c r="B562" s="105"/>
    </row>
    <row r="563" spans="1:2" x14ac:dyDescent="0.3">
      <c r="A563" s="105"/>
      <c r="B563" s="105"/>
    </row>
    <row r="564" spans="1:2" x14ac:dyDescent="0.3">
      <c r="A564" s="105"/>
      <c r="B564" s="105"/>
    </row>
    <row r="565" spans="1:2" x14ac:dyDescent="0.3">
      <c r="A565" s="105"/>
      <c r="B565" s="105"/>
    </row>
    <row r="566" spans="1:2" x14ac:dyDescent="0.3">
      <c r="A566" s="105"/>
      <c r="B566" s="105"/>
    </row>
    <row r="567" spans="1:2" x14ac:dyDescent="0.3">
      <c r="A567" s="105"/>
      <c r="B567" s="105"/>
    </row>
    <row r="568" spans="1:2" x14ac:dyDescent="0.3">
      <c r="A568" s="105"/>
      <c r="B568" s="105"/>
    </row>
    <row r="569" spans="1:2" x14ac:dyDescent="0.3">
      <c r="A569" s="105"/>
      <c r="B569" s="105"/>
    </row>
    <row r="570" spans="1:2" x14ac:dyDescent="0.3">
      <c r="A570" s="105"/>
      <c r="B570" s="105"/>
    </row>
    <row r="571" spans="1:2" x14ac:dyDescent="0.3">
      <c r="A571" s="105"/>
      <c r="B571" s="105"/>
    </row>
    <row r="572" spans="1:2" x14ac:dyDescent="0.3">
      <c r="A572" s="105"/>
      <c r="B572" s="105"/>
    </row>
    <row r="573" spans="1:2" x14ac:dyDescent="0.3">
      <c r="A573" s="105"/>
      <c r="B573" s="105"/>
    </row>
    <row r="574" spans="1:2" x14ac:dyDescent="0.3">
      <c r="A574" s="105"/>
      <c r="B574" s="105"/>
    </row>
    <row r="575" spans="1:2" x14ac:dyDescent="0.3">
      <c r="A575" s="105"/>
      <c r="B575" s="105"/>
    </row>
    <row r="576" spans="1:2" x14ac:dyDescent="0.3">
      <c r="A576" s="105"/>
      <c r="B576" s="105"/>
    </row>
    <row r="577" spans="1:2" x14ac:dyDescent="0.3">
      <c r="A577" s="105"/>
      <c r="B577" s="105"/>
    </row>
    <row r="578" spans="1:2" x14ac:dyDescent="0.3">
      <c r="A578" s="105"/>
      <c r="B578" s="105"/>
    </row>
    <row r="579" spans="1:2" x14ac:dyDescent="0.3">
      <c r="A579" s="105"/>
      <c r="B579" s="105"/>
    </row>
    <row r="580" spans="1:2" x14ac:dyDescent="0.3">
      <c r="A580" s="105"/>
      <c r="B580" s="105"/>
    </row>
    <row r="581" spans="1:2" x14ac:dyDescent="0.3">
      <c r="A581" s="105"/>
      <c r="B581" s="105"/>
    </row>
    <row r="582" spans="1:2" x14ac:dyDescent="0.3">
      <c r="A582" s="105"/>
      <c r="B582" s="105"/>
    </row>
    <row r="583" spans="1:2" x14ac:dyDescent="0.3">
      <c r="A583" s="105"/>
      <c r="B583" s="105"/>
    </row>
    <row r="584" spans="1:2" x14ac:dyDescent="0.3">
      <c r="A584" s="105"/>
      <c r="B584" s="105"/>
    </row>
    <row r="585" spans="1:2" x14ac:dyDescent="0.3">
      <c r="A585" s="105"/>
      <c r="B585" s="105"/>
    </row>
    <row r="586" spans="1:2" x14ac:dyDescent="0.3">
      <c r="A586" s="105"/>
      <c r="B586" s="105"/>
    </row>
    <row r="587" spans="1:2" x14ac:dyDescent="0.3">
      <c r="A587" s="105"/>
      <c r="B587" s="105"/>
    </row>
    <row r="588" spans="1:2" x14ac:dyDescent="0.3">
      <c r="A588" s="105"/>
      <c r="B588" s="105"/>
    </row>
    <row r="589" spans="1:2" x14ac:dyDescent="0.3">
      <c r="A589" s="105"/>
      <c r="B589" s="105"/>
    </row>
    <row r="590" spans="1:2" x14ac:dyDescent="0.3">
      <c r="A590" s="105"/>
      <c r="B590" s="105"/>
    </row>
    <row r="591" spans="1:2" x14ac:dyDescent="0.3">
      <c r="A591" s="105"/>
      <c r="B591" s="105"/>
    </row>
    <row r="592" spans="1:2" x14ac:dyDescent="0.3">
      <c r="A592" s="105"/>
      <c r="B592" s="105"/>
    </row>
    <row r="593" spans="1:2" x14ac:dyDescent="0.3">
      <c r="A593" s="105"/>
      <c r="B593" s="105"/>
    </row>
    <row r="594" spans="1:2" x14ac:dyDescent="0.3">
      <c r="A594" s="105"/>
      <c r="B594" s="105"/>
    </row>
    <row r="595" spans="1:2" x14ac:dyDescent="0.3">
      <c r="A595" s="105"/>
      <c r="B595" s="105"/>
    </row>
    <row r="596" spans="1:2" x14ac:dyDescent="0.3">
      <c r="A596" s="105"/>
      <c r="B596" s="105"/>
    </row>
    <row r="597" spans="1:2" x14ac:dyDescent="0.3">
      <c r="A597" s="105"/>
      <c r="B597" s="105"/>
    </row>
    <row r="598" spans="1:2" x14ac:dyDescent="0.3">
      <c r="A598" s="105"/>
      <c r="B598" s="105"/>
    </row>
    <row r="599" spans="1:2" x14ac:dyDescent="0.3">
      <c r="A599" s="105"/>
      <c r="B599" s="105"/>
    </row>
    <row r="600" spans="1:2" x14ac:dyDescent="0.3">
      <c r="A600" s="105"/>
      <c r="B600" s="105"/>
    </row>
    <row r="601" spans="1:2" x14ac:dyDescent="0.3">
      <c r="A601" s="105"/>
      <c r="B601" s="105"/>
    </row>
    <row r="602" spans="1:2" x14ac:dyDescent="0.3">
      <c r="A602" s="105"/>
      <c r="B602" s="105"/>
    </row>
    <row r="603" spans="1:2" x14ac:dyDescent="0.3">
      <c r="A603" s="105"/>
      <c r="B603" s="105"/>
    </row>
    <row r="604" spans="1:2" x14ac:dyDescent="0.3">
      <c r="A604" s="105"/>
      <c r="B604" s="105"/>
    </row>
    <row r="605" spans="1:2" x14ac:dyDescent="0.3">
      <c r="A605" s="105"/>
      <c r="B605" s="105"/>
    </row>
    <row r="606" spans="1:2" x14ac:dyDescent="0.3">
      <c r="A606" s="105"/>
      <c r="B606" s="105"/>
    </row>
    <row r="607" spans="1:2" x14ac:dyDescent="0.3">
      <c r="A607" s="105"/>
      <c r="B607" s="105"/>
    </row>
    <row r="608" spans="1:2" x14ac:dyDescent="0.3">
      <c r="A608" s="105"/>
      <c r="B608" s="105"/>
    </row>
    <row r="609" spans="1:2" x14ac:dyDescent="0.3">
      <c r="A609" s="105"/>
      <c r="B609" s="105"/>
    </row>
    <row r="610" spans="1:2" x14ac:dyDescent="0.3">
      <c r="A610" s="105"/>
      <c r="B610" s="105"/>
    </row>
    <row r="611" spans="1:2" x14ac:dyDescent="0.3">
      <c r="A611" s="105"/>
      <c r="B611" s="105"/>
    </row>
    <row r="612" spans="1:2" x14ac:dyDescent="0.3">
      <c r="A612" s="105"/>
      <c r="B612" s="105"/>
    </row>
    <row r="613" spans="1:2" x14ac:dyDescent="0.3">
      <c r="A613" s="105"/>
      <c r="B613" s="105"/>
    </row>
    <row r="614" spans="1:2" x14ac:dyDescent="0.3">
      <c r="A614" s="105"/>
      <c r="B614" s="105"/>
    </row>
    <row r="615" spans="1:2" x14ac:dyDescent="0.3">
      <c r="A615" s="105"/>
      <c r="B615" s="105"/>
    </row>
    <row r="616" spans="1:2" x14ac:dyDescent="0.3">
      <c r="A616" s="105"/>
      <c r="B616" s="105"/>
    </row>
    <row r="617" spans="1:2" x14ac:dyDescent="0.3">
      <c r="A617" s="105"/>
      <c r="B617" s="105"/>
    </row>
    <row r="618" spans="1:2" x14ac:dyDescent="0.3">
      <c r="A618" s="105"/>
      <c r="B618" s="105"/>
    </row>
    <row r="619" spans="1:2" x14ac:dyDescent="0.3">
      <c r="A619" s="105"/>
      <c r="B619" s="105"/>
    </row>
    <row r="620" spans="1:2" x14ac:dyDescent="0.3">
      <c r="A620" s="105"/>
      <c r="B620" s="105"/>
    </row>
    <row r="621" spans="1:2" x14ac:dyDescent="0.3">
      <c r="A621" s="105"/>
      <c r="B621" s="105"/>
    </row>
    <row r="622" spans="1:2" x14ac:dyDescent="0.3">
      <c r="A622" s="105"/>
      <c r="B622" s="105"/>
    </row>
    <row r="623" spans="1:2" x14ac:dyDescent="0.3">
      <c r="A623" s="105"/>
      <c r="B623" s="105"/>
    </row>
    <row r="624" spans="1:2" x14ac:dyDescent="0.3">
      <c r="A624" s="105"/>
      <c r="B624" s="105"/>
    </row>
    <row r="625" spans="1:2" x14ac:dyDescent="0.3">
      <c r="A625" s="105"/>
      <c r="B625" s="105"/>
    </row>
    <row r="626" spans="1:2" x14ac:dyDescent="0.3">
      <c r="A626" s="105"/>
      <c r="B626" s="105"/>
    </row>
    <row r="627" spans="1:2" x14ac:dyDescent="0.3">
      <c r="A627" s="105"/>
      <c r="B627" s="105"/>
    </row>
    <row r="628" spans="1:2" x14ac:dyDescent="0.3">
      <c r="A628" s="105"/>
      <c r="B628" s="105"/>
    </row>
    <row r="629" spans="1:2" x14ac:dyDescent="0.3">
      <c r="A629" s="105"/>
      <c r="B629" s="105"/>
    </row>
    <row r="630" spans="1:2" x14ac:dyDescent="0.3">
      <c r="A630" s="105"/>
      <c r="B630" s="105"/>
    </row>
    <row r="631" spans="1:2" x14ac:dyDescent="0.3">
      <c r="A631" s="105"/>
      <c r="B631" s="105"/>
    </row>
    <row r="632" spans="1:2" x14ac:dyDescent="0.3">
      <c r="A632" s="105"/>
      <c r="B632" s="105"/>
    </row>
    <row r="633" spans="1:2" x14ac:dyDescent="0.3">
      <c r="A633" s="105"/>
      <c r="B633" s="105"/>
    </row>
    <row r="634" spans="1:2" x14ac:dyDescent="0.3">
      <c r="A634" s="105"/>
      <c r="B634" s="105"/>
    </row>
    <row r="635" spans="1:2" x14ac:dyDescent="0.3">
      <c r="A635" s="105"/>
      <c r="B635" s="105"/>
    </row>
    <row r="636" spans="1:2" x14ac:dyDescent="0.3">
      <c r="A636" s="105"/>
      <c r="B636" s="105"/>
    </row>
    <row r="637" spans="1:2" x14ac:dyDescent="0.3">
      <c r="A637" s="105"/>
      <c r="B637" s="105"/>
    </row>
    <row r="638" spans="1:2" x14ac:dyDescent="0.3">
      <c r="A638" s="105"/>
      <c r="B638" s="105"/>
    </row>
    <row r="639" spans="1:2" x14ac:dyDescent="0.3">
      <c r="A639" s="105"/>
      <c r="B639" s="105"/>
    </row>
    <row r="640" spans="1:2" x14ac:dyDescent="0.3">
      <c r="A640" s="105"/>
      <c r="B640" s="105"/>
    </row>
    <row r="641" spans="1:2" x14ac:dyDescent="0.3">
      <c r="A641" s="105"/>
      <c r="B641" s="105"/>
    </row>
    <row r="642" spans="1:2" x14ac:dyDescent="0.3">
      <c r="A642" s="105"/>
      <c r="B642" s="105"/>
    </row>
    <row r="643" spans="1:2" x14ac:dyDescent="0.3">
      <c r="A643" s="105"/>
      <c r="B643" s="105"/>
    </row>
    <row r="644" spans="1:2" x14ac:dyDescent="0.3">
      <c r="A644" s="105"/>
      <c r="B644" s="105"/>
    </row>
    <row r="645" spans="1:2" x14ac:dyDescent="0.3">
      <c r="A645" s="105"/>
      <c r="B645" s="105"/>
    </row>
    <row r="646" spans="1:2" x14ac:dyDescent="0.3">
      <c r="A646" s="105"/>
      <c r="B646" s="105"/>
    </row>
    <row r="647" spans="1:2" x14ac:dyDescent="0.3">
      <c r="A647" s="105"/>
      <c r="B647" s="105"/>
    </row>
    <row r="648" spans="1:2" x14ac:dyDescent="0.3">
      <c r="A648" s="105"/>
      <c r="B648" s="105"/>
    </row>
    <row r="649" spans="1:2" x14ac:dyDescent="0.3">
      <c r="A649" s="105"/>
      <c r="B649" s="105"/>
    </row>
    <row r="650" spans="1:2" x14ac:dyDescent="0.3">
      <c r="A650" s="105"/>
      <c r="B650" s="105"/>
    </row>
    <row r="651" spans="1:2" x14ac:dyDescent="0.3">
      <c r="A651" s="105"/>
      <c r="B651" s="105"/>
    </row>
    <row r="652" spans="1:2" x14ac:dyDescent="0.3">
      <c r="A652" s="105"/>
      <c r="B652" s="105"/>
    </row>
    <row r="653" spans="1:2" x14ac:dyDescent="0.3">
      <c r="A653" s="105"/>
      <c r="B653" s="105"/>
    </row>
    <row r="654" spans="1:2" x14ac:dyDescent="0.3">
      <c r="A654" s="105"/>
      <c r="B654" s="105"/>
    </row>
    <row r="655" spans="1:2" x14ac:dyDescent="0.3">
      <c r="A655" s="105"/>
      <c r="B655" s="105"/>
    </row>
    <row r="656" spans="1:2" x14ac:dyDescent="0.3">
      <c r="A656" s="105"/>
      <c r="B656" s="105"/>
    </row>
    <row r="657" spans="1:2" x14ac:dyDescent="0.3">
      <c r="A657" s="105"/>
      <c r="B657" s="105"/>
    </row>
    <row r="658" spans="1:2" x14ac:dyDescent="0.3">
      <c r="A658" s="105"/>
      <c r="B658" s="105"/>
    </row>
    <row r="659" spans="1:2" x14ac:dyDescent="0.3">
      <c r="A659" s="105"/>
      <c r="B659" s="105"/>
    </row>
    <row r="660" spans="1:2" x14ac:dyDescent="0.3">
      <c r="A660" s="105"/>
      <c r="B660" s="105"/>
    </row>
    <row r="661" spans="1:2" x14ac:dyDescent="0.3">
      <c r="A661" s="105"/>
      <c r="B661" s="105"/>
    </row>
    <row r="662" spans="1:2" x14ac:dyDescent="0.3">
      <c r="A662" s="105"/>
      <c r="B662" s="105"/>
    </row>
    <row r="663" spans="1:2" x14ac:dyDescent="0.3">
      <c r="A663" s="105"/>
      <c r="B663" s="105"/>
    </row>
    <row r="664" spans="1:2" x14ac:dyDescent="0.3">
      <c r="A664" s="105"/>
      <c r="B664" s="105"/>
    </row>
    <row r="665" spans="1:2" x14ac:dyDescent="0.3">
      <c r="A665" s="105"/>
      <c r="B665" s="105"/>
    </row>
  </sheetData>
  <mergeCells count="8">
    <mergeCell ref="A1:H1"/>
    <mergeCell ref="A3:B3"/>
    <mergeCell ref="C3:C4"/>
    <mergeCell ref="D3:D4"/>
    <mergeCell ref="E3:E4"/>
    <mergeCell ref="F3:F4"/>
    <mergeCell ref="G3:G4"/>
    <mergeCell ref="H3:H4"/>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B81E-CEA1-48BA-B24C-125D5B89B9BE}">
  <dimension ref="A1:H412"/>
  <sheetViews>
    <sheetView topLeftCell="B1" zoomScale="70" zoomScaleNormal="70" workbookViewId="0">
      <pane ySplit="4" topLeftCell="A5" activePane="bottomLeft" state="frozen"/>
      <selection pane="bottomLeft" activeCell="D21" sqref="D21"/>
    </sheetView>
  </sheetViews>
  <sheetFormatPr defaultRowHeight="20.25" x14ac:dyDescent="0.3"/>
  <cols>
    <col min="1" max="2" width="20.7109375" style="1" customWidth="1"/>
    <col min="3" max="3" width="15.7109375" style="1" customWidth="1"/>
    <col min="4" max="4" width="80.7109375" style="1" customWidth="1"/>
    <col min="5" max="5" width="30.7109375" style="1" customWidth="1"/>
    <col min="6" max="7" width="80.7109375" style="1" customWidth="1"/>
    <col min="8" max="8" width="45.7109375" style="1" customWidth="1"/>
    <col min="9" max="16384" width="9.140625" style="1"/>
  </cols>
  <sheetData>
    <row r="1" spans="1:8" ht="30" x14ac:dyDescent="0.4">
      <c r="A1" s="109" t="s">
        <v>109</v>
      </c>
      <c r="B1" s="109"/>
      <c r="C1" s="109"/>
      <c r="D1" s="109"/>
      <c r="E1" s="109"/>
      <c r="F1" s="109"/>
      <c r="G1" s="109"/>
      <c r="H1" s="109"/>
    </row>
    <row r="3" spans="1:8" x14ac:dyDescent="0.3">
      <c r="A3" s="110" t="s">
        <v>1</v>
      </c>
      <c r="B3" s="110"/>
      <c r="C3" s="110" t="s">
        <v>4</v>
      </c>
      <c r="D3" s="110" t="s">
        <v>106</v>
      </c>
      <c r="E3" s="110" t="s">
        <v>107</v>
      </c>
      <c r="F3" s="110" t="s">
        <v>108</v>
      </c>
      <c r="G3" s="110" t="s">
        <v>350</v>
      </c>
      <c r="H3" s="110" t="s">
        <v>11</v>
      </c>
    </row>
    <row r="4" spans="1:8" x14ac:dyDescent="0.3">
      <c r="A4" s="4" t="s">
        <v>2</v>
      </c>
      <c r="B4" s="4" t="s">
        <v>3</v>
      </c>
      <c r="C4" s="110"/>
      <c r="D4" s="110"/>
      <c r="E4" s="110"/>
      <c r="F4" s="110"/>
      <c r="G4" s="110"/>
      <c r="H4" s="110"/>
    </row>
    <row r="5" spans="1:8" ht="30" customHeight="1" x14ac:dyDescent="0.3">
      <c r="A5" s="7" t="s">
        <v>407</v>
      </c>
      <c r="B5" s="8"/>
      <c r="C5" s="8"/>
      <c r="D5" s="6" t="s">
        <v>29</v>
      </c>
      <c r="E5" s="7" t="s">
        <v>341</v>
      </c>
      <c r="F5" s="23" t="s">
        <v>349</v>
      </c>
      <c r="G5" s="23" t="s">
        <v>351</v>
      </c>
      <c r="H5" s="9" t="s">
        <v>153</v>
      </c>
    </row>
    <row r="6" spans="1:8" ht="30" customHeight="1" x14ac:dyDescent="0.3">
      <c r="A6" s="7"/>
      <c r="B6" s="8"/>
      <c r="C6" s="8"/>
      <c r="D6" s="6"/>
      <c r="E6" s="7"/>
      <c r="F6" s="23"/>
      <c r="G6" s="23"/>
      <c r="H6" s="9"/>
    </row>
    <row r="7" spans="1:8" ht="30" customHeight="1" x14ac:dyDescent="0.3">
      <c r="A7" s="7" t="s">
        <v>341</v>
      </c>
      <c r="B7" s="8"/>
      <c r="C7" s="8"/>
      <c r="D7" s="6" t="s">
        <v>348</v>
      </c>
      <c r="E7" s="7" t="s">
        <v>337</v>
      </c>
      <c r="F7" s="23" t="s">
        <v>346</v>
      </c>
      <c r="G7" s="23" t="s">
        <v>352</v>
      </c>
      <c r="H7" s="9" t="s">
        <v>153</v>
      </c>
    </row>
    <row r="8" spans="1:8" ht="30" customHeight="1" x14ac:dyDescent="0.3">
      <c r="A8" s="7" t="s">
        <v>874</v>
      </c>
      <c r="B8" s="8"/>
      <c r="C8" s="8"/>
      <c r="D8" s="6" t="s">
        <v>29</v>
      </c>
      <c r="E8" s="7" t="s">
        <v>872</v>
      </c>
      <c r="F8" s="23" t="s">
        <v>349</v>
      </c>
      <c r="G8" s="23" t="s">
        <v>875</v>
      </c>
      <c r="H8" s="9"/>
    </row>
    <row r="9" spans="1:8" ht="30" customHeight="1" x14ac:dyDescent="0.3">
      <c r="A9" s="7" t="s">
        <v>900</v>
      </c>
      <c r="B9" s="8"/>
      <c r="C9" s="8"/>
      <c r="D9" s="6" t="s">
        <v>15</v>
      </c>
      <c r="E9" s="7" t="s">
        <v>901</v>
      </c>
      <c r="F9" s="23" t="s">
        <v>235</v>
      </c>
      <c r="G9" s="23" t="s">
        <v>902</v>
      </c>
      <c r="H9" s="9"/>
    </row>
    <row r="10" spans="1:8" s="26" customFormat="1" ht="30" customHeight="1" x14ac:dyDescent="0.3">
      <c r="A10" s="14"/>
      <c r="B10" s="15"/>
      <c r="C10" s="8"/>
      <c r="D10" s="6" t="s">
        <v>15</v>
      </c>
      <c r="E10" s="14" t="s">
        <v>903</v>
      </c>
      <c r="F10" s="23" t="s">
        <v>235</v>
      </c>
      <c r="G10" s="24" t="s">
        <v>904</v>
      </c>
      <c r="H10" s="20"/>
    </row>
    <row r="11" spans="1:8" ht="30" customHeight="1" x14ac:dyDescent="0.3">
      <c r="A11" s="8" t="s">
        <v>825</v>
      </c>
      <c r="B11" s="8"/>
      <c r="C11" s="8"/>
      <c r="D11" s="6" t="s">
        <v>1479</v>
      </c>
      <c r="E11" s="7" t="s">
        <v>1478</v>
      </c>
      <c r="F11" s="23"/>
      <c r="G11" s="23" t="s">
        <v>902</v>
      </c>
      <c r="H11" s="9"/>
    </row>
    <row r="12" spans="1:8" ht="30" customHeight="1" x14ac:dyDescent="0.3">
      <c r="A12" s="8"/>
      <c r="B12" s="8"/>
      <c r="C12" s="8"/>
      <c r="D12" s="6" t="s">
        <v>1480</v>
      </c>
      <c r="E12" s="7" t="s">
        <v>1478</v>
      </c>
      <c r="F12" s="23"/>
      <c r="G12" s="23" t="s">
        <v>902</v>
      </c>
      <c r="H12" s="9"/>
    </row>
    <row r="13" spans="1:8" ht="30" customHeight="1" x14ac:dyDescent="0.3">
      <c r="A13" s="8"/>
      <c r="B13" s="8"/>
      <c r="C13" s="8"/>
      <c r="D13" s="6" t="s">
        <v>1481</v>
      </c>
      <c r="E13" s="7" t="s">
        <v>1482</v>
      </c>
      <c r="F13" s="23" t="s">
        <v>1483</v>
      </c>
      <c r="G13" s="23" t="s">
        <v>1484</v>
      </c>
      <c r="H13" s="9"/>
    </row>
    <row r="14" spans="1:8" ht="30" customHeight="1" x14ac:dyDescent="0.3">
      <c r="A14" s="8" t="s">
        <v>1485</v>
      </c>
      <c r="B14" s="8"/>
      <c r="C14" s="8"/>
      <c r="D14" s="6" t="s">
        <v>1486</v>
      </c>
      <c r="E14" s="7" t="s">
        <v>872</v>
      </c>
      <c r="F14" s="23" t="s">
        <v>349</v>
      </c>
      <c r="G14" s="23" t="s">
        <v>875</v>
      </c>
      <c r="H14" s="9"/>
    </row>
    <row r="15" spans="1:8" ht="30" customHeight="1" x14ac:dyDescent="0.3">
      <c r="A15" s="8"/>
      <c r="B15" s="8"/>
      <c r="C15" s="8"/>
      <c r="D15" s="6" t="s">
        <v>1487</v>
      </c>
      <c r="E15" s="7" t="s">
        <v>1037</v>
      </c>
      <c r="F15" s="23" t="s">
        <v>1488</v>
      </c>
      <c r="G15" s="23" t="s">
        <v>904</v>
      </c>
      <c r="H15" s="9"/>
    </row>
    <row r="16" spans="1:8" ht="30" customHeight="1" x14ac:dyDescent="0.3">
      <c r="A16" s="8" t="s">
        <v>1155</v>
      </c>
      <c r="B16" s="8"/>
      <c r="C16" s="8"/>
      <c r="D16" s="6" t="s">
        <v>1489</v>
      </c>
      <c r="E16" s="32" t="s">
        <v>1490</v>
      </c>
      <c r="F16" s="23" t="s">
        <v>235</v>
      </c>
      <c r="G16" s="23" t="s">
        <v>902</v>
      </c>
      <c r="H16" s="9"/>
    </row>
    <row r="17" spans="1:8" ht="30" customHeight="1" x14ac:dyDescent="0.3">
      <c r="A17" s="8" t="s">
        <v>2522</v>
      </c>
      <c r="B17" s="8"/>
      <c r="C17" s="8"/>
      <c r="D17" s="6" t="s">
        <v>2523</v>
      </c>
      <c r="E17" s="7" t="s">
        <v>2524</v>
      </c>
      <c r="F17" s="23" t="s">
        <v>235</v>
      </c>
      <c r="G17" s="23" t="s">
        <v>2525</v>
      </c>
      <c r="H17" s="9"/>
    </row>
    <row r="18" spans="1:8" ht="30" customHeight="1" x14ac:dyDescent="0.3">
      <c r="A18" s="8" t="s">
        <v>3268</v>
      </c>
      <c r="B18" s="8"/>
      <c r="C18" s="8"/>
      <c r="D18" s="6" t="s">
        <v>3630</v>
      </c>
      <c r="E18" s="7" t="s">
        <v>3522</v>
      </c>
      <c r="F18" s="23" t="s">
        <v>3631</v>
      </c>
      <c r="G18" s="23" t="s">
        <v>2525</v>
      </c>
      <c r="H18" s="9"/>
    </row>
    <row r="19" spans="1:8" ht="30" customHeight="1" x14ac:dyDescent="0.3">
      <c r="A19" s="8"/>
      <c r="B19" s="8"/>
      <c r="C19" s="8"/>
      <c r="D19" s="6" t="s">
        <v>4122</v>
      </c>
      <c r="E19" s="7" t="s">
        <v>4129</v>
      </c>
      <c r="F19" s="23" t="s">
        <v>3600</v>
      </c>
      <c r="G19" s="23" t="s">
        <v>4130</v>
      </c>
      <c r="H19" s="9"/>
    </row>
    <row r="20" spans="1:8" ht="30" customHeight="1" x14ac:dyDescent="0.3">
      <c r="A20" s="8"/>
      <c r="B20" s="8"/>
      <c r="C20" s="8"/>
      <c r="D20" s="6" t="s">
        <v>4122</v>
      </c>
      <c r="E20" s="7" t="s">
        <v>4131</v>
      </c>
      <c r="F20" s="23" t="s">
        <v>3631</v>
      </c>
      <c r="G20" s="23" t="s">
        <v>4132</v>
      </c>
      <c r="H20" s="9"/>
    </row>
    <row r="21" spans="1:8" ht="30" customHeight="1" x14ac:dyDescent="0.3">
      <c r="A21" s="8"/>
      <c r="B21" s="8"/>
      <c r="C21" s="8"/>
      <c r="D21" s="6"/>
      <c r="E21" s="7"/>
      <c r="F21" s="23"/>
      <c r="G21" s="23"/>
      <c r="H21" s="9"/>
    </row>
    <row r="22" spans="1:8" ht="30" customHeight="1" x14ac:dyDescent="0.3">
      <c r="A22" s="8"/>
      <c r="B22" s="8"/>
      <c r="C22" s="8"/>
      <c r="D22" s="6"/>
      <c r="E22" s="7"/>
      <c r="F22" s="23"/>
      <c r="G22" s="23"/>
      <c r="H22" s="9"/>
    </row>
    <row r="23" spans="1:8" ht="30" customHeight="1" x14ac:dyDescent="0.3">
      <c r="A23" s="8"/>
      <c r="B23" s="8"/>
      <c r="C23" s="8"/>
      <c r="D23" s="6"/>
      <c r="E23" s="7"/>
      <c r="F23" s="23"/>
      <c r="G23" s="23"/>
      <c r="H23" s="9"/>
    </row>
    <row r="24" spans="1:8" ht="30" customHeight="1" x14ac:dyDescent="0.3">
      <c r="A24" s="8"/>
      <c r="B24" s="8"/>
      <c r="C24" s="8"/>
      <c r="D24" s="6"/>
      <c r="E24" s="7"/>
      <c r="F24" s="23"/>
      <c r="G24" s="23"/>
      <c r="H24" s="9"/>
    </row>
    <row r="25" spans="1:8" ht="30" customHeight="1" x14ac:dyDescent="0.3">
      <c r="A25" s="8"/>
      <c r="B25" s="8"/>
      <c r="C25" s="8"/>
      <c r="D25" s="6"/>
      <c r="E25" s="7"/>
      <c r="F25" s="23"/>
      <c r="G25" s="23"/>
      <c r="H25" s="9"/>
    </row>
    <row r="26" spans="1:8" ht="30" customHeight="1" x14ac:dyDescent="0.3">
      <c r="A26" s="8"/>
      <c r="B26" s="8"/>
      <c r="C26" s="8"/>
      <c r="D26" s="6"/>
      <c r="E26" s="7"/>
      <c r="F26" s="23"/>
      <c r="G26" s="23"/>
      <c r="H26" s="9"/>
    </row>
    <row r="27" spans="1:8" ht="30" customHeight="1" x14ac:dyDescent="0.3">
      <c r="A27" s="8"/>
      <c r="B27" s="8"/>
      <c r="C27" s="8"/>
      <c r="D27" s="6"/>
      <c r="E27" s="7"/>
      <c r="F27" s="23"/>
      <c r="G27" s="23"/>
      <c r="H27" s="9"/>
    </row>
    <row r="28" spans="1:8" ht="30" customHeight="1" x14ac:dyDescent="0.3">
      <c r="A28" s="8"/>
      <c r="B28" s="8"/>
      <c r="C28" s="8"/>
      <c r="D28" s="6"/>
      <c r="E28" s="7"/>
      <c r="F28" s="23"/>
      <c r="G28" s="23"/>
      <c r="H28" s="9"/>
    </row>
    <row r="29" spans="1:8" ht="30" customHeight="1" x14ac:dyDescent="0.3">
      <c r="A29" s="8"/>
      <c r="B29" s="8"/>
      <c r="C29" s="8"/>
      <c r="D29" s="6"/>
      <c r="E29" s="7"/>
      <c r="F29" s="21"/>
      <c r="G29" s="21"/>
      <c r="H29" s="9"/>
    </row>
    <row r="30" spans="1:8" ht="30" customHeight="1" x14ac:dyDescent="0.3">
      <c r="A30" s="8"/>
      <c r="B30" s="8"/>
      <c r="C30" s="8"/>
      <c r="D30" s="6"/>
      <c r="E30" s="7"/>
      <c r="F30" s="21"/>
      <c r="G30" s="21"/>
      <c r="H30" s="9"/>
    </row>
    <row r="31" spans="1:8" ht="30" customHeight="1" x14ac:dyDescent="0.3">
      <c r="A31" s="8"/>
      <c r="B31" s="8"/>
      <c r="C31" s="8"/>
      <c r="D31" s="6"/>
      <c r="E31" s="8"/>
      <c r="F31" s="21"/>
      <c r="G31" s="21"/>
      <c r="H31" s="9"/>
    </row>
    <row r="32" spans="1:8" ht="30" customHeight="1" x14ac:dyDescent="0.3">
      <c r="A32" s="8"/>
      <c r="B32" s="8"/>
      <c r="C32" s="8"/>
      <c r="D32" s="6"/>
      <c r="E32" s="8"/>
      <c r="F32" s="25"/>
      <c r="G32" s="25"/>
      <c r="H32" s="9"/>
    </row>
    <row r="33" spans="1:8" ht="30" customHeight="1" x14ac:dyDescent="0.3">
      <c r="A33" s="8"/>
      <c r="B33" s="8"/>
      <c r="C33" s="8"/>
      <c r="D33" s="6"/>
      <c r="E33" s="8"/>
      <c r="F33" s="21"/>
      <c r="G33" s="21"/>
      <c r="H33" s="9"/>
    </row>
    <row r="34" spans="1:8" ht="30" customHeight="1" x14ac:dyDescent="0.3">
      <c r="A34" s="8"/>
      <c r="B34" s="8"/>
      <c r="C34" s="8"/>
      <c r="D34" s="6"/>
      <c r="E34" s="8"/>
      <c r="F34" s="21"/>
      <c r="G34" s="21"/>
      <c r="H34" s="9"/>
    </row>
    <row r="35" spans="1:8" ht="30" customHeight="1" x14ac:dyDescent="0.3">
      <c r="A35" s="8"/>
      <c r="B35" s="8"/>
      <c r="C35" s="8"/>
      <c r="D35" s="6"/>
      <c r="E35" s="8"/>
      <c r="F35" s="21"/>
      <c r="G35" s="21"/>
      <c r="H35" s="9"/>
    </row>
    <row r="36" spans="1:8" ht="30" customHeight="1" x14ac:dyDescent="0.3">
      <c r="A36" s="8"/>
      <c r="B36" s="8"/>
      <c r="C36" s="8"/>
      <c r="D36" s="6"/>
      <c r="E36" s="8"/>
      <c r="F36" s="21"/>
      <c r="G36" s="21"/>
      <c r="H36" s="9"/>
    </row>
    <row r="37" spans="1:8" ht="30" customHeight="1" x14ac:dyDescent="0.3">
      <c r="A37" s="8"/>
      <c r="B37" s="8"/>
      <c r="C37" s="8"/>
      <c r="D37" s="6"/>
      <c r="E37" s="8"/>
      <c r="F37" s="21"/>
      <c r="G37" s="21"/>
      <c r="H37" s="9"/>
    </row>
    <row r="38" spans="1:8" ht="30" customHeight="1" x14ac:dyDescent="0.3">
      <c r="A38" s="8"/>
      <c r="B38" s="8"/>
      <c r="C38" s="8"/>
      <c r="D38" s="6"/>
      <c r="E38" s="8"/>
      <c r="F38" s="21"/>
      <c r="G38" s="21"/>
      <c r="H38" s="9"/>
    </row>
    <row r="39" spans="1:8" ht="30" customHeight="1" x14ac:dyDescent="0.3">
      <c r="A39" s="8"/>
      <c r="B39" s="8"/>
      <c r="C39" s="8"/>
      <c r="D39" s="6"/>
      <c r="E39" s="8"/>
      <c r="F39" s="21"/>
      <c r="G39" s="21"/>
      <c r="H39" s="9"/>
    </row>
    <row r="40" spans="1:8" ht="30" customHeight="1" x14ac:dyDescent="0.3">
      <c r="A40" s="8"/>
      <c r="B40" s="8"/>
      <c r="C40" s="8"/>
      <c r="D40" s="6"/>
      <c r="E40" s="8"/>
      <c r="F40" s="21"/>
      <c r="G40" s="21"/>
      <c r="H40" s="9"/>
    </row>
    <row r="41" spans="1:8" ht="30" customHeight="1" x14ac:dyDescent="0.3">
      <c r="A41" s="8"/>
      <c r="B41" s="8"/>
      <c r="C41" s="8"/>
      <c r="D41" s="6"/>
      <c r="E41" s="8"/>
      <c r="F41" s="21"/>
      <c r="G41" s="21"/>
      <c r="H41" s="9"/>
    </row>
    <row r="42" spans="1:8" ht="30" customHeight="1" x14ac:dyDescent="0.3">
      <c r="A42" s="8"/>
      <c r="B42" s="8"/>
      <c r="C42" s="8"/>
      <c r="D42" s="6"/>
      <c r="E42" s="8"/>
      <c r="F42" s="21"/>
      <c r="G42" s="21"/>
      <c r="H42" s="9"/>
    </row>
    <row r="43" spans="1:8" ht="30" customHeight="1" x14ac:dyDescent="0.3">
      <c r="A43" s="8"/>
      <c r="B43" s="8"/>
      <c r="C43" s="8"/>
      <c r="D43" s="6"/>
      <c r="E43" s="8"/>
      <c r="F43" s="21"/>
      <c r="G43" s="21"/>
      <c r="H43" s="9"/>
    </row>
    <row r="44" spans="1:8" ht="30" customHeight="1" x14ac:dyDescent="0.3">
      <c r="A44" s="8"/>
      <c r="B44" s="8"/>
      <c r="C44" s="8"/>
      <c r="D44" s="6"/>
      <c r="E44" s="8"/>
      <c r="F44" s="21"/>
      <c r="G44" s="21"/>
      <c r="H44" s="9"/>
    </row>
    <row r="45" spans="1:8" ht="30" customHeight="1" x14ac:dyDescent="0.3">
      <c r="A45" s="8"/>
      <c r="B45" s="8"/>
      <c r="C45" s="8"/>
      <c r="D45" s="6"/>
      <c r="E45" s="8"/>
      <c r="F45" s="21"/>
      <c r="G45" s="21"/>
      <c r="H45" s="9"/>
    </row>
    <row r="46" spans="1:8" ht="30" customHeight="1" x14ac:dyDescent="0.3">
      <c r="A46" s="8"/>
      <c r="B46" s="8"/>
      <c r="C46" s="8"/>
      <c r="D46" s="6"/>
      <c r="E46" s="8"/>
      <c r="F46" s="21"/>
      <c r="G46" s="21"/>
      <c r="H46" s="9"/>
    </row>
    <row r="47" spans="1:8" ht="30" customHeight="1" x14ac:dyDescent="0.3">
      <c r="A47" s="8"/>
      <c r="B47" s="8"/>
      <c r="C47" s="8"/>
      <c r="D47" s="6"/>
      <c r="E47" s="8"/>
      <c r="F47" s="21"/>
      <c r="G47" s="21"/>
      <c r="H47" s="9"/>
    </row>
    <row r="48" spans="1:8" ht="30" customHeight="1" x14ac:dyDescent="0.3">
      <c r="A48" s="8"/>
      <c r="B48" s="8"/>
      <c r="C48" s="8"/>
      <c r="D48" s="6"/>
      <c r="E48" s="8"/>
      <c r="F48" s="21"/>
      <c r="G48" s="21"/>
      <c r="H48" s="9"/>
    </row>
    <row r="49" spans="1:8" ht="30" customHeight="1" x14ac:dyDescent="0.3">
      <c r="A49" s="8"/>
      <c r="B49" s="8"/>
      <c r="C49" s="8"/>
      <c r="D49" s="6"/>
      <c r="E49" s="8"/>
      <c r="F49" s="21"/>
      <c r="G49" s="21"/>
      <c r="H49" s="9"/>
    </row>
    <row r="50" spans="1:8" ht="30" customHeight="1" x14ac:dyDescent="0.3">
      <c r="A50" s="8"/>
      <c r="B50" s="8"/>
      <c r="C50" s="8"/>
      <c r="D50" s="6"/>
      <c r="E50" s="8"/>
      <c r="F50" s="21"/>
      <c r="G50" s="21"/>
      <c r="H50" s="9"/>
    </row>
    <row r="51" spans="1:8" ht="30" customHeight="1" x14ac:dyDescent="0.3">
      <c r="A51" s="8"/>
      <c r="B51" s="8"/>
      <c r="C51" s="8"/>
      <c r="D51" s="6"/>
      <c r="E51" s="8"/>
      <c r="F51" s="21"/>
      <c r="G51" s="21"/>
      <c r="H51" s="9"/>
    </row>
    <row r="52" spans="1:8" ht="30" customHeight="1" x14ac:dyDescent="0.3">
      <c r="A52" s="8"/>
      <c r="B52" s="8"/>
      <c r="C52" s="8"/>
      <c r="D52" s="6"/>
      <c r="E52" s="8"/>
      <c r="F52" s="21"/>
      <c r="G52" s="21"/>
      <c r="H52" s="9"/>
    </row>
    <row r="53" spans="1:8" ht="30" customHeight="1" x14ac:dyDescent="0.3">
      <c r="A53" s="8"/>
      <c r="B53" s="8"/>
      <c r="C53" s="8"/>
      <c r="D53" s="6"/>
      <c r="E53" s="8"/>
      <c r="F53" s="21"/>
      <c r="G53" s="21"/>
      <c r="H53" s="9"/>
    </row>
    <row r="54" spans="1:8" ht="30" customHeight="1" x14ac:dyDescent="0.3">
      <c r="A54" s="8"/>
      <c r="B54" s="8"/>
      <c r="C54" s="8"/>
      <c r="D54" s="6"/>
      <c r="E54" s="8"/>
      <c r="F54" s="21"/>
      <c r="G54" s="21"/>
      <c r="H54" s="9"/>
    </row>
    <row r="55" spans="1:8" ht="30" customHeight="1" x14ac:dyDescent="0.3">
      <c r="A55" s="8"/>
      <c r="B55" s="8"/>
      <c r="C55" s="8"/>
      <c r="D55" s="6"/>
      <c r="E55" s="8"/>
      <c r="F55" s="21"/>
      <c r="G55" s="21"/>
      <c r="H55" s="9"/>
    </row>
    <row r="56" spans="1:8" ht="30" customHeight="1" x14ac:dyDescent="0.3">
      <c r="A56" s="8"/>
      <c r="B56" s="8"/>
      <c r="C56" s="8"/>
      <c r="D56" s="6"/>
      <c r="E56" s="8"/>
      <c r="F56" s="21"/>
      <c r="G56" s="21"/>
      <c r="H56" s="9"/>
    </row>
    <row r="57" spans="1:8" ht="30" customHeight="1" x14ac:dyDescent="0.3">
      <c r="A57" s="8"/>
      <c r="B57" s="8"/>
      <c r="C57" s="8"/>
      <c r="D57" s="6"/>
      <c r="E57" s="8"/>
      <c r="F57" s="21"/>
      <c r="G57" s="21"/>
      <c r="H57" s="9"/>
    </row>
    <row r="58" spans="1:8" ht="30" customHeight="1" x14ac:dyDescent="0.3">
      <c r="A58" s="8"/>
      <c r="B58" s="8"/>
      <c r="C58" s="8"/>
      <c r="D58" s="6"/>
      <c r="E58" s="8"/>
      <c r="F58" s="21"/>
      <c r="G58" s="21"/>
      <c r="H58" s="9"/>
    </row>
    <row r="59" spans="1:8" ht="30" customHeight="1" x14ac:dyDescent="0.3">
      <c r="A59" s="8"/>
      <c r="B59" s="8"/>
      <c r="C59" s="8"/>
      <c r="D59" s="6"/>
      <c r="E59" s="8"/>
      <c r="F59" s="21"/>
      <c r="G59" s="21"/>
      <c r="H59" s="9"/>
    </row>
    <row r="60" spans="1:8" ht="30" customHeight="1" x14ac:dyDescent="0.3">
      <c r="A60" s="8"/>
      <c r="B60" s="8"/>
      <c r="C60" s="8"/>
      <c r="D60" s="6"/>
      <c r="E60" s="8"/>
      <c r="F60" s="21"/>
      <c r="G60" s="21"/>
      <c r="H60" s="9"/>
    </row>
    <row r="61" spans="1:8" ht="30" customHeight="1" x14ac:dyDescent="0.3">
      <c r="A61" s="8"/>
      <c r="B61" s="8"/>
      <c r="C61" s="8"/>
      <c r="D61" s="6"/>
      <c r="E61" s="8"/>
      <c r="F61" s="21"/>
      <c r="G61" s="21"/>
      <c r="H61" s="9"/>
    </row>
    <row r="62" spans="1:8" ht="30" customHeight="1" x14ac:dyDescent="0.3">
      <c r="A62" s="8"/>
      <c r="B62" s="8"/>
      <c r="C62" s="8"/>
      <c r="D62" s="6"/>
      <c r="E62" s="8"/>
      <c r="F62" s="25"/>
      <c r="G62" s="25"/>
      <c r="H62" s="9"/>
    </row>
    <row r="63" spans="1:8" ht="30" customHeight="1" x14ac:dyDescent="0.3">
      <c r="A63" s="8"/>
      <c r="B63" s="8"/>
      <c r="C63" s="8"/>
      <c r="D63" s="6"/>
      <c r="E63" s="8"/>
      <c r="F63" s="25"/>
      <c r="G63" s="25"/>
      <c r="H63" s="9"/>
    </row>
    <row r="64" spans="1:8" ht="30" customHeight="1" x14ac:dyDescent="0.3">
      <c r="A64" s="8"/>
      <c r="B64" s="8"/>
      <c r="C64" s="8"/>
      <c r="D64" s="6"/>
      <c r="E64" s="8"/>
      <c r="F64" s="21"/>
      <c r="G64" s="21"/>
      <c r="H64" s="9"/>
    </row>
    <row r="65" spans="1:8" ht="30" customHeight="1" x14ac:dyDescent="0.3">
      <c r="A65" s="8"/>
      <c r="B65" s="8"/>
      <c r="C65" s="8"/>
      <c r="D65" s="6"/>
      <c r="E65" s="8"/>
      <c r="F65" s="21"/>
      <c r="G65" s="21"/>
      <c r="H65" s="9"/>
    </row>
    <row r="66" spans="1:8" ht="30" customHeight="1" x14ac:dyDescent="0.3">
      <c r="A66" s="8"/>
      <c r="B66" s="8"/>
      <c r="C66" s="8"/>
      <c r="D66" s="6"/>
      <c r="E66" s="8"/>
      <c r="F66" s="21"/>
      <c r="G66" s="21"/>
      <c r="H66" s="9"/>
    </row>
    <row r="67" spans="1:8" ht="30" customHeight="1" x14ac:dyDescent="0.3">
      <c r="A67" s="8"/>
      <c r="B67" s="8"/>
      <c r="C67" s="8"/>
      <c r="D67" s="6"/>
      <c r="E67" s="8"/>
      <c r="F67" s="21"/>
      <c r="G67" s="21"/>
      <c r="H67" s="9"/>
    </row>
    <row r="68" spans="1:8" ht="30" customHeight="1" x14ac:dyDescent="0.3">
      <c r="A68" s="8"/>
      <c r="B68" s="8"/>
      <c r="C68" s="8"/>
      <c r="D68" s="6"/>
      <c r="E68" s="8"/>
      <c r="F68" s="21"/>
      <c r="G68" s="21"/>
      <c r="H68" s="9"/>
    </row>
    <row r="69" spans="1:8" ht="30" customHeight="1" x14ac:dyDescent="0.3">
      <c r="A69" s="8"/>
      <c r="B69" s="8"/>
      <c r="C69" s="8"/>
      <c r="D69" s="6"/>
      <c r="E69" s="8"/>
      <c r="F69" s="21"/>
      <c r="G69" s="21"/>
      <c r="H69" s="9"/>
    </row>
    <row r="70" spans="1:8" ht="30" customHeight="1" x14ac:dyDescent="0.3">
      <c r="A70" s="8"/>
      <c r="B70" s="8"/>
      <c r="C70" s="8"/>
      <c r="D70" s="6"/>
      <c r="E70" s="8"/>
      <c r="F70" s="21"/>
      <c r="G70" s="21"/>
      <c r="H70" s="9"/>
    </row>
    <row r="71" spans="1:8" ht="30" customHeight="1" x14ac:dyDescent="0.3">
      <c r="A71" s="8"/>
      <c r="B71" s="8"/>
      <c r="C71" s="8"/>
      <c r="D71" s="6"/>
      <c r="E71" s="8"/>
      <c r="F71" s="21"/>
      <c r="G71" s="21"/>
      <c r="H71" s="9"/>
    </row>
    <row r="72" spans="1:8" ht="30" customHeight="1" x14ac:dyDescent="0.3">
      <c r="A72" s="8"/>
      <c r="B72" s="8"/>
      <c r="C72" s="8"/>
      <c r="D72" s="6"/>
      <c r="E72" s="8"/>
      <c r="F72" s="21"/>
      <c r="G72" s="21"/>
      <c r="H72" s="9"/>
    </row>
    <row r="73" spans="1:8" ht="30" customHeight="1" x14ac:dyDescent="0.3">
      <c r="A73" s="8"/>
      <c r="B73" s="8"/>
      <c r="C73" s="8"/>
      <c r="D73" s="6"/>
      <c r="E73" s="8"/>
      <c r="F73" s="25"/>
      <c r="G73" s="25"/>
      <c r="H73" s="9"/>
    </row>
    <row r="74" spans="1:8" ht="30" customHeight="1" x14ac:dyDescent="0.3">
      <c r="A74" s="8"/>
      <c r="B74" s="8"/>
      <c r="C74" s="8"/>
      <c r="D74" s="6"/>
      <c r="E74" s="8"/>
      <c r="F74" s="21"/>
      <c r="G74" s="21"/>
      <c r="H74" s="9"/>
    </row>
    <row r="75" spans="1:8" ht="30" customHeight="1" x14ac:dyDescent="0.3">
      <c r="A75" s="8"/>
      <c r="B75" s="8"/>
      <c r="C75" s="8"/>
      <c r="D75" s="6"/>
      <c r="E75" s="8"/>
      <c r="F75" s="25"/>
      <c r="G75" s="25"/>
      <c r="H75" s="9"/>
    </row>
    <row r="76" spans="1:8" ht="30" customHeight="1" x14ac:dyDescent="0.3">
      <c r="A76" s="8"/>
      <c r="B76" s="8"/>
      <c r="C76" s="8"/>
      <c r="D76" s="6"/>
      <c r="E76" s="8"/>
      <c r="F76" s="21"/>
      <c r="G76" s="21"/>
      <c r="H76" s="9"/>
    </row>
    <row r="77" spans="1:8" ht="30" customHeight="1" x14ac:dyDescent="0.3">
      <c r="A77" s="8"/>
      <c r="B77" s="8"/>
      <c r="C77" s="8"/>
      <c r="D77" s="6"/>
      <c r="E77" s="8"/>
      <c r="F77" s="21"/>
      <c r="G77" s="21"/>
      <c r="H77" s="9"/>
    </row>
    <row r="78" spans="1:8" ht="30" customHeight="1" x14ac:dyDescent="0.3">
      <c r="A78" s="8"/>
      <c r="B78" s="8"/>
      <c r="C78" s="8"/>
      <c r="D78" s="6"/>
      <c r="E78" s="8"/>
      <c r="F78" s="21"/>
      <c r="G78" s="21"/>
      <c r="H78" s="9"/>
    </row>
    <row r="79" spans="1:8" ht="30" customHeight="1" x14ac:dyDescent="0.3">
      <c r="A79" s="8"/>
      <c r="B79" s="8"/>
      <c r="C79" s="8"/>
      <c r="D79" s="6"/>
      <c r="E79" s="8"/>
      <c r="F79" s="21"/>
      <c r="G79" s="21"/>
      <c r="H79" s="9"/>
    </row>
    <row r="80" spans="1:8" ht="30" customHeight="1" x14ac:dyDescent="0.3">
      <c r="A80" s="8"/>
      <c r="B80" s="8"/>
      <c r="C80" s="8"/>
      <c r="D80" s="6"/>
      <c r="E80" s="8"/>
      <c r="F80" s="21"/>
      <c r="G80" s="21"/>
      <c r="H80" s="9"/>
    </row>
    <row r="81" spans="1:8" ht="30" customHeight="1" x14ac:dyDescent="0.3">
      <c r="A81" s="8"/>
      <c r="B81" s="8"/>
      <c r="C81" s="8"/>
      <c r="D81" s="6"/>
      <c r="E81" s="8"/>
      <c r="F81" s="21"/>
      <c r="G81" s="21"/>
      <c r="H81" s="9"/>
    </row>
    <row r="82" spans="1:8" ht="30" customHeight="1" x14ac:dyDescent="0.3">
      <c r="A82" s="8"/>
      <c r="B82" s="8"/>
      <c r="C82" s="8"/>
      <c r="D82" s="6"/>
      <c r="E82" s="8"/>
      <c r="F82" s="21"/>
      <c r="G82" s="21"/>
      <c r="H82" s="9"/>
    </row>
    <row r="83" spans="1:8" ht="30" customHeight="1" x14ac:dyDescent="0.3">
      <c r="A83" s="8"/>
      <c r="B83" s="8"/>
      <c r="C83" s="8"/>
      <c r="D83" s="6"/>
      <c r="E83" s="8"/>
      <c r="F83" s="21"/>
      <c r="G83" s="21"/>
      <c r="H83" s="9"/>
    </row>
    <row r="84" spans="1:8" ht="30" customHeight="1" x14ac:dyDescent="0.3">
      <c r="A84" s="8"/>
      <c r="B84" s="8"/>
      <c r="C84" s="8"/>
      <c r="D84" s="6"/>
      <c r="E84" s="8"/>
      <c r="F84" s="21"/>
      <c r="G84" s="21"/>
      <c r="H84" s="9"/>
    </row>
    <row r="85" spans="1:8" ht="30" customHeight="1" x14ac:dyDescent="0.3">
      <c r="A85" s="8"/>
      <c r="B85" s="8"/>
      <c r="C85" s="8"/>
      <c r="D85" s="6"/>
      <c r="E85" s="8"/>
      <c r="F85" s="21"/>
      <c r="G85" s="21"/>
      <c r="H85" s="9"/>
    </row>
    <row r="86" spans="1:8" ht="30" customHeight="1" x14ac:dyDescent="0.3">
      <c r="A86" s="8"/>
      <c r="B86" s="8"/>
      <c r="C86" s="8"/>
      <c r="D86" s="6"/>
      <c r="E86" s="8"/>
      <c r="F86" s="21"/>
      <c r="G86" s="21"/>
      <c r="H86" s="9"/>
    </row>
    <row r="87" spans="1:8" ht="30" customHeight="1" x14ac:dyDescent="0.3">
      <c r="A87" s="8"/>
      <c r="B87" s="8"/>
      <c r="C87" s="8"/>
      <c r="D87" s="6"/>
      <c r="E87" s="8"/>
      <c r="F87" s="21"/>
      <c r="G87" s="21"/>
      <c r="H87" s="9"/>
    </row>
    <row r="88" spans="1:8" ht="30" customHeight="1" x14ac:dyDescent="0.3">
      <c r="A88" s="8"/>
      <c r="B88" s="8"/>
      <c r="C88" s="8"/>
      <c r="D88" s="6"/>
      <c r="E88" s="8"/>
      <c r="F88" s="21"/>
      <c r="G88" s="21"/>
      <c r="H88" s="9"/>
    </row>
    <row r="89" spans="1:8" ht="30" customHeight="1" x14ac:dyDescent="0.3">
      <c r="A89" s="8"/>
      <c r="B89" s="8"/>
      <c r="C89" s="8"/>
      <c r="D89" s="6"/>
      <c r="E89" s="8"/>
      <c r="F89" s="21"/>
      <c r="G89" s="21"/>
      <c r="H89" s="9"/>
    </row>
    <row r="90" spans="1:8" ht="30" customHeight="1" x14ac:dyDescent="0.3">
      <c r="A90" s="8"/>
      <c r="B90" s="8"/>
      <c r="C90" s="8"/>
      <c r="D90" s="6"/>
      <c r="E90" s="8"/>
      <c r="F90" s="21"/>
      <c r="G90" s="21"/>
      <c r="H90" s="9"/>
    </row>
    <row r="91" spans="1:8" ht="30" customHeight="1" x14ac:dyDescent="0.3">
      <c r="A91" s="8"/>
      <c r="B91" s="8"/>
      <c r="C91" s="8"/>
      <c r="D91" s="6"/>
      <c r="E91" s="8"/>
      <c r="F91" s="21"/>
      <c r="G91" s="21"/>
      <c r="H91" s="9"/>
    </row>
    <row r="92" spans="1:8" ht="30" customHeight="1" x14ac:dyDescent="0.3">
      <c r="A92" s="8"/>
      <c r="B92" s="8"/>
      <c r="C92" s="8"/>
      <c r="D92" s="6"/>
      <c r="E92" s="8"/>
      <c r="F92" s="21"/>
      <c r="G92" s="21"/>
      <c r="H92" s="9"/>
    </row>
    <row r="93" spans="1:8" ht="30" customHeight="1" x14ac:dyDescent="0.3">
      <c r="A93" s="8"/>
      <c r="B93" s="8"/>
      <c r="C93" s="8"/>
      <c r="D93" s="6"/>
      <c r="E93" s="8"/>
      <c r="F93" s="21"/>
      <c r="G93" s="21"/>
      <c r="H93" s="9"/>
    </row>
    <row r="94" spans="1:8" ht="30" customHeight="1" x14ac:dyDescent="0.3">
      <c r="A94" s="8"/>
      <c r="B94" s="8"/>
      <c r="C94" s="8"/>
      <c r="D94" s="6"/>
      <c r="E94" s="8"/>
      <c r="F94" s="21"/>
      <c r="G94" s="21"/>
      <c r="H94" s="9"/>
    </row>
    <row r="95" spans="1:8" ht="30" customHeight="1" x14ac:dyDescent="0.3">
      <c r="A95" s="8"/>
      <c r="B95" s="8"/>
      <c r="C95" s="8"/>
      <c r="D95" s="6"/>
      <c r="E95" s="8"/>
      <c r="F95" s="21"/>
      <c r="G95" s="21"/>
      <c r="H95" s="9"/>
    </row>
    <row r="96" spans="1:8" ht="30" customHeight="1" x14ac:dyDescent="0.3">
      <c r="A96" s="8"/>
      <c r="B96" s="8"/>
      <c r="C96" s="8"/>
      <c r="D96" s="6"/>
      <c r="E96" s="8"/>
      <c r="F96" s="21"/>
      <c r="G96" s="21"/>
      <c r="H96" s="9"/>
    </row>
    <row r="97" spans="1:8" ht="30" customHeight="1" x14ac:dyDescent="0.3">
      <c r="A97" s="8"/>
      <c r="B97" s="8"/>
      <c r="C97" s="8"/>
      <c r="D97" s="6"/>
      <c r="E97" s="8"/>
      <c r="F97" s="21"/>
      <c r="G97" s="21"/>
      <c r="H97" s="9"/>
    </row>
    <row r="98" spans="1:8" ht="30" customHeight="1" x14ac:dyDescent="0.3">
      <c r="A98" s="8"/>
      <c r="B98" s="8"/>
      <c r="C98" s="8"/>
      <c r="D98" s="6"/>
      <c r="E98" s="8"/>
      <c r="F98" s="21"/>
      <c r="G98" s="21"/>
      <c r="H98" s="9"/>
    </row>
    <row r="99" spans="1:8" ht="30" customHeight="1" x14ac:dyDescent="0.3">
      <c r="A99" s="5"/>
      <c r="B99" s="3"/>
      <c r="C99" s="8"/>
      <c r="D99" s="6"/>
      <c r="E99" s="8"/>
      <c r="F99" s="21"/>
      <c r="G99" s="21"/>
      <c r="H99" s="9"/>
    </row>
    <row r="100" spans="1:8" ht="30" customHeight="1" x14ac:dyDescent="0.3">
      <c r="A100" s="5"/>
      <c r="B100" s="3"/>
      <c r="C100" s="8"/>
      <c r="D100" s="6"/>
      <c r="E100" s="8"/>
      <c r="F100" s="21"/>
      <c r="G100" s="21"/>
      <c r="H100" s="9"/>
    </row>
    <row r="101" spans="1:8" ht="30" customHeight="1" x14ac:dyDescent="0.3">
      <c r="A101" s="5"/>
      <c r="B101" s="3"/>
      <c r="C101" s="8"/>
      <c r="D101" s="6"/>
      <c r="E101" s="8"/>
      <c r="F101" s="21"/>
      <c r="G101" s="21"/>
      <c r="H101" s="9"/>
    </row>
    <row r="102" spans="1:8" ht="30" customHeight="1" x14ac:dyDescent="0.3">
      <c r="A102" s="5"/>
      <c r="B102" s="3"/>
      <c r="C102" s="8"/>
      <c r="D102" s="6"/>
      <c r="E102" s="8"/>
      <c r="F102" s="21"/>
      <c r="G102" s="21"/>
      <c r="H102" s="9"/>
    </row>
    <row r="103" spans="1:8" ht="30" customHeight="1" x14ac:dyDescent="0.3">
      <c r="A103" s="5"/>
      <c r="B103" s="3"/>
      <c r="C103" s="8"/>
      <c r="D103" s="6"/>
      <c r="E103" s="8"/>
      <c r="F103" s="21"/>
      <c r="G103" s="21"/>
      <c r="H103" s="9"/>
    </row>
    <row r="104" spans="1:8" ht="30" customHeight="1" x14ac:dyDescent="0.3">
      <c r="A104" s="5"/>
      <c r="B104" s="3"/>
      <c r="C104" s="8"/>
      <c r="D104" s="6"/>
      <c r="E104" s="8"/>
      <c r="F104" s="21"/>
      <c r="G104" s="21"/>
      <c r="H104" s="9"/>
    </row>
    <row r="105" spans="1:8" ht="30" customHeight="1" x14ac:dyDescent="0.3">
      <c r="A105" s="5"/>
      <c r="B105" s="3"/>
      <c r="C105" s="8"/>
      <c r="D105" s="6"/>
      <c r="E105" s="8"/>
      <c r="F105" s="21"/>
      <c r="G105" s="21"/>
      <c r="H105" s="9"/>
    </row>
    <row r="106" spans="1:8" ht="30" customHeight="1" x14ac:dyDescent="0.3">
      <c r="A106" s="5"/>
      <c r="B106" s="3"/>
      <c r="C106" s="8"/>
      <c r="D106" s="6"/>
      <c r="E106" s="8"/>
      <c r="F106" s="21"/>
      <c r="G106" s="21"/>
      <c r="H106" s="9"/>
    </row>
    <row r="107" spans="1:8" ht="30" customHeight="1" x14ac:dyDescent="0.3">
      <c r="A107" s="5"/>
      <c r="B107" s="3"/>
      <c r="C107" s="8"/>
      <c r="D107" s="6"/>
      <c r="E107" s="8"/>
      <c r="F107" s="21"/>
      <c r="G107" s="21"/>
      <c r="H107" s="9"/>
    </row>
    <row r="108" spans="1:8" ht="30" customHeight="1" x14ac:dyDescent="0.3">
      <c r="A108" s="5"/>
      <c r="B108" s="3"/>
      <c r="C108" s="8"/>
      <c r="D108" s="6"/>
      <c r="E108" s="8"/>
      <c r="F108" s="21"/>
      <c r="G108" s="21"/>
      <c r="H108" s="9"/>
    </row>
    <row r="109" spans="1:8" ht="30" customHeight="1" x14ac:dyDescent="0.3">
      <c r="A109" s="5"/>
      <c r="B109" s="3"/>
      <c r="C109" s="8"/>
      <c r="D109" s="6"/>
      <c r="E109" s="8"/>
      <c r="F109" s="21"/>
      <c r="G109" s="21"/>
      <c r="H109" s="9"/>
    </row>
    <row r="110" spans="1:8" ht="30" customHeight="1" x14ac:dyDescent="0.3">
      <c r="A110" s="5"/>
      <c r="B110" s="3"/>
      <c r="C110" s="8"/>
      <c r="D110" s="6"/>
      <c r="E110" s="8"/>
      <c r="F110" s="21"/>
      <c r="G110" s="21"/>
      <c r="H110" s="9"/>
    </row>
    <row r="111" spans="1:8" ht="30" customHeight="1" x14ac:dyDescent="0.3">
      <c r="A111" s="5"/>
      <c r="B111" s="3"/>
      <c r="C111" s="8"/>
      <c r="D111" s="6"/>
      <c r="E111" s="8"/>
      <c r="F111" s="21"/>
      <c r="G111" s="21"/>
      <c r="H111" s="9"/>
    </row>
    <row r="112" spans="1:8" ht="30" customHeight="1" x14ac:dyDescent="0.3">
      <c r="A112" s="5"/>
      <c r="B112" s="3"/>
      <c r="C112" s="8"/>
      <c r="D112" s="6"/>
      <c r="E112" s="8"/>
      <c r="F112" s="21"/>
      <c r="G112" s="21"/>
      <c r="H112" s="9"/>
    </row>
    <row r="113" spans="1:8" ht="30" customHeight="1" x14ac:dyDescent="0.3">
      <c r="A113" s="5"/>
      <c r="B113" s="3"/>
      <c r="C113" s="8"/>
      <c r="D113" s="6"/>
      <c r="E113" s="8"/>
      <c r="F113" s="21"/>
      <c r="G113" s="21"/>
      <c r="H113" s="9"/>
    </row>
    <row r="114" spans="1:8" ht="30" customHeight="1" x14ac:dyDescent="0.3">
      <c r="A114" s="5"/>
      <c r="B114" s="3"/>
      <c r="C114" s="8"/>
      <c r="D114" s="6"/>
      <c r="E114" s="8"/>
      <c r="F114" s="21"/>
      <c r="G114" s="21"/>
      <c r="H114" s="9"/>
    </row>
    <row r="115" spans="1:8" ht="30" customHeight="1" x14ac:dyDescent="0.3">
      <c r="A115" s="5"/>
      <c r="B115" s="3"/>
      <c r="C115" s="8"/>
      <c r="D115" s="6"/>
      <c r="E115" s="8"/>
      <c r="F115" s="21"/>
      <c r="G115" s="21"/>
      <c r="H115" s="9"/>
    </row>
    <row r="116" spans="1:8" ht="30" customHeight="1" x14ac:dyDescent="0.3">
      <c r="A116" s="5"/>
      <c r="B116" s="3"/>
      <c r="C116" s="8"/>
      <c r="D116" s="6"/>
      <c r="E116" s="8"/>
      <c r="F116" s="21"/>
      <c r="G116" s="21"/>
      <c r="H116" s="9"/>
    </row>
    <row r="117" spans="1:8" ht="30" customHeight="1" x14ac:dyDescent="0.3">
      <c r="A117" s="5"/>
      <c r="B117" s="3"/>
      <c r="C117" s="8"/>
      <c r="D117" s="6"/>
      <c r="E117" s="8"/>
      <c r="F117" s="21"/>
      <c r="G117" s="21"/>
      <c r="H117" s="9"/>
    </row>
    <row r="118" spans="1:8" ht="30" customHeight="1" x14ac:dyDescent="0.3">
      <c r="A118" s="5"/>
      <c r="B118" s="3"/>
      <c r="C118" s="8"/>
      <c r="D118" s="6"/>
      <c r="E118" s="8"/>
      <c r="F118" s="21"/>
      <c r="G118" s="21"/>
      <c r="H118" s="9"/>
    </row>
    <row r="119" spans="1:8" ht="30" customHeight="1" x14ac:dyDescent="0.3">
      <c r="A119" s="5"/>
      <c r="B119" s="3"/>
      <c r="C119" s="8"/>
      <c r="D119" s="6"/>
      <c r="E119" s="8"/>
      <c r="F119" s="21"/>
      <c r="G119" s="21"/>
      <c r="H119" s="9"/>
    </row>
    <row r="120" spans="1:8" ht="30" customHeight="1" x14ac:dyDescent="0.3">
      <c r="A120" s="5"/>
      <c r="B120" s="3"/>
      <c r="C120" s="8"/>
      <c r="D120" s="6"/>
      <c r="E120" s="8"/>
      <c r="F120" s="21"/>
      <c r="G120" s="21"/>
      <c r="H120" s="9"/>
    </row>
    <row r="121" spans="1:8" ht="30" customHeight="1" x14ac:dyDescent="0.3">
      <c r="A121" s="5"/>
      <c r="B121" s="3"/>
      <c r="C121" s="8"/>
      <c r="D121" s="6"/>
      <c r="E121" s="8"/>
      <c r="F121" s="21"/>
      <c r="G121" s="21"/>
      <c r="H121" s="9"/>
    </row>
    <row r="122" spans="1:8" ht="30" customHeight="1" x14ac:dyDescent="0.3">
      <c r="A122" s="5"/>
      <c r="B122" s="3"/>
      <c r="C122" s="8"/>
      <c r="D122" s="6"/>
      <c r="E122" s="8"/>
      <c r="F122" s="21"/>
      <c r="G122" s="21"/>
      <c r="H122" s="9"/>
    </row>
    <row r="123" spans="1:8" ht="30" customHeight="1" x14ac:dyDescent="0.3">
      <c r="A123" s="5"/>
      <c r="B123" s="3"/>
      <c r="C123" s="8"/>
      <c r="D123" s="6"/>
      <c r="E123" s="8"/>
      <c r="F123" s="21"/>
      <c r="G123" s="21"/>
      <c r="H123" s="9"/>
    </row>
    <row r="124" spans="1:8" ht="30" customHeight="1" x14ac:dyDescent="0.3">
      <c r="A124" s="5"/>
      <c r="B124" s="3"/>
      <c r="C124" s="8"/>
      <c r="D124" s="6"/>
      <c r="E124" s="8"/>
      <c r="F124" s="21"/>
      <c r="G124" s="21"/>
      <c r="H124" s="9"/>
    </row>
    <row r="125" spans="1:8" ht="30" customHeight="1" x14ac:dyDescent="0.3">
      <c r="A125" s="5"/>
      <c r="B125" s="3"/>
      <c r="C125" s="8"/>
      <c r="D125" s="6"/>
      <c r="E125" s="8"/>
      <c r="F125" s="21"/>
      <c r="G125" s="21"/>
      <c r="H125" s="9"/>
    </row>
    <row r="126" spans="1:8" ht="30" customHeight="1" x14ac:dyDescent="0.3">
      <c r="A126" s="5"/>
      <c r="B126" s="3"/>
      <c r="C126" s="8"/>
      <c r="D126" s="6"/>
      <c r="E126" s="8"/>
      <c r="F126" s="21"/>
      <c r="G126" s="21"/>
      <c r="H126" s="9"/>
    </row>
    <row r="127" spans="1:8" ht="30" customHeight="1" x14ac:dyDescent="0.3">
      <c r="A127" s="5"/>
      <c r="B127" s="3"/>
      <c r="C127" s="8"/>
      <c r="D127" s="6"/>
      <c r="E127" s="8"/>
      <c r="F127" s="21"/>
      <c r="G127" s="21"/>
      <c r="H127" s="9"/>
    </row>
    <row r="128" spans="1:8" ht="30" customHeight="1" x14ac:dyDescent="0.3">
      <c r="A128" s="5"/>
      <c r="B128" s="3"/>
      <c r="C128" s="8"/>
      <c r="D128" s="6"/>
      <c r="E128" s="8"/>
      <c r="F128" s="21"/>
      <c r="G128" s="21"/>
      <c r="H128" s="9"/>
    </row>
    <row r="129" spans="1:8" ht="30" customHeight="1" x14ac:dyDescent="0.3">
      <c r="A129" s="5"/>
      <c r="B129" s="3"/>
      <c r="C129" s="8"/>
      <c r="D129" s="6"/>
      <c r="E129" s="8"/>
      <c r="F129" s="21"/>
      <c r="G129" s="21"/>
      <c r="H129" s="9"/>
    </row>
    <row r="130" spans="1:8" ht="30" customHeight="1" x14ac:dyDescent="0.3">
      <c r="A130" s="5"/>
      <c r="B130" s="3"/>
      <c r="C130" s="8"/>
      <c r="D130" s="6"/>
      <c r="E130" s="8"/>
      <c r="F130" s="21"/>
      <c r="G130" s="21"/>
      <c r="H130" s="9"/>
    </row>
    <row r="131" spans="1:8" ht="30" customHeight="1" x14ac:dyDescent="0.3">
      <c r="A131" s="5"/>
      <c r="B131" s="3"/>
      <c r="C131" s="8"/>
      <c r="D131" s="6"/>
      <c r="E131" s="8"/>
      <c r="F131" s="21"/>
      <c r="G131" s="21"/>
      <c r="H131" s="9"/>
    </row>
    <row r="132" spans="1:8" ht="30" customHeight="1" x14ac:dyDescent="0.3">
      <c r="A132" s="5"/>
      <c r="B132" s="3"/>
      <c r="C132" s="8"/>
      <c r="D132" s="6"/>
      <c r="E132" s="8"/>
      <c r="F132" s="21"/>
      <c r="G132" s="21"/>
      <c r="H132" s="9"/>
    </row>
    <row r="133" spans="1:8" ht="30" customHeight="1" x14ac:dyDescent="0.3">
      <c r="A133" s="5"/>
      <c r="B133" s="3"/>
      <c r="C133" s="8"/>
      <c r="D133" s="6"/>
      <c r="E133" s="8"/>
      <c r="F133" s="21"/>
      <c r="G133" s="21"/>
      <c r="H133" s="9"/>
    </row>
    <row r="134" spans="1:8" ht="30" customHeight="1" x14ac:dyDescent="0.3">
      <c r="A134" s="5"/>
      <c r="B134" s="3"/>
      <c r="C134" s="8"/>
      <c r="D134" s="6"/>
      <c r="E134" s="8"/>
      <c r="F134" s="21"/>
      <c r="G134" s="21"/>
      <c r="H134" s="9"/>
    </row>
    <row r="135" spans="1:8" ht="30" customHeight="1" x14ac:dyDescent="0.3">
      <c r="A135" s="5"/>
      <c r="B135" s="3"/>
      <c r="C135" s="8"/>
      <c r="D135" s="6"/>
      <c r="E135" s="8"/>
      <c r="F135" s="21"/>
      <c r="G135" s="21"/>
      <c r="H135" s="9"/>
    </row>
    <row r="136" spans="1:8" ht="30" customHeight="1" x14ac:dyDescent="0.3">
      <c r="A136" s="5"/>
      <c r="B136" s="3"/>
      <c r="C136" s="8"/>
      <c r="D136" s="6"/>
      <c r="E136" s="8"/>
      <c r="F136" s="21"/>
      <c r="G136" s="21"/>
      <c r="H136" s="9"/>
    </row>
    <row r="137" spans="1:8" ht="30" customHeight="1" x14ac:dyDescent="0.3">
      <c r="A137" s="5"/>
      <c r="B137" s="3"/>
      <c r="C137" s="8"/>
      <c r="D137" s="6"/>
      <c r="E137" s="8"/>
      <c r="F137" s="21"/>
      <c r="G137" s="21"/>
      <c r="H137" s="9"/>
    </row>
    <row r="138" spans="1:8" ht="30" customHeight="1" x14ac:dyDescent="0.3">
      <c r="A138" s="5"/>
      <c r="B138" s="3"/>
      <c r="C138" s="8"/>
      <c r="D138" s="6"/>
      <c r="E138" s="8"/>
      <c r="F138" s="21"/>
      <c r="G138" s="21"/>
      <c r="H138" s="9"/>
    </row>
    <row r="139" spans="1:8" ht="30" customHeight="1" x14ac:dyDescent="0.3">
      <c r="A139" s="5"/>
      <c r="B139" s="3"/>
      <c r="C139" s="8"/>
      <c r="D139" s="6"/>
      <c r="E139" s="8"/>
      <c r="F139" s="21"/>
      <c r="G139" s="21"/>
      <c r="H139" s="9"/>
    </row>
    <row r="140" spans="1:8" ht="30" customHeight="1" x14ac:dyDescent="0.3">
      <c r="A140" s="5"/>
      <c r="B140" s="3"/>
      <c r="C140" s="8"/>
      <c r="D140" s="6"/>
      <c r="E140" s="8"/>
      <c r="F140" s="21"/>
      <c r="G140" s="21"/>
      <c r="H140" s="9"/>
    </row>
    <row r="141" spans="1:8" ht="30" customHeight="1" x14ac:dyDescent="0.3">
      <c r="A141" s="5"/>
      <c r="B141" s="3"/>
      <c r="C141" s="8"/>
      <c r="D141" s="6"/>
      <c r="E141" s="8"/>
      <c r="F141" s="21"/>
      <c r="G141" s="21"/>
      <c r="H141" s="9"/>
    </row>
    <row r="142" spans="1:8" ht="30" customHeight="1" x14ac:dyDescent="0.3">
      <c r="A142" s="5"/>
      <c r="B142" s="3"/>
      <c r="C142" s="8"/>
      <c r="D142" s="6"/>
      <c r="E142" s="8"/>
      <c r="F142" s="21"/>
      <c r="G142" s="21"/>
      <c r="H142" s="9"/>
    </row>
    <row r="143" spans="1:8" ht="30" customHeight="1" x14ac:dyDescent="0.3">
      <c r="A143" s="5"/>
      <c r="B143" s="3"/>
      <c r="C143" s="8"/>
      <c r="D143" s="6"/>
      <c r="E143" s="8"/>
      <c r="F143" s="21"/>
      <c r="G143" s="21"/>
      <c r="H143" s="9"/>
    </row>
    <row r="144" spans="1:8" ht="30" customHeight="1" x14ac:dyDescent="0.3">
      <c r="A144" s="5"/>
      <c r="B144" s="3"/>
      <c r="C144" s="8"/>
      <c r="D144" s="6"/>
      <c r="E144" s="8"/>
      <c r="F144" s="21"/>
      <c r="G144" s="21"/>
      <c r="H144" s="9"/>
    </row>
    <row r="145" spans="1:8" ht="30" customHeight="1" x14ac:dyDescent="0.3">
      <c r="A145" s="5"/>
      <c r="B145" s="3"/>
      <c r="C145" s="8"/>
      <c r="D145" s="6"/>
      <c r="E145" s="8"/>
      <c r="F145" s="21"/>
      <c r="G145" s="21"/>
      <c r="H145" s="9"/>
    </row>
    <row r="146" spans="1:8" ht="30" customHeight="1" x14ac:dyDescent="0.3">
      <c r="A146" s="5"/>
      <c r="B146" s="3"/>
      <c r="C146" s="8"/>
      <c r="D146" s="6"/>
      <c r="E146" s="8"/>
      <c r="F146" s="21"/>
      <c r="G146" s="21"/>
      <c r="H146" s="9"/>
    </row>
    <row r="147" spans="1:8" ht="30" customHeight="1" x14ac:dyDescent="0.3">
      <c r="A147" s="5"/>
      <c r="B147" s="3"/>
      <c r="C147" s="8"/>
      <c r="D147" s="6"/>
      <c r="E147" s="8"/>
      <c r="F147" s="21"/>
      <c r="G147" s="21"/>
      <c r="H147" s="9"/>
    </row>
    <row r="148" spans="1:8" ht="30" customHeight="1" x14ac:dyDescent="0.3">
      <c r="A148" s="5"/>
      <c r="B148" s="3"/>
      <c r="C148" s="8"/>
      <c r="D148" s="6"/>
      <c r="E148" s="8"/>
      <c r="F148" s="21"/>
      <c r="G148" s="21"/>
      <c r="H148" s="9"/>
    </row>
    <row r="149" spans="1:8" ht="30" customHeight="1" x14ac:dyDescent="0.3">
      <c r="A149" s="5"/>
      <c r="B149" s="3"/>
      <c r="C149" s="8"/>
      <c r="D149" s="6"/>
      <c r="E149" s="8"/>
      <c r="F149" s="21"/>
      <c r="G149" s="21"/>
      <c r="H149" s="9"/>
    </row>
    <row r="150" spans="1:8" ht="30" customHeight="1" x14ac:dyDescent="0.3">
      <c r="A150" s="5"/>
      <c r="B150" s="3"/>
      <c r="C150" s="8"/>
      <c r="D150" s="6"/>
      <c r="E150" s="8"/>
      <c r="F150" s="21"/>
      <c r="G150" s="21"/>
      <c r="H150" s="9"/>
    </row>
    <row r="151" spans="1:8" ht="30" customHeight="1" x14ac:dyDescent="0.3">
      <c r="A151" s="5"/>
      <c r="B151" s="3"/>
      <c r="C151" s="8"/>
      <c r="D151" s="6"/>
      <c r="E151" s="8"/>
      <c r="F151" s="21"/>
      <c r="G151" s="21"/>
      <c r="H151" s="9"/>
    </row>
    <row r="152" spans="1:8" ht="30" customHeight="1" x14ac:dyDescent="0.3">
      <c r="A152" s="5"/>
      <c r="B152" s="3"/>
      <c r="C152" s="8"/>
      <c r="D152" s="6"/>
      <c r="E152" s="8"/>
      <c r="F152" s="3"/>
      <c r="G152" s="3"/>
      <c r="H152" s="9"/>
    </row>
    <row r="153" spans="1:8" ht="30" customHeight="1" x14ac:dyDescent="0.3">
      <c r="A153" s="5"/>
      <c r="B153" s="3"/>
      <c r="C153" s="8"/>
      <c r="D153" s="6"/>
      <c r="E153" s="8"/>
      <c r="F153" s="3"/>
      <c r="G153" s="3"/>
      <c r="H153" s="9"/>
    </row>
    <row r="154" spans="1:8" ht="30" customHeight="1" x14ac:dyDescent="0.3">
      <c r="A154" s="5"/>
      <c r="B154" s="3"/>
      <c r="C154" s="8"/>
      <c r="D154" s="6"/>
      <c r="E154" s="8"/>
      <c r="F154" s="3"/>
      <c r="G154" s="3"/>
      <c r="H154" s="9"/>
    </row>
    <row r="155" spans="1:8" ht="30" customHeight="1" x14ac:dyDescent="0.3">
      <c r="A155" s="5"/>
      <c r="B155" s="3"/>
      <c r="C155" s="8"/>
      <c r="D155" s="6"/>
      <c r="E155" s="8"/>
      <c r="F155" s="3"/>
      <c r="G155" s="3"/>
      <c r="H155" s="9"/>
    </row>
    <row r="156" spans="1:8" ht="30" customHeight="1" x14ac:dyDescent="0.3">
      <c r="A156" s="5"/>
      <c r="B156" s="3"/>
      <c r="C156" s="8"/>
      <c r="D156" s="6"/>
      <c r="E156" s="8"/>
      <c r="F156" s="3"/>
      <c r="G156" s="3"/>
      <c r="H156" s="9"/>
    </row>
    <row r="157" spans="1:8" ht="30" customHeight="1" x14ac:dyDescent="0.3">
      <c r="A157" s="5"/>
      <c r="B157" s="3"/>
      <c r="C157" s="8"/>
      <c r="D157" s="6"/>
      <c r="E157" s="8"/>
      <c r="F157" s="3"/>
      <c r="G157" s="3"/>
      <c r="H157" s="9"/>
    </row>
    <row r="158" spans="1:8" ht="30" customHeight="1" x14ac:dyDescent="0.3">
      <c r="A158" s="5"/>
      <c r="B158" s="3"/>
      <c r="C158" s="8"/>
      <c r="D158" s="6"/>
      <c r="E158" s="8"/>
      <c r="F158" s="3"/>
      <c r="G158" s="3"/>
      <c r="H158" s="9"/>
    </row>
    <row r="159" spans="1:8" ht="30" customHeight="1" x14ac:dyDescent="0.3">
      <c r="A159" s="5"/>
      <c r="B159" s="3"/>
      <c r="C159" s="8"/>
      <c r="D159" s="6"/>
      <c r="E159" s="8"/>
      <c r="F159" s="3"/>
      <c r="G159" s="3"/>
      <c r="H159" s="9"/>
    </row>
    <row r="160" spans="1:8" ht="30" customHeight="1" x14ac:dyDescent="0.3">
      <c r="A160" s="5"/>
      <c r="B160" s="3"/>
      <c r="C160" s="8"/>
      <c r="D160" s="6"/>
      <c r="E160" s="8"/>
      <c r="F160" s="3"/>
      <c r="G160" s="3"/>
      <c r="H160" s="9"/>
    </row>
    <row r="161" spans="1:8" ht="30" customHeight="1" x14ac:dyDescent="0.3">
      <c r="A161" s="5"/>
      <c r="B161" s="3"/>
      <c r="C161" s="8"/>
      <c r="D161" s="6"/>
      <c r="E161" s="8"/>
      <c r="F161" s="3"/>
      <c r="G161" s="3"/>
      <c r="H161" s="9"/>
    </row>
    <row r="162" spans="1:8" ht="30" customHeight="1" x14ac:dyDescent="0.3">
      <c r="A162" s="5"/>
      <c r="B162" s="3"/>
      <c r="C162" s="8"/>
      <c r="D162" s="6"/>
      <c r="E162" s="8"/>
      <c r="F162" s="3"/>
      <c r="G162" s="3"/>
      <c r="H162" s="9"/>
    </row>
    <row r="163" spans="1:8" ht="30" customHeight="1" x14ac:dyDescent="0.3">
      <c r="A163" s="5"/>
      <c r="B163" s="3"/>
      <c r="C163" s="8"/>
      <c r="D163" s="6"/>
      <c r="E163" s="8"/>
      <c r="F163" s="3"/>
      <c r="G163" s="3"/>
      <c r="H163" s="9"/>
    </row>
    <row r="164" spans="1:8" ht="30" customHeight="1" x14ac:dyDescent="0.3">
      <c r="A164" s="5"/>
      <c r="B164" s="3"/>
      <c r="C164" s="8"/>
      <c r="D164" s="6"/>
      <c r="E164" s="8"/>
      <c r="F164" s="3"/>
      <c r="G164" s="3"/>
      <c r="H164" s="9"/>
    </row>
    <row r="165" spans="1:8" ht="30" customHeight="1" x14ac:dyDescent="0.3">
      <c r="A165" s="5"/>
      <c r="B165" s="3"/>
      <c r="C165" s="8"/>
      <c r="D165" s="6"/>
      <c r="E165" s="8"/>
      <c r="F165" s="3"/>
      <c r="G165" s="3"/>
      <c r="H165" s="9"/>
    </row>
    <row r="166" spans="1:8" ht="30" customHeight="1" x14ac:dyDescent="0.3">
      <c r="A166" s="5"/>
      <c r="B166" s="3"/>
      <c r="C166" s="8"/>
      <c r="D166" s="6"/>
      <c r="E166" s="8"/>
      <c r="F166" s="3"/>
      <c r="G166" s="3"/>
      <c r="H166" s="9"/>
    </row>
    <row r="167" spans="1:8" ht="30" customHeight="1" x14ac:dyDescent="0.3">
      <c r="A167" s="5"/>
      <c r="B167" s="3"/>
      <c r="C167" s="8"/>
      <c r="D167" s="6"/>
      <c r="E167" s="8"/>
      <c r="F167" s="3"/>
      <c r="G167" s="3"/>
      <c r="H167" s="9"/>
    </row>
    <row r="168" spans="1:8" ht="30" customHeight="1" x14ac:dyDescent="0.3">
      <c r="A168" s="5"/>
      <c r="B168" s="3"/>
      <c r="C168" s="8"/>
      <c r="D168" s="6"/>
      <c r="E168" s="8"/>
      <c r="F168" s="3"/>
      <c r="G168" s="3"/>
      <c r="H168" s="9"/>
    </row>
    <row r="169" spans="1:8" ht="30" customHeight="1" x14ac:dyDescent="0.3">
      <c r="A169" s="5"/>
      <c r="B169" s="3"/>
      <c r="C169" s="8"/>
      <c r="D169" s="6"/>
      <c r="E169" s="8"/>
      <c r="F169" s="3"/>
      <c r="G169" s="3"/>
      <c r="H169" s="9"/>
    </row>
    <row r="170" spans="1:8" ht="30" customHeight="1" x14ac:dyDescent="0.3">
      <c r="A170" s="5"/>
      <c r="B170" s="3"/>
      <c r="C170" s="8"/>
      <c r="D170" s="6"/>
      <c r="E170" s="8"/>
      <c r="F170" s="3"/>
      <c r="G170" s="3"/>
      <c r="H170" s="9"/>
    </row>
    <row r="171" spans="1:8" ht="30" customHeight="1" x14ac:dyDescent="0.3">
      <c r="A171" s="5"/>
      <c r="B171" s="3"/>
      <c r="C171" s="8"/>
      <c r="D171" s="6"/>
      <c r="E171" s="8"/>
      <c r="F171" s="3"/>
      <c r="G171" s="3"/>
      <c r="H171" s="9"/>
    </row>
    <row r="172" spans="1:8" ht="30" customHeight="1" x14ac:dyDescent="0.3">
      <c r="A172" s="5"/>
      <c r="B172" s="3"/>
      <c r="C172" s="8"/>
      <c r="D172" s="6"/>
      <c r="E172" s="8"/>
      <c r="F172" s="3"/>
      <c r="G172" s="3"/>
      <c r="H172" s="9"/>
    </row>
    <row r="173" spans="1:8" ht="30" customHeight="1" x14ac:dyDescent="0.3">
      <c r="A173" s="5"/>
      <c r="B173" s="3"/>
      <c r="C173" s="10"/>
      <c r="D173" s="6"/>
      <c r="E173" s="8"/>
      <c r="F173" s="3"/>
      <c r="G173" s="3"/>
      <c r="H173" s="9"/>
    </row>
    <row r="174" spans="1:8" ht="30" customHeight="1" x14ac:dyDescent="0.3">
      <c r="A174" s="5"/>
      <c r="B174" s="3"/>
      <c r="C174" s="10"/>
      <c r="D174" s="6"/>
      <c r="E174" s="8"/>
      <c r="F174" s="3"/>
      <c r="G174" s="3"/>
      <c r="H174" s="9"/>
    </row>
    <row r="175" spans="1:8" ht="30" customHeight="1" x14ac:dyDescent="0.3">
      <c r="A175" s="5"/>
      <c r="B175" s="3"/>
      <c r="C175" s="10"/>
      <c r="D175" s="6"/>
      <c r="E175" s="8"/>
      <c r="F175" s="3"/>
      <c r="G175" s="3"/>
      <c r="H175" s="9"/>
    </row>
    <row r="176" spans="1:8" ht="30" customHeight="1" x14ac:dyDescent="0.3">
      <c r="A176" s="5"/>
      <c r="B176" s="3"/>
      <c r="C176" s="10"/>
      <c r="D176" s="6"/>
      <c r="E176" s="8"/>
      <c r="F176" s="3"/>
      <c r="G176" s="3"/>
      <c r="H176" s="9"/>
    </row>
    <row r="177" spans="1:8" ht="30" customHeight="1" x14ac:dyDescent="0.3">
      <c r="A177" s="5"/>
      <c r="B177" s="3"/>
      <c r="C177" s="10"/>
      <c r="D177" s="6"/>
      <c r="E177" s="8"/>
      <c r="F177" s="3"/>
      <c r="G177" s="3"/>
      <c r="H177" s="9"/>
    </row>
    <row r="178" spans="1:8" ht="30" customHeight="1" x14ac:dyDescent="0.3">
      <c r="A178" s="5"/>
      <c r="B178" s="3"/>
      <c r="C178" s="10"/>
      <c r="D178" s="6"/>
      <c r="E178" s="8"/>
      <c r="F178" s="3"/>
      <c r="G178" s="3"/>
      <c r="H178" s="9"/>
    </row>
    <row r="179" spans="1:8" ht="30" customHeight="1" x14ac:dyDescent="0.3">
      <c r="A179" s="5"/>
      <c r="B179" s="3"/>
      <c r="C179" s="10"/>
      <c r="D179" s="6"/>
      <c r="E179" s="8"/>
      <c r="F179" s="3"/>
      <c r="G179" s="3"/>
      <c r="H179" s="9"/>
    </row>
    <row r="180" spans="1:8" ht="30" customHeight="1" x14ac:dyDescent="0.3">
      <c r="A180" s="5"/>
      <c r="B180" s="3"/>
      <c r="C180" s="10"/>
      <c r="D180" s="6"/>
      <c r="E180" s="8"/>
      <c r="F180" s="3"/>
      <c r="G180" s="3"/>
      <c r="H180" s="9"/>
    </row>
    <row r="181" spans="1:8" ht="30" customHeight="1" x14ac:dyDescent="0.3">
      <c r="A181" s="5"/>
      <c r="B181" s="3"/>
      <c r="C181" s="9"/>
      <c r="D181" s="6"/>
      <c r="E181" s="8"/>
      <c r="F181" s="3"/>
      <c r="G181" s="3"/>
      <c r="H181" s="9"/>
    </row>
    <row r="182" spans="1:8" ht="30" customHeight="1" x14ac:dyDescent="0.3">
      <c r="A182" s="5"/>
      <c r="B182" s="3"/>
      <c r="C182" s="9"/>
      <c r="D182" s="6"/>
      <c r="E182" s="8"/>
      <c r="F182" s="3"/>
      <c r="G182" s="3"/>
      <c r="H182" s="9"/>
    </row>
    <row r="183" spans="1:8" ht="30" customHeight="1" x14ac:dyDescent="0.3">
      <c r="A183" s="5"/>
      <c r="B183" s="3"/>
      <c r="C183" s="9"/>
      <c r="D183" s="6"/>
      <c r="E183" s="8"/>
      <c r="F183" s="3"/>
      <c r="G183" s="3"/>
      <c r="H183" s="9"/>
    </row>
    <row r="184" spans="1:8" ht="30" customHeight="1" x14ac:dyDescent="0.3">
      <c r="A184" s="5"/>
      <c r="B184" s="3"/>
      <c r="C184" s="9"/>
      <c r="D184" s="6"/>
      <c r="E184" s="8"/>
      <c r="F184" s="3"/>
      <c r="G184" s="3"/>
      <c r="H184" s="9"/>
    </row>
    <row r="185" spans="1:8" ht="30" customHeight="1" x14ac:dyDescent="0.3">
      <c r="A185" s="5"/>
      <c r="B185" s="3"/>
      <c r="C185" s="9"/>
      <c r="D185" s="6"/>
      <c r="E185" s="8"/>
      <c r="F185" s="3"/>
      <c r="G185" s="3"/>
      <c r="H185" s="9"/>
    </row>
    <row r="186" spans="1:8" ht="30" customHeight="1" x14ac:dyDescent="0.3">
      <c r="A186" s="5"/>
      <c r="B186" s="3"/>
      <c r="C186" s="9"/>
      <c r="D186" s="6"/>
      <c r="E186" s="8"/>
      <c r="F186" s="3"/>
      <c r="G186" s="3"/>
      <c r="H186" s="9"/>
    </row>
    <row r="187" spans="1:8" ht="30" customHeight="1" x14ac:dyDescent="0.3">
      <c r="A187" s="5"/>
      <c r="B187" s="3"/>
      <c r="C187" s="9"/>
      <c r="D187" s="6"/>
      <c r="E187" s="8"/>
      <c r="F187" s="3"/>
      <c r="G187" s="3"/>
      <c r="H187" s="9"/>
    </row>
    <row r="188" spans="1:8" ht="30" customHeight="1" x14ac:dyDescent="0.3">
      <c r="A188" s="5"/>
      <c r="B188" s="3"/>
      <c r="C188" s="9"/>
      <c r="D188" s="6"/>
      <c r="E188" s="8"/>
      <c r="F188" s="3"/>
      <c r="G188" s="3"/>
      <c r="H188" s="9"/>
    </row>
    <row r="189" spans="1:8" ht="30" customHeight="1" x14ac:dyDescent="0.3">
      <c r="A189" s="5"/>
      <c r="B189" s="3"/>
      <c r="C189" s="9"/>
      <c r="D189" s="6"/>
      <c r="E189" s="8"/>
      <c r="F189" s="3"/>
      <c r="G189" s="3"/>
      <c r="H189" s="9"/>
    </row>
    <row r="190" spans="1:8" ht="30" customHeight="1" x14ac:dyDescent="0.3">
      <c r="A190" s="5"/>
      <c r="B190" s="3"/>
      <c r="C190" s="9"/>
      <c r="D190" s="6"/>
      <c r="E190" s="8"/>
      <c r="F190" s="3"/>
      <c r="G190" s="3"/>
      <c r="H190" s="9"/>
    </row>
    <row r="191" spans="1:8" ht="30" customHeight="1" x14ac:dyDescent="0.3">
      <c r="A191" s="5"/>
      <c r="B191" s="3"/>
      <c r="C191" s="9"/>
      <c r="D191" s="6"/>
      <c r="E191" s="8"/>
      <c r="F191" s="3"/>
      <c r="G191" s="3"/>
      <c r="H191" s="9"/>
    </row>
    <row r="192" spans="1:8" ht="30" customHeight="1" x14ac:dyDescent="0.3">
      <c r="A192" s="5"/>
      <c r="B192" s="3"/>
      <c r="C192" s="9"/>
      <c r="D192" s="6"/>
      <c r="E192" s="8"/>
      <c r="F192" s="3"/>
      <c r="G192" s="3"/>
      <c r="H192" s="9"/>
    </row>
    <row r="193" spans="1:8" ht="30" customHeight="1" x14ac:dyDescent="0.3">
      <c r="A193" s="5"/>
      <c r="B193" s="3"/>
      <c r="C193" s="9"/>
      <c r="D193" s="6"/>
      <c r="E193" s="8"/>
      <c r="F193" s="3"/>
      <c r="G193" s="3"/>
      <c r="H193" s="9"/>
    </row>
    <row r="194" spans="1:8" ht="30" customHeight="1" x14ac:dyDescent="0.3">
      <c r="A194" s="5"/>
      <c r="B194" s="3"/>
      <c r="C194" s="9"/>
      <c r="D194" s="6"/>
      <c r="E194" s="8"/>
      <c r="F194" s="3"/>
      <c r="G194" s="3"/>
      <c r="H194" s="9"/>
    </row>
    <row r="195" spans="1:8" ht="30" customHeight="1" x14ac:dyDescent="0.3">
      <c r="A195" s="5"/>
      <c r="B195" s="3"/>
      <c r="C195" s="9"/>
      <c r="D195" s="6"/>
      <c r="E195" s="8"/>
      <c r="F195" s="3"/>
      <c r="G195" s="3"/>
      <c r="H195" s="9"/>
    </row>
    <row r="196" spans="1:8" ht="30" customHeight="1" x14ac:dyDescent="0.3">
      <c r="A196" s="5"/>
      <c r="B196" s="3"/>
      <c r="C196" s="9"/>
      <c r="D196" s="6"/>
      <c r="E196" s="8"/>
      <c r="F196" s="3"/>
      <c r="G196" s="3"/>
      <c r="H196" s="9"/>
    </row>
    <row r="197" spans="1:8" ht="30" customHeight="1" x14ac:dyDescent="0.3">
      <c r="A197" s="5"/>
      <c r="B197" s="3"/>
      <c r="C197" s="9"/>
      <c r="D197" s="6"/>
      <c r="E197" s="8"/>
      <c r="F197" s="3"/>
      <c r="G197" s="3"/>
      <c r="H197" s="9"/>
    </row>
    <row r="198" spans="1:8" ht="30" customHeight="1" x14ac:dyDescent="0.3">
      <c r="A198" s="5"/>
      <c r="B198" s="3"/>
      <c r="C198" s="9"/>
      <c r="D198" s="6"/>
      <c r="E198" s="8"/>
      <c r="F198" s="3"/>
      <c r="G198" s="3"/>
      <c r="H198" s="9"/>
    </row>
    <row r="199" spans="1:8" ht="30" customHeight="1" x14ac:dyDescent="0.3">
      <c r="A199" s="5"/>
      <c r="B199" s="3"/>
      <c r="C199" s="9"/>
      <c r="D199" s="6"/>
      <c r="E199" s="8"/>
      <c r="F199" s="3"/>
      <c r="G199" s="3"/>
      <c r="H199" s="9"/>
    </row>
    <row r="200" spans="1:8" ht="30" customHeight="1" x14ac:dyDescent="0.3">
      <c r="A200" s="5"/>
      <c r="B200" s="3"/>
      <c r="C200" s="9"/>
      <c r="D200" s="6"/>
      <c r="E200" s="8"/>
      <c r="F200" s="3"/>
      <c r="G200" s="3"/>
      <c r="H200" s="9"/>
    </row>
    <row r="201" spans="1:8" ht="30" customHeight="1" x14ac:dyDescent="0.3">
      <c r="A201" s="5"/>
      <c r="B201" s="3"/>
      <c r="C201" s="9"/>
      <c r="D201" s="6"/>
      <c r="E201" s="8"/>
      <c r="F201" s="3"/>
      <c r="G201" s="3"/>
      <c r="H201" s="9"/>
    </row>
    <row r="202" spans="1:8" ht="30" customHeight="1" x14ac:dyDescent="0.3">
      <c r="A202" s="5"/>
      <c r="B202" s="3"/>
      <c r="C202" s="9"/>
      <c r="D202" s="6"/>
      <c r="E202" s="8"/>
      <c r="F202" s="3"/>
      <c r="G202" s="3"/>
      <c r="H202" s="9"/>
    </row>
    <row r="203" spans="1:8" ht="30" customHeight="1" x14ac:dyDescent="0.3">
      <c r="A203" s="5"/>
      <c r="B203" s="3"/>
      <c r="C203" s="9"/>
      <c r="D203" s="6"/>
      <c r="E203" s="8"/>
      <c r="F203" s="3"/>
      <c r="G203" s="3"/>
      <c r="H203" s="9"/>
    </row>
    <row r="204" spans="1:8" ht="30" customHeight="1" x14ac:dyDescent="0.3">
      <c r="A204" s="5"/>
      <c r="B204" s="3"/>
      <c r="C204" s="9"/>
      <c r="D204" s="6"/>
      <c r="E204" s="8"/>
      <c r="F204" s="3"/>
      <c r="G204" s="3"/>
      <c r="H204" s="9"/>
    </row>
    <row r="205" spans="1:8" ht="30" customHeight="1" x14ac:dyDescent="0.3">
      <c r="A205" s="5"/>
      <c r="B205" s="3"/>
      <c r="C205" s="9"/>
      <c r="D205" s="6"/>
      <c r="E205" s="8"/>
      <c r="F205" s="3"/>
      <c r="G205" s="3"/>
      <c r="H205" s="9"/>
    </row>
    <row r="206" spans="1:8" ht="30" customHeight="1" x14ac:dyDescent="0.3">
      <c r="A206" s="5"/>
      <c r="B206" s="3"/>
      <c r="C206" s="9"/>
      <c r="D206" s="6"/>
      <c r="E206" s="8"/>
      <c r="F206" s="3"/>
      <c r="G206" s="3"/>
      <c r="H206" s="9"/>
    </row>
    <row r="207" spans="1:8" ht="30" customHeight="1" x14ac:dyDescent="0.3">
      <c r="A207" s="5"/>
      <c r="B207" s="3"/>
      <c r="C207" s="9"/>
      <c r="D207" s="6"/>
      <c r="E207" s="8"/>
      <c r="F207" s="3"/>
      <c r="G207" s="3"/>
      <c r="H207" s="9"/>
    </row>
    <row r="208" spans="1:8" ht="30" customHeight="1" x14ac:dyDescent="0.3">
      <c r="A208" s="5"/>
      <c r="B208" s="3"/>
      <c r="C208" s="9"/>
      <c r="D208" s="6"/>
      <c r="E208" s="8"/>
      <c r="F208" s="3"/>
      <c r="G208" s="3"/>
      <c r="H208" s="9"/>
    </row>
    <row r="209" spans="1:8" ht="30" customHeight="1" x14ac:dyDescent="0.3">
      <c r="A209" s="5"/>
      <c r="B209" s="3"/>
      <c r="C209" s="9"/>
      <c r="D209" s="6"/>
      <c r="E209" s="8"/>
      <c r="F209" s="3"/>
      <c r="G209" s="3"/>
      <c r="H209" s="9"/>
    </row>
    <row r="210" spans="1:8" ht="30" customHeight="1" x14ac:dyDescent="0.3">
      <c r="A210" s="5"/>
      <c r="B210" s="3"/>
      <c r="C210" s="9"/>
      <c r="D210" s="6"/>
      <c r="E210" s="8"/>
      <c r="F210" s="3"/>
      <c r="G210" s="3"/>
      <c r="H210" s="9"/>
    </row>
    <row r="211" spans="1:8" ht="30" customHeight="1" x14ac:dyDescent="0.3">
      <c r="A211" s="5"/>
      <c r="B211" s="3"/>
      <c r="C211" s="9"/>
      <c r="D211" s="6"/>
      <c r="E211" s="8"/>
      <c r="F211" s="3"/>
      <c r="G211" s="3"/>
      <c r="H211" s="9"/>
    </row>
    <row r="212" spans="1:8" ht="30" customHeight="1" x14ac:dyDescent="0.3">
      <c r="A212" s="5"/>
      <c r="B212" s="3"/>
      <c r="C212" s="9"/>
      <c r="D212" s="6"/>
      <c r="E212" s="8"/>
      <c r="F212" s="3"/>
      <c r="G212" s="3"/>
      <c r="H212" s="9"/>
    </row>
    <row r="213" spans="1:8" ht="30" customHeight="1" x14ac:dyDescent="0.3">
      <c r="A213" s="5"/>
      <c r="B213" s="3"/>
      <c r="C213" s="9"/>
      <c r="D213" s="6"/>
      <c r="E213" s="8"/>
      <c r="F213" s="3"/>
      <c r="G213" s="3"/>
      <c r="H213" s="9"/>
    </row>
    <row r="214" spans="1:8" ht="30" customHeight="1" x14ac:dyDescent="0.3">
      <c r="A214" s="5"/>
      <c r="B214" s="3"/>
      <c r="C214" s="9"/>
      <c r="D214" s="6"/>
      <c r="E214" s="8"/>
      <c r="F214" s="3"/>
      <c r="G214" s="3"/>
      <c r="H214" s="9"/>
    </row>
    <row r="215" spans="1:8" ht="30" customHeight="1" x14ac:dyDescent="0.3">
      <c r="A215" s="5"/>
      <c r="B215" s="3"/>
      <c r="C215" s="9"/>
      <c r="D215" s="6"/>
      <c r="E215" s="8"/>
      <c r="F215" s="3"/>
      <c r="G215" s="3"/>
      <c r="H215" s="9"/>
    </row>
    <row r="216" spans="1:8" ht="30" customHeight="1" x14ac:dyDescent="0.3">
      <c r="A216" s="5"/>
      <c r="B216" s="3"/>
      <c r="C216" s="9"/>
      <c r="D216" s="6"/>
      <c r="E216" s="8"/>
      <c r="F216" s="3"/>
      <c r="G216" s="3"/>
      <c r="H216" s="9"/>
    </row>
    <row r="217" spans="1:8" ht="30" customHeight="1" x14ac:dyDescent="0.3">
      <c r="A217" s="5"/>
      <c r="B217" s="3"/>
      <c r="C217" s="9"/>
      <c r="D217" s="6"/>
      <c r="E217" s="8"/>
      <c r="F217" s="3"/>
      <c r="G217" s="3"/>
      <c r="H217" s="9"/>
    </row>
    <row r="218" spans="1:8" ht="30" customHeight="1" x14ac:dyDescent="0.3">
      <c r="A218" s="5"/>
      <c r="B218" s="3"/>
      <c r="C218" s="9"/>
      <c r="D218" s="6"/>
      <c r="E218" s="8"/>
      <c r="F218" s="3"/>
      <c r="G218" s="3"/>
      <c r="H218" s="9"/>
    </row>
    <row r="219" spans="1:8" ht="30" customHeight="1" x14ac:dyDescent="0.3">
      <c r="A219" s="5"/>
      <c r="B219" s="3"/>
      <c r="C219" s="9"/>
      <c r="D219" s="6"/>
      <c r="E219" s="8"/>
      <c r="F219" s="3"/>
      <c r="G219" s="3"/>
      <c r="H219" s="9"/>
    </row>
    <row r="220" spans="1:8" ht="30" customHeight="1" x14ac:dyDescent="0.3">
      <c r="A220" s="5"/>
      <c r="B220" s="3"/>
      <c r="C220" s="9"/>
      <c r="D220" s="6"/>
      <c r="E220" s="8"/>
      <c r="F220" s="3"/>
      <c r="G220" s="3"/>
      <c r="H220" s="9"/>
    </row>
    <row r="221" spans="1:8" ht="30" customHeight="1" x14ac:dyDescent="0.3">
      <c r="A221" s="5"/>
      <c r="B221" s="3"/>
      <c r="C221" s="9"/>
      <c r="D221" s="6"/>
      <c r="E221" s="8"/>
      <c r="F221" s="3"/>
      <c r="G221" s="3"/>
      <c r="H221" s="9"/>
    </row>
    <row r="222" spans="1:8" ht="30" customHeight="1" x14ac:dyDescent="0.3">
      <c r="A222" s="5"/>
      <c r="B222" s="3"/>
      <c r="C222" s="9"/>
      <c r="D222" s="6"/>
      <c r="E222" s="8"/>
      <c r="F222" s="3"/>
      <c r="G222" s="3"/>
      <c r="H222" s="9"/>
    </row>
    <row r="223" spans="1:8" ht="30" customHeight="1" x14ac:dyDescent="0.3">
      <c r="A223" s="5"/>
      <c r="B223" s="3"/>
      <c r="C223" s="9"/>
      <c r="D223" s="6"/>
      <c r="E223" s="8"/>
      <c r="F223" s="3"/>
      <c r="G223" s="3"/>
      <c r="H223" s="9"/>
    </row>
    <row r="224" spans="1:8" ht="30" customHeight="1" x14ac:dyDescent="0.3">
      <c r="A224" s="5"/>
      <c r="B224" s="3"/>
      <c r="C224" s="9"/>
      <c r="D224" s="6"/>
      <c r="E224" s="8"/>
      <c r="F224" s="3"/>
      <c r="G224" s="3"/>
      <c r="H224" s="9"/>
    </row>
    <row r="225" spans="1:8" ht="30" customHeight="1" x14ac:dyDescent="0.3">
      <c r="A225" s="5"/>
      <c r="B225" s="3"/>
      <c r="C225" s="9"/>
      <c r="D225" s="6"/>
      <c r="E225" s="8"/>
      <c r="F225" s="3"/>
      <c r="G225" s="3"/>
      <c r="H225" s="9"/>
    </row>
    <row r="226" spans="1:8" ht="30" customHeight="1" x14ac:dyDescent="0.3">
      <c r="A226" s="5"/>
      <c r="B226" s="3"/>
      <c r="C226" s="9"/>
      <c r="D226" s="6"/>
      <c r="E226" s="8"/>
      <c r="F226" s="3"/>
      <c r="G226" s="3"/>
      <c r="H226" s="9"/>
    </row>
    <row r="227" spans="1:8" ht="30" customHeight="1" x14ac:dyDescent="0.3">
      <c r="A227" s="5"/>
      <c r="B227" s="3"/>
      <c r="C227" s="9"/>
      <c r="D227" s="6"/>
      <c r="E227" s="8"/>
      <c r="F227" s="3"/>
      <c r="G227" s="3"/>
      <c r="H227" s="9"/>
    </row>
    <row r="228" spans="1:8" ht="30" customHeight="1" x14ac:dyDescent="0.3">
      <c r="A228" s="5"/>
      <c r="B228" s="3"/>
      <c r="C228" s="9"/>
      <c r="D228" s="6"/>
      <c r="E228" s="8"/>
      <c r="F228" s="3"/>
      <c r="G228" s="3"/>
      <c r="H228" s="9"/>
    </row>
    <row r="229" spans="1:8" ht="30" customHeight="1" x14ac:dyDescent="0.3">
      <c r="A229" s="5"/>
      <c r="B229" s="3"/>
      <c r="C229" s="9"/>
      <c r="D229" s="6"/>
      <c r="E229" s="8"/>
      <c r="F229" s="3"/>
      <c r="G229" s="3"/>
      <c r="H229" s="9"/>
    </row>
    <row r="230" spans="1:8" ht="30" customHeight="1" x14ac:dyDescent="0.3">
      <c r="A230" s="5"/>
      <c r="B230" s="3"/>
      <c r="C230" s="9"/>
      <c r="D230" s="6"/>
      <c r="E230" s="8"/>
      <c r="F230" s="3"/>
      <c r="G230" s="3"/>
      <c r="H230" s="9"/>
    </row>
    <row r="231" spans="1:8" ht="30" customHeight="1" x14ac:dyDescent="0.3">
      <c r="A231" s="5"/>
      <c r="B231" s="3"/>
      <c r="C231" s="9"/>
      <c r="D231" s="6"/>
      <c r="E231" s="8"/>
      <c r="F231" s="3"/>
      <c r="G231" s="3"/>
      <c r="H231" s="9"/>
    </row>
    <row r="232" spans="1:8" ht="30" customHeight="1" x14ac:dyDescent="0.3">
      <c r="A232" s="5"/>
      <c r="B232" s="3"/>
      <c r="C232" s="9"/>
      <c r="D232" s="6"/>
      <c r="E232" s="8"/>
      <c r="F232" s="3"/>
      <c r="G232" s="3"/>
      <c r="H232" s="9"/>
    </row>
    <row r="233" spans="1:8" ht="30" customHeight="1" x14ac:dyDescent="0.3">
      <c r="A233" s="5"/>
      <c r="B233" s="3"/>
      <c r="C233" s="9"/>
      <c r="D233" s="6"/>
      <c r="E233" s="8"/>
      <c r="F233" s="3"/>
      <c r="G233" s="3"/>
      <c r="H233" s="9"/>
    </row>
    <row r="234" spans="1:8" ht="30" customHeight="1" x14ac:dyDescent="0.3">
      <c r="A234" s="5"/>
      <c r="B234" s="3"/>
      <c r="C234" s="9"/>
      <c r="D234" s="6"/>
      <c r="E234" s="8"/>
      <c r="F234" s="3"/>
      <c r="G234" s="3"/>
      <c r="H234" s="9"/>
    </row>
    <row r="235" spans="1:8" ht="30" customHeight="1" x14ac:dyDescent="0.3">
      <c r="A235" s="5"/>
      <c r="B235" s="3"/>
      <c r="C235" s="9"/>
      <c r="D235" s="6"/>
      <c r="E235" s="8"/>
      <c r="F235" s="3"/>
      <c r="G235" s="3"/>
      <c r="H235" s="9"/>
    </row>
    <row r="236" spans="1:8" ht="30" customHeight="1" x14ac:dyDescent="0.3">
      <c r="A236" s="5"/>
      <c r="B236" s="3"/>
      <c r="C236" s="9"/>
      <c r="D236" s="6"/>
      <c r="E236" s="8"/>
      <c r="F236" s="3"/>
      <c r="G236" s="3"/>
      <c r="H236" s="9"/>
    </row>
    <row r="237" spans="1:8" ht="30" customHeight="1" x14ac:dyDescent="0.3">
      <c r="A237" s="5"/>
      <c r="B237" s="3"/>
      <c r="C237" s="9"/>
      <c r="D237" s="6"/>
      <c r="E237" s="8"/>
      <c r="F237" s="3"/>
      <c r="G237" s="3"/>
      <c r="H237" s="9"/>
    </row>
    <row r="238" spans="1:8" ht="30" customHeight="1" x14ac:dyDescent="0.3">
      <c r="A238" s="5"/>
      <c r="B238" s="3"/>
      <c r="C238" s="9"/>
      <c r="D238" s="6"/>
      <c r="E238" s="8"/>
      <c r="F238" s="3"/>
      <c r="G238" s="3"/>
      <c r="H238" s="9"/>
    </row>
    <row r="239" spans="1:8" ht="30" customHeight="1" x14ac:dyDescent="0.3">
      <c r="A239" s="5"/>
      <c r="B239" s="3"/>
      <c r="C239" s="9"/>
      <c r="D239" s="6"/>
      <c r="E239" s="8"/>
      <c r="F239" s="3"/>
      <c r="G239" s="3"/>
      <c r="H239" s="9"/>
    </row>
    <row r="240" spans="1:8" ht="30" customHeight="1" x14ac:dyDescent="0.3">
      <c r="A240" s="5"/>
      <c r="B240" s="3"/>
      <c r="C240" s="9"/>
      <c r="D240" s="6"/>
      <c r="E240" s="8"/>
      <c r="F240" s="3"/>
      <c r="G240" s="3"/>
      <c r="H240" s="9"/>
    </row>
    <row r="241" spans="1:8" ht="30" customHeight="1" x14ac:dyDescent="0.3">
      <c r="A241" s="5"/>
      <c r="B241" s="3"/>
      <c r="C241" s="9"/>
      <c r="D241" s="6"/>
      <c r="E241" s="8"/>
      <c r="F241" s="3"/>
      <c r="G241" s="3"/>
      <c r="H241" s="9"/>
    </row>
    <row r="242" spans="1:8" ht="30" customHeight="1" x14ac:dyDescent="0.3">
      <c r="A242" s="5"/>
      <c r="B242" s="3"/>
      <c r="C242" s="9"/>
      <c r="D242" s="6"/>
      <c r="E242" s="8"/>
      <c r="F242" s="3"/>
      <c r="G242" s="3"/>
      <c r="H242" s="9"/>
    </row>
    <row r="243" spans="1:8" ht="30" customHeight="1" x14ac:dyDescent="0.3">
      <c r="A243" s="5"/>
      <c r="B243" s="3"/>
      <c r="C243" s="9"/>
      <c r="D243" s="6"/>
      <c r="E243" s="8"/>
      <c r="F243" s="3"/>
      <c r="G243" s="3"/>
      <c r="H243" s="9"/>
    </row>
    <row r="244" spans="1:8" ht="30" customHeight="1" x14ac:dyDescent="0.3">
      <c r="A244" s="5"/>
      <c r="B244" s="3"/>
      <c r="C244" s="9"/>
      <c r="D244" s="6"/>
      <c r="E244" s="8"/>
      <c r="F244" s="3"/>
      <c r="G244" s="3"/>
      <c r="H244" s="9"/>
    </row>
    <row r="245" spans="1:8" ht="30" customHeight="1" x14ac:dyDescent="0.3">
      <c r="A245" s="5"/>
      <c r="B245" s="3"/>
      <c r="C245" s="9"/>
      <c r="D245" s="6"/>
      <c r="E245" s="8"/>
      <c r="F245" s="3"/>
      <c r="G245" s="3"/>
      <c r="H245" s="9"/>
    </row>
    <row r="246" spans="1:8" ht="30" customHeight="1" x14ac:dyDescent="0.3">
      <c r="A246" s="5"/>
      <c r="B246" s="3"/>
      <c r="C246" s="9"/>
      <c r="D246" s="6"/>
      <c r="E246" s="8"/>
      <c r="F246" s="3"/>
      <c r="G246" s="3"/>
      <c r="H246" s="9"/>
    </row>
    <row r="247" spans="1:8" ht="30" customHeight="1" x14ac:dyDescent="0.3">
      <c r="A247" s="5"/>
      <c r="B247" s="3"/>
      <c r="C247" s="9"/>
      <c r="D247" s="6"/>
      <c r="E247" s="8"/>
      <c r="F247" s="3"/>
      <c r="G247" s="3"/>
      <c r="H247" s="9"/>
    </row>
    <row r="248" spans="1:8" ht="30" customHeight="1" x14ac:dyDescent="0.3">
      <c r="A248" s="5"/>
      <c r="B248" s="3"/>
      <c r="C248" s="9"/>
      <c r="D248" s="6"/>
      <c r="E248" s="8"/>
      <c r="F248" s="3"/>
      <c r="G248" s="3"/>
      <c r="H248" s="9"/>
    </row>
    <row r="249" spans="1:8" ht="30" customHeight="1" x14ac:dyDescent="0.3">
      <c r="A249" s="5"/>
      <c r="B249" s="3"/>
      <c r="C249" s="9"/>
      <c r="D249" s="6"/>
      <c r="E249" s="8"/>
      <c r="F249" s="3"/>
      <c r="G249" s="3"/>
      <c r="H249" s="9"/>
    </row>
    <row r="250" spans="1:8" ht="30" customHeight="1" x14ac:dyDescent="0.3">
      <c r="A250" s="5"/>
      <c r="B250" s="3"/>
      <c r="C250" s="9"/>
      <c r="D250" s="6"/>
      <c r="E250" s="8"/>
      <c r="F250" s="3"/>
      <c r="G250" s="3"/>
      <c r="H250" s="9"/>
    </row>
    <row r="251" spans="1:8" ht="30" customHeight="1" x14ac:dyDescent="0.3">
      <c r="A251" s="5"/>
      <c r="B251" s="3"/>
      <c r="C251" s="9"/>
      <c r="D251" s="6"/>
      <c r="E251" s="8"/>
      <c r="F251" s="3"/>
      <c r="G251" s="3"/>
      <c r="H251" s="9"/>
    </row>
    <row r="252" spans="1:8" ht="30" customHeight="1" x14ac:dyDescent="0.3">
      <c r="A252" s="5"/>
      <c r="B252" s="3"/>
      <c r="C252" s="9"/>
      <c r="D252" s="6"/>
      <c r="E252" s="8"/>
      <c r="F252" s="3"/>
      <c r="G252" s="3"/>
      <c r="H252" s="9"/>
    </row>
    <row r="253" spans="1:8" ht="30" customHeight="1" x14ac:dyDescent="0.3">
      <c r="A253" s="5"/>
      <c r="B253" s="3"/>
      <c r="C253" s="9"/>
      <c r="D253" s="6"/>
      <c r="E253" s="8"/>
      <c r="F253" s="3"/>
      <c r="G253" s="3"/>
      <c r="H253" s="9"/>
    </row>
    <row r="254" spans="1:8" ht="30" customHeight="1" x14ac:dyDescent="0.3">
      <c r="A254" s="5"/>
      <c r="B254" s="3"/>
      <c r="C254" s="9"/>
      <c r="D254" s="6"/>
      <c r="E254" s="8"/>
      <c r="F254" s="3"/>
      <c r="G254" s="3"/>
      <c r="H254" s="9"/>
    </row>
    <row r="255" spans="1:8" ht="30" customHeight="1" x14ac:dyDescent="0.3">
      <c r="A255" s="5"/>
      <c r="B255" s="3"/>
      <c r="C255" s="9"/>
      <c r="D255" s="6"/>
      <c r="E255" s="8"/>
      <c r="F255" s="3"/>
      <c r="G255" s="3"/>
      <c r="H255" s="9"/>
    </row>
    <row r="256" spans="1:8" ht="30" customHeight="1" x14ac:dyDescent="0.3">
      <c r="A256" s="5"/>
      <c r="B256" s="3"/>
      <c r="C256" s="9"/>
      <c r="D256" s="6"/>
      <c r="E256" s="8"/>
      <c r="F256" s="3"/>
      <c r="G256" s="3"/>
      <c r="H256" s="9"/>
    </row>
    <row r="257" spans="1:8" ht="30" customHeight="1" x14ac:dyDescent="0.3">
      <c r="A257" s="5"/>
      <c r="B257" s="3"/>
      <c r="C257" s="9"/>
      <c r="D257" s="6"/>
      <c r="E257" s="8"/>
      <c r="F257" s="3"/>
      <c r="G257" s="3"/>
      <c r="H257" s="9"/>
    </row>
    <row r="258" spans="1:8" ht="30" customHeight="1" x14ac:dyDescent="0.3">
      <c r="A258" s="5"/>
      <c r="B258" s="3"/>
      <c r="C258" s="9"/>
      <c r="D258" s="6"/>
      <c r="E258" s="8"/>
      <c r="F258" s="3"/>
      <c r="G258" s="3"/>
      <c r="H258" s="9"/>
    </row>
    <row r="259" spans="1:8" ht="30" customHeight="1" x14ac:dyDescent="0.3">
      <c r="A259" s="5"/>
      <c r="B259" s="3"/>
      <c r="C259" s="9"/>
      <c r="D259" s="6"/>
      <c r="E259" s="8"/>
      <c r="F259" s="3"/>
      <c r="G259" s="3"/>
      <c r="H259" s="9"/>
    </row>
    <row r="260" spans="1:8" ht="30" customHeight="1" x14ac:dyDescent="0.3">
      <c r="A260" s="5"/>
      <c r="B260" s="3"/>
      <c r="C260" s="9"/>
      <c r="D260" s="6"/>
      <c r="E260" s="8"/>
      <c r="F260" s="3"/>
      <c r="G260" s="3"/>
      <c r="H260" s="9"/>
    </row>
    <row r="261" spans="1:8" ht="30" customHeight="1" x14ac:dyDescent="0.3">
      <c r="A261" s="5"/>
      <c r="B261" s="3"/>
      <c r="C261" s="9"/>
      <c r="D261" s="6"/>
      <c r="E261" s="8"/>
      <c r="F261" s="3"/>
      <c r="G261" s="3"/>
      <c r="H261" s="9"/>
    </row>
    <row r="262" spans="1:8" ht="30" customHeight="1" x14ac:dyDescent="0.3">
      <c r="A262" s="5"/>
      <c r="B262" s="3"/>
      <c r="C262" s="9"/>
      <c r="D262" s="6"/>
      <c r="E262" s="8"/>
      <c r="F262" s="3"/>
      <c r="G262" s="3"/>
      <c r="H262" s="9"/>
    </row>
    <row r="263" spans="1:8" ht="30" customHeight="1" x14ac:dyDescent="0.3">
      <c r="A263" s="5"/>
      <c r="B263" s="3"/>
      <c r="C263" s="9"/>
      <c r="D263" s="6"/>
      <c r="E263" s="8"/>
      <c r="F263" s="3"/>
      <c r="G263" s="3"/>
      <c r="H263" s="9"/>
    </row>
    <row r="264" spans="1:8" ht="30" customHeight="1" x14ac:dyDescent="0.3">
      <c r="A264" s="5"/>
      <c r="B264" s="3"/>
      <c r="C264" s="9"/>
      <c r="D264" s="6"/>
      <c r="E264" s="8"/>
      <c r="F264" s="3"/>
      <c r="G264" s="3"/>
      <c r="H264" s="9"/>
    </row>
    <row r="265" spans="1:8" ht="30" customHeight="1" x14ac:dyDescent="0.3">
      <c r="A265" s="5"/>
      <c r="B265" s="3"/>
      <c r="C265" s="9"/>
      <c r="D265" s="6"/>
      <c r="E265" s="8"/>
      <c r="F265" s="3"/>
      <c r="G265" s="3"/>
      <c r="H265" s="9"/>
    </row>
    <row r="266" spans="1:8" ht="30" customHeight="1" x14ac:dyDescent="0.3">
      <c r="A266" s="5"/>
      <c r="B266" s="3"/>
      <c r="C266" s="9"/>
      <c r="D266" s="6"/>
      <c r="E266" s="8"/>
      <c r="F266" s="3"/>
      <c r="G266" s="3"/>
      <c r="H266" s="9"/>
    </row>
    <row r="267" spans="1:8" ht="30" customHeight="1" x14ac:dyDescent="0.3">
      <c r="A267" s="5"/>
      <c r="B267" s="3"/>
      <c r="C267" s="9"/>
      <c r="D267" s="6"/>
      <c r="E267" s="8"/>
      <c r="F267" s="3"/>
      <c r="G267" s="3"/>
      <c r="H267" s="9"/>
    </row>
    <row r="268" spans="1:8" ht="30" customHeight="1" x14ac:dyDescent="0.3">
      <c r="A268" s="5"/>
      <c r="B268" s="3"/>
      <c r="C268" s="9"/>
      <c r="D268" s="6"/>
      <c r="E268" s="8"/>
      <c r="F268" s="3"/>
      <c r="G268" s="3"/>
      <c r="H268" s="9"/>
    </row>
    <row r="269" spans="1:8" ht="30" customHeight="1" x14ac:dyDescent="0.3">
      <c r="A269" s="5"/>
      <c r="B269" s="3"/>
      <c r="C269" s="9"/>
      <c r="D269" s="6"/>
      <c r="E269" s="8"/>
      <c r="F269" s="3"/>
      <c r="G269" s="3"/>
      <c r="H269" s="9"/>
    </row>
    <row r="270" spans="1:8" ht="30" customHeight="1" x14ac:dyDescent="0.3">
      <c r="A270" s="5"/>
      <c r="B270" s="3"/>
      <c r="C270" s="9"/>
      <c r="D270" s="6"/>
      <c r="E270" s="8"/>
      <c r="F270" s="3"/>
      <c r="G270" s="3"/>
      <c r="H270" s="9"/>
    </row>
    <row r="271" spans="1:8" ht="30" customHeight="1" x14ac:dyDescent="0.3">
      <c r="A271" s="5"/>
      <c r="B271" s="3"/>
      <c r="C271" s="9"/>
      <c r="D271" s="6"/>
      <c r="E271" s="8"/>
      <c r="F271" s="3"/>
      <c r="G271" s="3"/>
      <c r="H271" s="9"/>
    </row>
    <row r="272" spans="1:8" ht="30" customHeight="1" x14ac:dyDescent="0.3">
      <c r="A272" s="5"/>
      <c r="B272" s="3"/>
      <c r="C272" s="9"/>
      <c r="D272" s="6"/>
      <c r="E272" s="8"/>
      <c r="F272" s="3"/>
      <c r="G272" s="3"/>
      <c r="H272" s="9"/>
    </row>
    <row r="273" spans="1:8" ht="30" customHeight="1" x14ac:dyDescent="0.3">
      <c r="A273" s="5"/>
      <c r="B273" s="3"/>
      <c r="C273" s="9"/>
      <c r="D273" s="6"/>
      <c r="E273" s="8"/>
      <c r="F273" s="3"/>
      <c r="G273" s="3"/>
      <c r="H273" s="9"/>
    </row>
    <row r="274" spans="1:8" ht="30" customHeight="1" x14ac:dyDescent="0.3">
      <c r="A274" s="5"/>
      <c r="B274" s="3"/>
      <c r="C274" s="9"/>
      <c r="D274" s="6"/>
      <c r="E274" s="8"/>
      <c r="F274" s="3"/>
      <c r="G274" s="3"/>
      <c r="H274" s="9"/>
    </row>
    <row r="275" spans="1:8" ht="30" customHeight="1" x14ac:dyDescent="0.3">
      <c r="A275" s="2"/>
      <c r="B275" s="2"/>
      <c r="C275" s="9"/>
      <c r="D275" s="12"/>
      <c r="E275" s="10"/>
      <c r="F275" s="2"/>
      <c r="G275" s="2"/>
      <c r="H275" s="9"/>
    </row>
    <row r="276" spans="1:8" ht="30" customHeight="1" x14ac:dyDescent="0.3">
      <c r="A276" s="2"/>
      <c r="B276" s="2"/>
      <c r="C276" s="9"/>
      <c r="D276" s="12"/>
      <c r="E276" s="10"/>
      <c r="F276" s="2"/>
      <c r="G276" s="2"/>
      <c r="H276" s="9"/>
    </row>
    <row r="277" spans="1:8" ht="30" customHeight="1" x14ac:dyDescent="0.3">
      <c r="A277" s="2"/>
      <c r="B277" s="2"/>
      <c r="C277" s="9"/>
      <c r="D277" s="12"/>
      <c r="E277" s="10"/>
      <c r="F277" s="2"/>
      <c r="G277" s="2"/>
      <c r="H277" s="9"/>
    </row>
    <row r="278" spans="1:8" ht="30" customHeight="1" x14ac:dyDescent="0.3">
      <c r="A278" s="2"/>
      <c r="B278" s="2"/>
      <c r="C278" s="9"/>
      <c r="D278" s="12"/>
      <c r="E278" s="10"/>
      <c r="F278" s="2"/>
      <c r="G278" s="2"/>
      <c r="H278" s="9"/>
    </row>
    <row r="279" spans="1:8" ht="30" customHeight="1" x14ac:dyDescent="0.3">
      <c r="A279" s="2"/>
      <c r="B279" s="2"/>
      <c r="C279" s="9"/>
      <c r="D279" s="12"/>
      <c r="E279" s="10"/>
      <c r="F279" s="2"/>
      <c r="G279" s="2"/>
      <c r="H279" s="9"/>
    </row>
    <row r="280" spans="1:8" ht="30" customHeight="1" x14ac:dyDescent="0.3">
      <c r="A280" s="2"/>
      <c r="B280" s="2"/>
      <c r="C280" s="9"/>
      <c r="D280" s="12"/>
      <c r="E280" s="10"/>
      <c r="F280" s="2"/>
      <c r="G280" s="2"/>
      <c r="H280" s="9"/>
    </row>
    <row r="281" spans="1:8" ht="30" customHeight="1" x14ac:dyDescent="0.3">
      <c r="A281" s="2"/>
      <c r="B281" s="2"/>
      <c r="C281" s="9"/>
      <c r="D281" s="2"/>
      <c r="E281" s="10"/>
      <c r="F281" s="2"/>
      <c r="G281" s="2"/>
      <c r="H281" s="9"/>
    </row>
    <row r="282" spans="1:8" ht="30" customHeight="1" x14ac:dyDescent="0.3">
      <c r="A282" s="2"/>
      <c r="B282" s="2"/>
      <c r="C282" s="9"/>
      <c r="D282" s="2"/>
      <c r="E282" s="10"/>
      <c r="F282" s="2"/>
      <c r="G282" s="2"/>
      <c r="H282" s="9"/>
    </row>
    <row r="283" spans="1:8" x14ac:dyDescent="0.3">
      <c r="A283" s="9"/>
      <c r="B283" s="9"/>
      <c r="C283" s="9"/>
      <c r="D283" s="9"/>
      <c r="E283" s="9"/>
      <c r="F283" s="9"/>
      <c r="G283" s="9"/>
      <c r="H283" s="9"/>
    </row>
    <row r="284" spans="1:8" x14ac:dyDescent="0.3">
      <c r="A284" s="9"/>
      <c r="B284" s="9"/>
      <c r="C284" s="9"/>
      <c r="D284" s="9"/>
      <c r="E284" s="9"/>
      <c r="F284" s="9"/>
      <c r="G284" s="9"/>
      <c r="H284" s="9"/>
    </row>
    <row r="285" spans="1:8" x14ac:dyDescent="0.3">
      <c r="A285" s="9"/>
      <c r="B285" s="9"/>
      <c r="C285" s="9"/>
      <c r="D285" s="9"/>
      <c r="E285" s="9"/>
      <c r="F285" s="9"/>
      <c r="G285" s="9"/>
      <c r="H285" s="9"/>
    </row>
    <row r="286" spans="1:8" x14ac:dyDescent="0.3">
      <c r="A286" s="9"/>
      <c r="B286" s="9"/>
      <c r="C286" s="9"/>
      <c r="D286" s="9"/>
      <c r="E286" s="9"/>
      <c r="F286" s="9"/>
      <c r="G286" s="9"/>
      <c r="H286" s="9"/>
    </row>
    <row r="287" spans="1:8" x14ac:dyDescent="0.3">
      <c r="A287" s="9"/>
      <c r="B287" s="9"/>
      <c r="C287" s="9"/>
      <c r="D287" s="9"/>
      <c r="E287" s="9"/>
      <c r="F287" s="9"/>
      <c r="G287" s="9"/>
      <c r="H287" s="9"/>
    </row>
    <row r="288" spans="1:8" x14ac:dyDescent="0.3">
      <c r="A288" s="9"/>
      <c r="B288" s="9"/>
      <c r="C288" s="9"/>
      <c r="D288" s="9"/>
      <c r="E288" s="9"/>
      <c r="F288" s="9"/>
      <c r="G288" s="9"/>
      <c r="H288" s="9"/>
    </row>
    <row r="289" spans="1:8" x14ac:dyDescent="0.3">
      <c r="A289" s="9"/>
      <c r="B289" s="9"/>
      <c r="C289" s="9"/>
      <c r="D289" s="9"/>
      <c r="E289" s="9"/>
      <c r="F289" s="9"/>
      <c r="G289" s="9"/>
      <c r="H289" s="9"/>
    </row>
    <row r="290" spans="1:8" x14ac:dyDescent="0.3">
      <c r="A290" s="9"/>
      <c r="B290" s="9"/>
      <c r="C290" s="9"/>
      <c r="D290" s="9"/>
      <c r="E290" s="9"/>
      <c r="F290" s="9"/>
      <c r="G290" s="9"/>
      <c r="H290" s="9"/>
    </row>
    <row r="291" spans="1:8" x14ac:dyDescent="0.3">
      <c r="A291" s="9"/>
      <c r="B291" s="9"/>
      <c r="C291" s="9"/>
      <c r="D291" s="9"/>
      <c r="E291" s="9"/>
      <c r="F291" s="9"/>
      <c r="G291" s="9"/>
      <c r="H291" s="9"/>
    </row>
    <row r="292" spans="1:8" x14ac:dyDescent="0.3">
      <c r="A292" s="9"/>
      <c r="B292" s="9"/>
      <c r="C292" s="9"/>
      <c r="D292" s="9"/>
      <c r="E292" s="9"/>
      <c r="F292" s="9"/>
      <c r="G292" s="9"/>
      <c r="H292" s="9"/>
    </row>
    <row r="293" spans="1:8" x14ac:dyDescent="0.3">
      <c r="A293" s="9"/>
      <c r="B293" s="9"/>
      <c r="C293" s="9"/>
      <c r="D293" s="9"/>
      <c r="E293" s="9"/>
      <c r="F293" s="9"/>
      <c r="G293" s="9"/>
      <c r="H293" s="9"/>
    </row>
    <row r="294" spans="1:8" x14ac:dyDescent="0.3">
      <c r="A294" s="9"/>
      <c r="B294" s="9"/>
      <c r="C294" s="9"/>
      <c r="D294" s="9"/>
      <c r="E294" s="9"/>
      <c r="F294" s="9"/>
      <c r="G294" s="9"/>
      <c r="H294" s="9"/>
    </row>
    <row r="295" spans="1:8" x14ac:dyDescent="0.3">
      <c r="A295" s="9"/>
      <c r="B295" s="9"/>
      <c r="C295" s="9"/>
      <c r="D295" s="9"/>
      <c r="E295" s="9"/>
      <c r="F295" s="9"/>
      <c r="G295" s="9"/>
      <c r="H295" s="9"/>
    </row>
    <row r="296" spans="1:8" x14ac:dyDescent="0.3">
      <c r="A296" s="9"/>
      <c r="B296" s="9"/>
      <c r="C296" s="9"/>
      <c r="D296" s="9"/>
      <c r="E296" s="9"/>
      <c r="F296" s="9"/>
      <c r="G296" s="9"/>
      <c r="H296" s="9"/>
    </row>
    <row r="297" spans="1:8" x14ac:dyDescent="0.3">
      <c r="A297" s="9"/>
      <c r="B297" s="9"/>
      <c r="C297" s="9"/>
      <c r="D297" s="9"/>
      <c r="E297" s="9"/>
      <c r="F297" s="9"/>
      <c r="G297" s="9"/>
      <c r="H297" s="9"/>
    </row>
    <row r="298" spans="1:8" x14ac:dyDescent="0.3">
      <c r="A298" s="9"/>
      <c r="B298" s="9"/>
      <c r="C298" s="9"/>
      <c r="D298" s="9"/>
      <c r="E298" s="9"/>
      <c r="F298" s="9"/>
      <c r="G298" s="9"/>
      <c r="H298" s="9"/>
    </row>
    <row r="299" spans="1:8" x14ac:dyDescent="0.3">
      <c r="A299" s="9"/>
      <c r="B299" s="9"/>
      <c r="C299" s="9"/>
      <c r="D299" s="9"/>
      <c r="E299" s="9"/>
      <c r="F299" s="9"/>
      <c r="G299" s="9"/>
      <c r="H299" s="9"/>
    </row>
    <row r="300" spans="1:8" x14ac:dyDescent="0.3">
      <c r="A300" s="9"/>
      <c r="B300" s="9"/>
      <c r="C300" s="9"/>
      <c r="D300" s="9"/>
      <c r="E300" s="9"/>
      <c r="F300" s="9"/>
      <c r="G300" s="9"/>
      <c r="H300" s="9"/>
    </row>
    <row r="301" spans="1:8" x14ac:dyDescent="0.3">
      <c r="A301" s="9"/>
      <c r="B301" s="9"/>
      <c r="C301" s="9"/>
      <c r="D301" s="9"/>
      <c r="E301" s="9"/>
      <c r="F301" s="9"/>
      <c r="G301" s="9"/>
      <c r="H301" s="9"/>
    </row>
    <row r="302" spans="1:8" x14ac:dyDescent="0.3">
      <c r="A302" s="9"/>
      <c r="B302" s="9"/>
      <c r="C302" s="9"/>
      <c r="D302" s="9"/>
      <c r="E302" s="9"/>
      <c r="F302" s="9"/>
      <c r="G302" s="9"/>
      <c r="H302" s="9"/>
    </row>
    <row r="303" spans="1:8" x14ac:dyDescent="0.3">
      <c r="A303" s="9"/>
      <c r="B303" s="9"/>
      <c r="C303" s="9"/>
      <c r="D303" s="9"/>
      <c r="E303" s="9"/>
      <c r="F303" s="9"/>
      <c r="G303" s="9"/>
      <c r="H303" s="9"/>
    </row>
    <row r="304" spans="1:8" x14ac:dyDescent="0.3">
      <c r="A304" s="9"/>
      <c r="B304" s="9"/>
      <c r="C304" s="9"/>
      <c r="D304" s="9"/>
      <c r="E304" s="9"/>
      <c r="F304" s="9"/>
      <c r="G304" s="9"/>
      <c r="H304" s="9"/>
    </row>
    <row r="305" spans="1:8" x14ac:dyDescent="0.3">
      <c r="A305" s="9"/>
      <c r="B305" s="9"/>
      <c r="C305" s="9"/>
      <c r="D305" s="9"/>
      <c r="E305" s="9"/>
      <c r="F305" s="9"/>
      <c r="G305" s="9"/>
      <c r="H305" s="9"/>
    </row>
    <row r="306" spans="1:8" x14ac:dyDescent="0.3">
      <c r="A306" s="9"/>
      <c r="B306" s="9"/>
      <c r="C306" s="9"/>
      <c r="D306" s="9"/>
      <c r="E306" s="9"/>
      <c r="F306" s="9"/>
      <c r="G306" s="9"/>
      <c r="H306" s="9"/>
    </row>
    <row r="307" spans="1:8" x14ac:dyDescent="0.3">
      <c r="A307" s="9"/>
      <c r="B307" s="9"/>
      <c r="C307" s="9"/>
      <c r="D307" s="9"/>
      <c r="E307" s="9"/>
      <c r="F307" s="9"/>
      <c r="G307" s="9"/>
      <c r="H307" s="9"/>
    </row>
    <row r="308" spans="1:8" x14ac:dyDescent="0.3">
      <c r="A308" s="9"/>
      <c r="B308" s="9"/>
      <c r="C308" s="9"/>
      <c r="D308" s="9"/>
      <c r="E308" s="9"/>
      <c r="F308" s="9"/>
      <c r="G308" s="9"/>
      <c r="H308" s="9"/>
    </row>
    <row r="309" spans="1:8" x14ac:dyDescent="0.3">
      <c r="A309" s="9"/>
      <c r="B309" s="9"/>
      <c r="C309" s="9"/>
      <c r="D309" s="9"/>
      <c r="E309" s="9"/>
      <c r="F309" s="9"/>
      <c r="G309" s="9"/>
      <c r="H309" s="9"/>
    </row>
    <row r="310" spans="1:8" x14ac:dyDescent="0.3">
      <c r="A310" s="9"/>
      <c r="B310" s="9"/>
      <c r="C310" s="9"/>
      <c r="D310" s="9"/>
      <c r="E310" s="9"/>
      <c r="F310" s="9"/>
      <c r="G310" s="9"/>
      <c r="H310" s="9"/>
    </row>
    <row r="311" spans="1:8" x14ac:dyDescent="0.3">
      <c r="A311" s="9"/>
      <c r="B311" s="9"/>
      <c r="C311" s="9"/>
      <c r="D311" s="9"/>
      <c r="E311" s="9"/>
      <c r="F311" s="9"/>
      <c r="G311" s="9"/>
      <c r="H311" s="9"/>
    </row>
    <row r="312" spans="1:8" x14ac:dyDescent="0.3">
      <c r="A312" s="9"/>
      <c r="B312" s="9"/>
      <c r="C312" s="9"/>
      <c r="D312" s="9"/>
      <c r="E312" s="9"/>
      <c r="F312" s="9"/>
      <c r="G312" s="9"/>
      <c r="H312" s="9"/>
    </row>
    <row r="313" spans="1:8" x14ac:dyDescent="0.3">
      <c r="A313" s="9"/>
      <c r="B313" s="9"/>
      <c r="C313" s="9"/>
      <c r="D313" s="9"/>
      <c r="E313" s="9"/>
      <c r="F313" s="9"/>
      <c r="G313" s="9"/>
      <c r="H313" s="9"/>
    </row>
    <row r="314" spans="1:8" x14ac:dyDescent="0.3">
      <c r="A314" s="9"/>
      <c r="B314" s="9"/>
      <c r="C314" s="9"/>
      <c r="D314" s="9"/>
      <c r="E314" s="9"/>
      <c r="F314" s="9"/>
      <c r="G314" s="9"/>
      <c r="H314" s="9"/>
    </row>
    <row r="315" spans="1:8" x14ac:dyDescent="0.3">
      <c r="A315" s="9"/>
      <c r="B315" s="9"/>
      <c r="C315" s="9"/>
      <c r="D315" s="9"/>
      <c r="E315" s="9"/>
      <c r="F315" s="9"/>
      <c r="G315" s="9"/>
      <c r="H315" s="9"/>
    </row>
    <row r="316" spans="1:8" x14ac:dyDescent="0.3">
      <c r="A316" s="9"/>
      <c r="B316" s="9"/>
      <c r="C316" s="9"/>
      <c r="D316" s="9"/>
      <c r="E316" s="9"/>
      <c r="F316" s="9"/>
      <c r="G316" s="9"/>
      <c r="H316" s="9"/>
    </row>
    <row r="317" spans="1:8" x14ac:dyDescent="0.3">
      <c r="A317" s="9"/>
      <c r="B317" s="9"/>
      <c r="C317" s="9"/>
      <c r="D317" s="9"/>
      <c r="E317" s="9"/>
      <c r="F317" s="9"/>
      <c r="G317" s="9"/>
      <c r="H317" s="9"/>
    </row>
    <row r="318" spans="1:8" x14ac:dyDescent="0.3">
      <c r="A318" s="9"/>
      <c r="B318" s="9"/>
      <c r="C318" s="9"/>
      <c r="D318" s="9"/>
      <c r="E318" s="9"/>
      <c r="F318" s="9"/>
      <c r="G318" s="9"/>
      <c r="H318" s="9"/>
    </row>
    <row r="319" spans="1:8" x14ac:dyDescent="0.3">
      <c r="A319" s="9"/>
      <c r="B319" s="9"/>
      <c r="C319" s="9"/>
      <c r="D319" s="9"/>
      <c r="E319" s="9"/>
      <c r="F319" s="9"/>
      <c r="G319" s="9"/>
      <c r="H319" s="9"/>
    </row>
    <row r="320" spans="1:8" x14ac:dyDescent="0.3">
      <c r="A320" s="9"/>
      <c r="B320" s="9"/>
      <c r="C320" s="9"/>
      <c r="D320" s="9"/>
      <c r="E320" s="9"/>
      <c r="F320" s="9"/>
      <c r="G320" s="9"/>
      <c r="H320" s="9"/>
    </row>
    <row r="321" spans="1:8" x14ac:dyDescent="0.3">
      <c r="A321" s="9"/>
      <c r="B321" s="9"/>
      <c r="C321" s="9"/>
      <c r="D321" s="9"/>
      <c r="E321" s="9"/>
      <c r="F321" s="9"/>
      <c r="G321" s="9"/>
      <c r="H321" s="9"/>
    </row>
    <row r="322" spans="1:8" x14ac:dyDescent="0.3">
      <c r="A322" s="9"/>
      <c r="B322" s="9"/>
      <c r="C322" s="9"/>
      <c r="D322" s="9"/>
      <c r="E322" s="9"/>
      <c r="F322" s="9"/>
      <c r="G322" s="9"/>
      <c r="H322" s="9"/>
    </row>
    <row r="323" spans="1:8" x14ac:dyDescent="0.3">
      <c r="A323" s="9"/>
      <c r="B323" s="9"/>
      <c r="C323" s="9"/>
      <c r="D323" s="9"/>
      <c r="E323" s="9"/>
      <c r="F323" s="9"/>
      <c r="G323" s="9"/>
      <c r="H323" s="9"/>
    </row>
    <row r="324" spans="1:8" x14ac:dyDescent="0.3">
      <c r="A324" s="9"/>
      <c r="B324" s="9"/>
      <c r="C324" s="9"/>
      <c r="D324" s="9"/>
      <c r="E324" s="9"/>
      <c r="F324" s="9"/>
      <c r="G324" s="9"/>
      <c r="H324" s="9"/>
    </row>
    <row r="325" spans="1:8" x14ac:dyDescent="0.3">
      <c r="A325" s="9"/>
      <c r="B325" s="9"/>
      <c r="C325" s="9"/>
      <c r="D325" s="9"/>
      <c r="E325" s="9"/>
      <c r="F325" s="9"/>
      <c r="G325" s="9"/>
      <c r="H325" s="9"/>
    </row>
    <row r="326" spans="1:8" x14ac:dyDescent="0.3">
      <c r="A326" s="9"/>
      <c r="B326" s="9"/>
      <c r="C326" s="9"/>
      <c r="D326" s="9"/>
      <c r="E326" s="9"/>
      <c r="F326" s="9"/>
      <c r="G326" s="9"/>
      <c r="H326" s="9"/>
    </row>
    <row r="327" spans="1:8" x14ac:dyDescent="0.3">
      <c r="A327" s="9"/>
      <c r="B327" s="9"/>
      <c r="C327" s="9"/>
      <c r="D327" s="9"/>
      <c r="E327" s="9"/>
      <c r="F327" s="9"/>
      <c r="G327" s="9"/>
      <c r="H327" s="9"/>
    </row>
    <row r="328" spans="1:8" x14ac:dyDescent="0.3">
      <c r="A328" s="9"/>
      <c r="B328" s="9"/>
      <c r="C328" s="9"/>
      <c r="D328" s="9"/>
      <c r="E328" s="9"/>
      <c r="F328" s="9"/>
      <c r="G328" s="9"/>
      <c r="H328" s="9"/>
    </row>
    <row r="329" spans="1:8" x14ac:dyDescent="0.3">
      <c r="A329" s="9"/>
      <c r="B329" s="9"/>
      <c r="C329" s="9"/>
      <c r="D329" s="9"/>
      <c r="E329" s="9"/>
      <c r="F329" s="9"/>
      <c r="G329" s="9"/>
      <c r="H329" s="9"/>
    </row>
    <row r="330" spans="1:8" x14ac:dyDescent="0.3">
      <c r="A330" s="9"/>
      <c r="B330" s="9"/>
      <c r="C330" s="9"/>
      <c r="D330" s="9"/>
      <c r="E330" s="9"/>
      <c r="F330" s="9"/>
      <c r="G330" s="9"/>
      <c r="H330" s="9"/>
    </row>
    <row r="331" spans="1:8" x14ac:dyDescent="0.3">
      <c r="A331" s="9"/>
      <c r="B331" s="9"/>
      <c r="C331" s="9"/>
      <c r="D331" s="9"/>
      <c r="E331" s="9"/>
      <c r="F331" s="9"/>
      <c r="G331" s="9"/>
      <c r="H331" s="9"/>
    </row>
    <row r="332" spans="1:8" x14ac:dyDescent="0.3">
      <c r="A332" s="9"/>
      <c r="B332" s="9"/>
      <c r="C332" s="9"/>
      <c r="D332" s="9"/>
      <c r="E332" s="9"/>
      <c r="F332" s="9"/>
      <c r="G332" s="9"/>
      <c r="H332" s="9"/>
    </row>
    <row r="333" spans="1:8" x14ac:dyDescent="0.3">
      <c r="A333" s="9"/>
      <c r="B333" s="9"/>
      <c r="C333" s="9"/>
      <c r="D333" s="9"/>
      <c r="E333" s="9"/>
      <c r="F333" s="9"/>
      <c r="G333" s="9"/>
      <c r="H333" s="9"/>
    </row>
    <row r="334" spans="1:8" x14ac:dyDescent="0.3">
      <c r="A334" s="9"/>
      <c r="B334" s="9"/>
      <c r="C334" s="9"/>
      <c r="D334" s="9"/>
      <c r="E334" s="9"/>
      <c r="F334" s="9"/>
      <c r="G334" s="9"/>
      <c r="H334" s="9"/>
    </row>
    <row r="335" spans="1:8" x14ac:dyDescent="0.3">
      <c r="A335" s="9"/>
      <c r="B335" s="9"/>
      <c r="C335" s="9"/>
      <c r="D335" s="9"/>
      <c r="E335" s="9"/>
      <c r="F335" s="9"/>
      <c r="G335" s="9"/>
      <c r="H335" s="9"/>
    </row>
    <row r="336" spans="1:8" x14ac:dyDescent="0.3">
      <c r="A336" s="9"/>
      <c r="B336" s="9"/>
      <c r="C336" s="9"/>
      <c r="D336" s="9"/>
      <c r="E336" s="9"/>
      <c r="F336" s="9"/>
      <c r="G336" s="9"/>
      <c r="H336" s="9"/>
    </row>
    <row r="337" spans="1:8" x14ac:dyDescent="0.3">
      <c r="A337" s="9"/>
      <c r="B337" s="9"/>
      <c r="C337" s="9"/>
      <c r="D337" s="9"/>
      <c r="E337" s="9"/>
      <c r="F337" s="9"/>
      <c r="G337" s="9"/>
      <c r="H337" s="9"/>
    </row>
    <row r="338" spans="1:8" x14ac:dyDescent="0.3">
      <c r="A338" s="9"/>
      <c r="B338" s="9"/>
      <c r="C338" s="9"/>
      <c r="D338" s="9"/>
      <c r="E338" s="9"/>
      <c r="F338" s="9"/>
      <c r="G338" s="9"/>
      <c r="H338" s="9"/>
    </row>
    <row r="339" spans="1:8" x14ac:dyDescent="0.3">
      <c r="A339" s="9"/>
      <c r="B339" s="9"/>
      <c r="C339" s="9"/>
      <c r="D339" s="9"/>
      <c r="E339" s="9"/>
      <c r="F339" s="9"/>
      <c r="G339" s="9"/>
      <c r="H339" s="9"/>
    </row>
    <row r="340" spans="1:8" x14ac:dyDescent="0.3">
      <c r="A340" s="9"/>
      <c r="B340" s="9"/>
      <c r="C340" s="9"/>
      <c r="D340" s="9"/>
      <c r="E340" s="9"/>
      <c r="F340" s="9"/>
      <c r="G340" s="9"/>
      <c r="H340" s="9"/>
    </row>
    <row r="341" spans="1:8" x14ac:dyDescent="0.3">
      <c r="A341" s="9"/>
      <c r="B341" s="9"/>
      <c r="C341" s="9"/>
      <c r="D341" s="9"/>
      <c r="E341" s="9"/>
      <c r="F341" s="9"/>
      <c r="G341" s="9"/>
      <c r="H341" s="9"/>
    </row>
    <row r="342" spans="1:8" x14ac:dyDescent="0.3">
      <c r="A342" s="9"/>
      <c r="B342" s="9"/>
      <c r="C342" s="9"/>
      <c r="D342" s="9"/>
      <c r="E342" s="9"/>
      <c r="F342" s="9"/>
      <c r="G342" s="9"/>
      <c r="H342" s="9"/>
    </row>
    <row r="343" spans="1:8" x14ac:dyDescent="0.3">
      <c r="A343" s="9"/>
      <c r="B343" s="9"/>
      <c r="C343" s="9"/>
      <c r="D343" s="9"/>
      <c r="E343" s="9"/>
      <c r="F343" s="9"/>
      <c r="G343" s="9"/>
      <c r="H343" s="9"/>
    </row>
    <row r="344" spans="1:8" x14ac:dyDescent="0.3">
      <c r="A344" s="9"/>
      <c r="B344" s="9"/>
      <c r="C344" s="9"/>
      <c r="D344" s="9"/>
      <c r="E344" s="9"/>
      <c r="F344" s="9"/>
      <c r="G344" s="9"/>
      <c r="H344" s="9"/>
    </row>
    <row r="345" spans="1:8" x14ac:dyDescent="0.3">
      <c r="A345" s="9"/>
      <c r="B345" s="9"/>
      <c r="C345" s="9"/>
      <c r="D345" s="9"/>
      <c r="E345" s="9"/>
      <c r="F345" s="9"/>
      <c r="G345" s="9"/>
      <c r="H345" s="9"/>
    </row>
    <row r="346" spans="1:8" x14ac:dyDescent="0.3">
      <c r="A346" s="9"/>
      <c r="B346" s="9"/>
      <c r="C346" s="9"/>
      <c r="D346" s="9"/>
      <c r="E346" s="9"/>
      <c r="F346" s="9"/>
      <c r="G346" s="9"/>
      <c r="H346" s="9"/>
    </row>
    <row r="347" spans="1:8" x14ac:dyDescent="0.3">
      <c r="A347" s="9"/>
      <c r="B347" s="9"/>
      <c r="C347" s="9"/>
      <c r="D347" s="9"/>
      <c r="E347" s="9"/>
      <c r="F347" s="9"/>
      <c r="G347" s="9"/>
      <c r="H347" s="9"/>
    </row>
    <row r="348" spans="1:8" x14ac:dyDescent="0.3">
      <c r="A348" s="9"/>
      <c r="B348" s="9"/>
      <c r="C348" s="9"/>
      <c r="D348" s="9"/>
      <c r="E348" s="9"/>
      <c r="F348" s="9"/>
      <c r="G348" s="9"/>
      <c r="H348" s="9"/>
    </row>
    <row r="349" spans="1:8" x14ac:dyDescent="0.3">
      <c r="A349" s="9"/>
      <c r="B349" s="9"/>
      <c r="C349" s="9"/>
      <c r="D349" s="9"/>
      <c r="E349" s="9"/>
      <c r="F349" s="9"/>
      <c r="G349" s="9"/>
      <c r="H349" s="9"/>
    </row>
    <row r="350" spans="1:8" x14ac:dyDescent="0.3">
      <c r="A350" s="9"/>
      <c r="B350" s="9"/>
      <c r="C350" s="9"/>
      <c r="D350" s="9"/>
      <c r="E350" s="9"/>
      <c r="F350" s="9"/>
      <c r="G350" s="9"/>
      <c r="H350" s="9"/>
    </row>
    <row r="351" spans="1:8" x14ac:dyDescent="0.3">
      <c r="A351" s="9"/>
      <c r="B351" s="9"/>
      <c r="C351" s="9"/>
      <c r="D351" s="9"/>
      <c r="E351" s="9"/>
      <c r="F351" s="9"/>
      <c r="G351" s="9"/>
      <c r="H351" s="9"/>
    </row>
    <row r="352" spans="1:8" x14ac:dyDescent="0.3">
      <c r="A352" s="9"/>
      <c r="B352" s="9"/>
      <c r="C352" s="9"/>
      <c r="D352" s="9"/>
      <c r="E352" s="9"/>
      <c r="F352" s="9"/>
      <c r="G352" s="9"/>
      <c r="H352" s="9"/>
    </row>
    <row r="353" spans="1:8" x14ac:dyDescent="0.3">
      <c r="A353" s="9"/>
      <c r="B353" s="9"/>
      <c r="C353" s="9"/>
      <c r="D353" s="9"/>
      <c r="E353" s="9"/>
      <c r="F353" s="9"/>
      <c r="G353" s="9"/>
      <c r="H353" s="9"/>
    </row>
    <row r="354" spans="1:8" x14ac:dyDescent="0.3">
      <c r="A354" s="9"/>
      <c r="B354" s="9"/>
      <c r="C354" s="9"/>
      <c r="D354" s="9"/>
      <c r="E354" s="9"/>
      <c r="F354" s="9"/>
      <c r="G354" s="9"/>
      <c r="H354" s="9"/>
    </row>
    <row r="355" spans="1:8" x14ac:dyDescent="0.3">
      <c r="A355" s="9"/>
      <c r="B355" s="9"/>
      <c r="C355" s="9"/>
      <c r="D355" s="9"/>
      <c r="E355" s="9"/>
      <c r="F355" s="9"/>
      <c r="G355" s="9"/>
      <c r="H355" s="9"/>
    </row>
    <row r="356" spans="1:8" x14ac:dyDescent="0.3">
      <c r="A356" s="9"/>
      <c r="B356" s="9"/>
      <c r="C356" s="9"/>
      <c r="D356" s="9"/>
      <c r="E356" s="9"/>
      <c r="F356" s="9"/>
      <c r="G356" s="9"/>
      <c r="H356" s="9"/>
    </row>
    <row r="357" spans="1:8" x14ac:dyDescent="0.3">
      <c r="A357" s="9"/>
      <c r="B357" s="9"/>
      <c r="C357" s="9"/>
      <c r="D357" s="9"/>
      <c r="E357" s="9"/>
      <c r="F357" s="9"/>
      <c r="G357" s="9"/>
      <c r="H357" s="9"/>
    </row>
    <row r="358" spans="1:8" x14ac:dyDescent="0.3">
      <c r="A358" s="9"/>
      <c r="B358" s="9"/>
      <c r="C358" s="9"/>
      <c r="D358" s="9"/>
      <c r="E358" s="9"/>
      <c r="F358" s="9"/>
      <c r="G358" s="9"/>
      <c r="H358" s="9"/>
    </row>
    <row r="359" spans="1:8" x14ac:dyDescent="0.3">
      <c r="A359" s="9"/>
      <c r="B359" s="9"/>
      <c r="C359" s="9"/>
      <c r="D359" s="9"/>
      <c r="E359" s="9"/>
      <c r="F359" s="9"/>
      <c r="G359" s="9"/>
      <c r="H359" s="9"/>
    </row>
    <row r="360" spans="1:8" x14ac:dyDescent="0.3">
      <c r="A360" s="9"/>
      <c r="B360" s="9"/>
      <c r="C360" s="9"/>
      <c r="D360" s="9"/>
      <c r="E360" s="9"/>
      <c r="F360" s="9"/>
      <c r="G360" s="9"/>
      <c r="H360" s="9"/>
    </row>
    <row r="361" spans="1:8" x14ac:dyDescent="0.3">
      <c r="A361" s="9"/>
      <c r="B361" s="9"/>
      <c r="C361" s="9"/>
      <c r="D361" s="9"/>
      <c r="E361" s="9"/>
      <c r="F361" s="9"/>
      <c r="G361" s="9"/>
      <c r="H361" s="9"/>
    </row>
    <row r="362" spans="1:8" x14ac:dyDescent="0.3">
      <c r="A362" s="9"/>
      <c r="B362" s="9"/>
      <c r="C362" s="9"/>
      <c r="D362" s="9"/>
      <c r="E362" s="9"/>
      <c r="F362" s="9"/>
      <c r="G362" s="9"/>
      <c r="H362" s="9"/>
    </row>
    <row r="363" spans="1:8" x14ac:dyDescent="0.3">
      <c r="A363" s="9"/>
      <c r="B363" s="9"/>
      <c r="C363" s="9"/>
      <c r="D363" s="9"/>
      <c r="E363" s="9"/>
      <c r="F363" s="9"/>
      <c r="G363" s="9"/>
      <c r="H363" s="9"/>
    </row>
    <row r="364" spans="1:8" x14ac:dyDescent="0.3">
      <c r="A364" s="9"/>
      <c r="B364" s="9"/>
      <c r="C364" s="9"/>
      <c r="D364" s="9"/>
      <c r="E364" s="9"/>
      <c r="F364" s="9"/>
      <c r="G364" s="9"/>
      <c r="H364" s="9"/>
    </row>
    <row r="365" spans="1:8" x14ac:dyDescent="0.3">
      <c r="A365" s="9"/>
      <c r="B365" s="9"/>
      <c r="C365" s="9"/>
      <c r="D365" s="9"/>
      <c r="E365" s="9"/>
      <c r="F365" s="9"/>
      <c r="G365" s="9"/>
      <c r="H365" s="9"/>
    </row>
    <row r="366" spans="1:8" x14ac:dyDescent="0.3">
      <c r="A366" s="9"/>
      <c r="B366" s="9"/>
      <c r="C366" s="9"/>
      <c r="D366" s="9"/>
      <c r="E366" s="9"/>
      <c r="F366" s="9"/>
      <c r="G366" s="9"/>
      <c r="H366" s="9"/>
    </row>
    <row r="367" spans="1:8" x14ac:dyDescent="0.3">
      <c r="A367" s="9"/>
      <c r="B367" s="9"/>
      <c r="C367" s="9"/>
      <c r="D367" s="9"/>
      <c r="E367" s="9"/>
      <c r="F367" s="9"/>
      <c r="G367" s="9"/>
      <c r="H367" s="9"/>
    </row>
    <row r="368" spans="1:8" x14ac:dyDescent="0.3">
      <c r="A368" s="9"/>
      <c r="B368" s="9"/>
      <c r="C368" s="9"/>
      <c r="D368" s="9"/>
      <c r="E368" s="9"/>
      <c r="F368" s="9"/>
      <c r="G368" s="9"/>
      <c r="H368" s="9"/>
    </row>
    <row r="369" spans="1:8" x14ac:dyDescent="0.3">
      <c r="A369" s="9"/>
      <c r="B369" s="9"/>
      <c r="C369" s="9"/>
      <c r="D369" s="9"/>
      <c r="E369" s="9"/>
      <c r="F369" s="9"/>
      <c r="G369" s="9"/>
      <c r="H369" s="9"/>
    </row>
    <row r="370" spans="1:8" x14ac:dyDescent="0.3">
      <c r="A370" s="9"/>
      <c r="B370" s="9"/>
      <c r="C370" s="9"/>
      <c r="D370" s="9"/>
      <c r="E370" s="9"/>
      <c r="F370" s="9"/>
      <c r="G370" s="9"/>
      <c r="H370" s="9"/>
    </row>
    <row r="371" spans="1:8" x14ac:dyDescent="0.3">
      <c r="A371" s="9"/>
      <c r="B371" s="9"/>
      <c r="C371" s="9"/>
      <c r="D371" s="9"/>
      <c r="E371" s="9"/>
      <c r="F371" s="9"/>
      <c r="G371" s="9"/>
      <c r="H371" s="9"/>
    </row>
    <row r="372" spans="1:8" x14ac:dyDescent="0.3">
      <c r="A372" s="9"/>
      <c r="B372" s="9"/>
      <c r="C372" s="9"/>
      <c r="D372" s="9"/>
      <c r="E372" s="9"/>
      <c r="F372" s="9"/>
      <c r="G372" s="9"/>
      <c r="H372" s="9"/>
    </row>
    <row r="373" spans="1:8" x14ac:dyDescent="0.3">
      <c r="A373" s="9"/>
      <c r="B373" s="9"/>
      <c r="C373" s="9"/>
      <c r="D373" s="9"/>
      <c r="E373" s="9"/>
      <c r="F373" s="9"/>
      <c r="G373" s="9"/>
      <c r="H373" s="9"/>
    </row>
    <row r="374" spans="1:8" x14ac:dyDescent="0.3">
      <c r="A374" s="9"/>
      <c r="B374" s="9"/>
      <c r="C374" s="9"/>
      <c r="D374" s="9"/>
      <c r="E374" s="9"/>
      <c r="F374" s="9"/>
      <c r="G374" s="9"/>
      <c r="H374" s="9"/>
    </row>
    <row r="375" spans="1:8" x14ac:dyDescent="0.3">
      <c r="A375" s="9"/>
      <c r="B375" s="9"/>
      <c r="C375" s="9"/>
      <c r="D375" s="9"/>
      <c r="E375" s="9"/>
      <c r="F375" s="9"/>
      <c r="G375" s="9"/>
      <c r="H375" s="9"/>
    </row>
    <row r="376" spans="1:8" x14ac:dyDescent="0.3">
      <c r="A376" s="9"/>
      <c r="B376" s="9"/>
      <c r="C376" s="9"/>
      <c r="D376" s="9"/>
      <c r="E376" s="9"/>
      <c r="F376" s="9"/>
      <c r="G376" s="9"/>
      <c r="H376" s="9"/>
    </row>
    <row r="377" spans="1:8" x14ac:dyDescent="0.3">
      <c r="A377" s="9"/>
      <c r="B377" s="9"/>
      <c r="C377" s="9"/>
      <c r="D377" s="9"/>
      <c r="E377" s="9"/>
      <c r="F377" s="9"/>
      <c r="G377" s="9"/>
      <c r="H377" s="9"/>
    </row>
    <row r="378" spans="1:8" x14ac:dyDescent="0.3">
      <c r="A378" s="9"/>
      <c r="B378" s="9"/>
      <c r="C378" s="9"/>
      <c r="D378" s="9"/>
      <c r="E378" s="9"/>
      <c r="F378" s="9"/>
      <c r="G378" s="9"/>
      <c r="H378" s="9"/>
    </row>
    <row r="379" spans="1:8" x14ac:dyDescent="0.3">
      <c r="A379" s="9"/>
      <c r="B379" s="9"/>
      <c r="C379" s="9"/>
      <c r="D379" s="9"/>
      <c r="E379" s="9"/>
      <c r="F379" s="9"/>
      <c r="G379" s="9"/>
      <c r="H379" s="9"/>
    </row>
    <row r="380" spans="1:8" x14ac:dyDescent="0.3">
      <c r="A380" s="9"/>
      <c r="B380" s="9"/>
      <c r="C380" s="9"/>
      <c r="D380" s="9"/>
      <c r="E380" s="9"/>
      <c r="F380" s="9"/>
      <c r="G380" s="9"/>
      <c r="H380" s="9"/>
    </row>
    <row r="381" spans="1:8" x14ac:dyDescent="0.3">
      <c r="A381" s="9"/>
      <c r="B381" s="9"/>
      <c r="C381" s="9"/>
      <c r="D381" s="9"/>
      <c r="E381" s="9"/>
      <c r="F381" s="9"/>
      <c r="G381" s="9"/>
      <c r="H381" s="9"/>
    </row>
    <row r="382" spans="1:8" x14ac:dyDescent="0.3">
      <c r="A382" s="9"/>
      <c r="B382" s="9"/>
      <c r="C382" s="9"/>
      <c r="D382" s="9"/>
      <c r="E382" s="9"/>
      <c r="F382" s="9"/>
      <c r="G382" s="9"/>
      <c r="H382" s="9"/>
    </row>
    <row r="383" spans="1:8" x14ac:dyDescent="0.3">
      <c r="A383" s="9"/>
      <c r="B383" s="9"/>
      <c r="C383" s="9"/>
      <c r="D383" s="9"/>
      <c r="E383" s="9"/>
      <c r="F383" s="9"/>
      <c r="G383" s="9"/>
      <c r="H383" s="9"/>
    </row>
    <row r="384" spans="1:8" x14ac:dyDescent="0.3">
      <c r="A384" s="9"/>
      <c r="B384" s="9"/>
      <c r="C384" s="9"/>
      <c r="D384" s="9"/>
      <c r="E384" s="9"/>
      <c r="F384" s="9"/>
      <c r="G384" s="9"/>
      <c r="H384" s="9"/>
    </row>
    <row r="385" spans="1:8" x14ac:dyDescent="0.3">
      <c r="A385" s="9"/>
      <c r="B385" s="9"/>
      <c r="C385" s="9"/>
      <c r="D385" s="9"/>
      <c r="E385" s="9"/>
      <c r="F385" s="9"/>
      <c r="G385" s="9"/>
      <c r="H385" s="9"/>
    </row>
    <row r="386" spans="1:8" x14ac:dyDescent="0.3">
      <c r="A386" s="9"/>
      <c r="B386" s="9"/>
      <c r="C386" s="9"/>
      <c r="D386" s="9"/>
      <c r="E386" s="9"/>
      <c r="F386" s="9"/>
      <c r="G386" s="9"/>
      <c r="H386" s="9"/>
    </row>
    <row r="387" spans="1:8" x14ac:dyDescent="0.3">
      <c r="A387" s="9"/>
      <c r="B387" s="9"/>
      <c r="C387" s="9"/>
      <c r="D387" s="9"/>
      <c r="E387" s="9"/>
      <c r="F387" s="9"/>
      <c r="G387" s="9"/>
      <c r="H387" s="9"/>
    </row>
    <row r="388" spans="1:8" x14ac:dyDescent="0.3">
      <c r="A388" s="9"/>
      <c r="B388" s="9"/>
      <c r="C388" s="9"/>
      <c r="D388" s="9"/>
      <c r="E388" s="9"/>
      <c r="F388" s="9"/>
      <c r="G388" s="9"/>
      <c r="H388" s="9"/>
    </row>
    <row r="389" spans="1:8" x14ac:dyDescent="0.3">
      <c r="A389" s="9"/>
      <c r="B389" s="9"/>
      <c r="C389" s="9"/>
      <c r="D389" s="9"/>
      <c r="E389" s="9"/>
      <c r="F389" s="9"/>
      <c r="G389" s="9"/>
      <c r="H389" s="9"/>
    </row>
    <row r="390" spans="1:8" x14ac:dyDescent="0.3">
      <c r="A390" s="9"/>
      <c r="B390" s="9"/>
      <c r="C390" s="9"/>
      <c r="D390" s="9"/>
      <c r="E390" s="9"/>
      <c r="F390" s="9"/>
      <c r="G390" s="9"/>
      <c r="H390" s="9"/>
    </row>
    <row r="391" spans="1:8" x14ac:dyDescent="0.3">
      <c r="A391" s="9"/>
      <c r="B391" s="9"/>
      <c r="C391" s="9"/>
      <c r="D391" s="9"/>
      <c r="E391" s="9"/>
      <c r="F391" s="9"/>
      <c r="G391" s="9"/>
      <c r="H391" s="9"/>
    </row>
    <row r="392" spans="1:8" x14ac:dyDescent="0.3">
      <c r="A392" s="9"/>
      <c r="B392" s="9"/>
      <c r="C392" s="9"/>
      <c r="D392" s="9"/>
      <c r="E392" s="9"/>
      <c r="F392" s="9"/>
      <c r="G392" s="9"/>
      <c r="H392" s="9"/>
    </row>
    <row r="393" spans="1:8" x14ac:dyDescent="0.3">
      <c r="A393" s="9"/>
      <c r="B393" s="9"/>
      <c r="C393" s="9"/>
      <c r="D393" s="9"/>
      <c r="E393" s="9"/>
      <c r="F393" s="9"/>
      <c r="G393" s="9"/>
      <c r="H393" s="9"/>
    </row>
    <row r="394" spans="1:8" x14ac:dyDescent="0.3">
      <c r="A394" s="9"/>
      <c r="B394" s="9"/>
      <c r="C394" s="9"/>
      <c r="D394" s="9"/>
      <c r="E394" s="9"/>
      <c r="F394" s="9"/>
      <c r="G394" s="9"/>
      <c r="H394" s="9"/>
    </row>
    <row r="395" spans="1:8" x14ac:dyDescent="0.3">
      <c r="A395" s="9"/>
      <c r="B395" s="9"/>
      <c r="C395" s="9"/>
      <c r="D395" s="9"/>
      <c r="E395" s="9"/>
      <c r="F395" s="9"/>
      <c r="G395" s="9"/>
      <c r="H395" s="9"/>
    </row>
    <row r="396" spans="1:8" x14ac:dyDescent="0.3">
      <c r="A396" s="9"/>
      <c r="B396" s="9"/>
      <c r="C396" s="9"/>
      <c r="D396" s="9"/>
      <c r="E396" s="9"/>
      <c r="F396" s="9"/>
      <c r="G396" s="9"/>
      <c r="H396" s="9"/>
    </row>
    <row r="397" spans="1:8" x14ac:dyDescent="0.3">
      <c r="A397" s="9"/>
      <c r="B397" s="9"/>
      <c r="C397" s="9"/>
      <c r="D397" s="9"/>
      <c r="E397" s="9"/>
      <c r="F397" s="9"/>
      <c r="G397" s="9"/>
      <c r="H397" s="9"/>
    </row>
    <row r="398" spans="1:8" x14ac:dyDescent="0.3">
      <c r="A398" s="9"/>
      <c r="B398" s="9"/>
      <c r="C398" s="9"/>
      <c r="D398" s="9"/>
      <c r="E398" s="9"/>
      <c r="F398" s="9"/>
      <c r="G398" s="9"/>
      <c r="H398" s="9"/>
    </row>
    <row r="399" spans="1:8" x14ac:dyDescent="0.3">
      <c r="A399" s="9"/>
      <c r="B399" s="9"/>
      <c r="C399" s="9"/>
      <c r="D399" s="9"/>
      <c r="E399" s="9"/>
      <c r="F399" s="9"/>
      <c r="G399" s="9"/>
      <c r="H399" s="9"/>
    </row>
    <row r="400" spans="1:8" x14ac:dyDescent="0.3">
      <c r="A400" s="9"/>
      <c r="B400" s="9"/>
      <c r="C400" s="9"/>
      <c r="D400" s="9"/>
      <c r="E400" s="9"/>
      <c r="F400" s="9"/>
      <c r="G400" s="9"/>
      <c r="H400" s="9"/>
    </row>
    <row r="401" spans="1:8" x14ac:dyDescent="0.3">
      <c r="A401" s="9"/>
      <c r="B401" s="9"/>
      <c r="C401" s="9"/>
      <c r="D401" s="9"/>
      <c r="E401" s="9"/>
      <c r="F401" s="9"/>
      <c r="G401" s="9"/>
      <c r="H401" s="9"/>
    </row>
    <row r="402" spans="1:8" x14ac:dyDescent="0.3">
      <c r="A402" s="9"/>
      <c r="B402" s="9"/>
      <c r="C402" s="9"/>
      <c r="D402" s="9"/>
      <c r="E402" s="9"/>
      <c r="F402" s="9"/>
      <c r="G402" s="9"/>
      <c r="H402" s="9"/>
    </row>
    <row r="403" spans="1:8" x14ac:dyDescent="0.3">
      <c r="A403" s="9"/>
      <c r="B403" s="9"/>
      <c r="C403" s="9"/>
      <c r="D403" s="9"/>
      <c r="E403" s="9"/>
      <c r="F403" s="9"/>
      <c r="G403" s="9"/>
      <c r="H403" s="9"/>
    </row>
    <row r="404" spans="1:8" x14ac:dyDescent="0.3">
      <c r="A404" s="9"/>
      <c r="B404" s="9"/>
      <c r="C404" s="9"/>
      <c r="D404" s="9"/>
      <c r="E404" s="9"/>
      <c r="F404" s="9"/>
      <c r="G404" s="9"/>
      <c r="H404" s="9"/>
    </row>
    <row r="405" spans="1:8" x14ac:dyDescent="0.3">
      <c r="A405" s="9"/>
      <c r="B405" s="9"/>
      <c r="C405" s="9"/>
      <c r="D405" s="9"/>
      <c r="E405" s="9"/>
      <c r="F405" s="9"/>
      <c r="G405" s="9"/>
      <c r="H405" s="9"/>
    </row>
    <row r="406" spans="1:8" x14ac:dyDescent="0.3">
      <c r="A406" s="9"/>
      <c r="B406" s="9"/>
      <c r="C406" s="9"/>
      <c r="D406" s="9"/>
      <c r="E406" s="9"/>
      <c r="F406" s="9"/>
      <c r="G406" s="9"/>
      <c r="H406" s="9"/>
    </row>
    <row r="407" spans="1:8" x14ac:dyDescent="0.3">
      <c r="A407" s="9"/>
      <c r="B407" s="9"/>
      <c r="C407" s="9"/>
      <c r="D407" s="9"/>
      <c r="E407" s="9"/>
      <c r="F407" s="9"/>
      <c r="G407" s="9"/>
      <c r="H407" s="9"/>
    </row>
    <row r="408" spans="1:8" x14ac:dyDescent="0.3">
      <c r="A408" s="9"/>
      <c r="B408" s="9"/>
      <c r="C408" s="9"/>
      <c r="D408" s="9"/>
      <c r="E408" s="9"/>
      <c r="F408" s="9"/>
      <c r="G408" s="9"/>
      <c r="H408" s="9"/>
    </row>
    <row r="409" spans="1:8" x14ac:dyDescent="0.3">
      <c r="A409" s="9"/>
      <c r="B409" s="9"/>
      <c r="C409" s="9"/>
      <c r="D409" s="9"/>
      <c r="E409" s="9"/>
      <c r="F409" s="9"/>
      <c r="G409" s="9"/>
      <c r="H409" s="9"/>
    </row>
    <row r="410" spans="1:8" x14ac:dyDescent="0.3">
      <c r="A410" s="9"/>
      <c r="B410" s="9"/>
      <c r="C410" s="9"/>
      <c r="D410" s="9"/>
      <c r="E410" s="9"/>
      <c r="F410" s="9"/>
      <c r="G410" s="9"/>
      <c r="H410" s="9"/>
    </row>
    <row r="411" spans="1:8" x14ac:dyDescent="0.3">
      <c r="A411" s="9"/>
      <c r="B411" s="9"/>
      <c r="C411" s="9"/>
      <c r="D411" s="9"/>
      <c r="E411" s="9"/>
      <c r="F411" s="9"/>
      <c r="G411" s="9"/>
      <c r="H411" s="9"/>
    </row>
    <row r="412" spans="1:8" x14ac:dyDescent="0.3">
      <c r="A412" s="9"/>
      <c r="B412" s="9"/>
      <c r="C412" s="9"/>
      <c r="D412" s="9"/>
      <c r="E412" s="9"/>
      <c r="F412" s="9"/>
      <c r="G412" s="9"/>
      <c r="H412" s="9"/>
    </row>
  </sheetData>
  <mergeCells count="8">
    <mergeCell ref="A1:H1"/>
    <mergeCell ref="A3:B3"/>
    <mergeCell ref="C3:C4"/>
    <mergeCell ref="D3:D4"/>
    <mergeCell ref="E3:E4"/>
    <mergeCell ref="F3:F4"/>
    <mergeCell ref="G3:G4"/>
    <mergeCell ref="H3:H4"/>
  </mergeCells>
  <phoneticPr fontId="5" type="noConversion"/>
  <pageMargins left="0.7" right="0.7" top="0.75" bottom="0.75" header="0.3" footer="0.3"/>
  <pageSetup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74E27-07B2-4B75-817D-624CFDE25391}">
  <dimension ref="A1:I412"/>
  <sheetViews>
    <sheetView topLeftCell="B1" zoomScale="70" zoomScaleNormal="70" workbookViewId="0">
      <pane ySplit="4" topLeftCell="A144" activePane="bottomLeft" state="frozen"/>
      <selection pane="bottomLeft" activeCell="F152" sqref="F152"/>
    </sheetView>
  </sheetViews>
  <sheetFormatPr defaultRowHeight="20.25" x14ac:dyDescent="0.3"/>
  <cols>
    <col min="1" max="2" width="20.7109375" style="1" customWidth="1"/>
    <col min="3" max="3" width="15.7109375" style="1" customWidth="1"/>
    <col min="4" max="4" width="102.28515625" style="1" customWidth="1"/>
    <col min="5" max="5" width="145.5703125" style="1" customWidth="1"/>
    <col min="6" max="6" width="80.7109375" style="1" customWidth="1"/>
    <col min="7" max="7" width="109.140625" style="1" customWidth="1"/>
    <col min="8" max="8" width="80.7109375" style="1" customWidth="1"/>
    <col min="9" max="9" width="45.7109375" style="1" customWidth="1"/>
    <col min="10" max="16384" width="9.140625" style="1"/>
  </cols>
  <sheetData>
    <row r="1" spans="1:9" ht="30" x14ac:dyDescent="0.4">
      <c r="A1" s="109" t="s">
        <v>110</v>
      </c>
      <c r="B1" s="109"/>
      <c r="C1" s="109"/>
      <c r="D1" s="109"/>
      <c r="E1" s="109"/>
      <c r="F1" s="109"/>
      <c r="G1" s="109"/>
      <c r="H1" s="109"/>
      <c r="I1" s="109"/>
    </row>
    <row r="3" spans="1:9" x14ac:dyDescent="0.3">
      <c r="A3" s="110" t="s">
        <v>1</v>
      </c>
      <c r="B3" s="110"/>
      <c r="C3" s="110" t="s">
        <v>4</v>
      </c>
      <c r="D3" s="110" t="s">
        <v>202</v>
      </c>
      <c r="E3" s="114" t="s">
        <v>8</v>
      </c>
      <c r="F3" s="110" t="s">
        <v>103</v>
      </c>
      <c r="G3" s="114" t="s">
        <v>203</v>
      </c>
      <c r="H3" s="110" t="s">
        <v>104</v>
      </c>
      <c r="I3" s="110" t="s">
        <v>11</v>
      </c>
    </row>
    <row r="4" spans="1:9" x14ac:dyDescent="0.3">
      <c r="A4" s="4" t="s">
        <v>2</v>
      </c>
      <c r="B4" s="4" t="s">
        <v>3</v>
      </c>
      <c r="C4" s="110"/>
      <c r="D4" s="110"/>
      <c r="E4" s="115"/>
      <c r="F4" s="110"/>
      <c r="G4" s="115"/>
      <c r="H4" s="110"/>
      <c r="I4" s="110"/>
    </row>
    <row r="5" spans="1:9" ht="30" customHeight="1" x14ac:dyDescent="0.3">
      <c r="A5" s="7" t="s">
        <v>191</v>
      </c>
      <c r="B5" s="8"/>
      <c r="C5" s="8"/>
      <c r="D5" s="31" t="s">
        <v>196</v>
      </c>
      <c r="E5" s="31" t="s">
        <v>204</v>
      </c>
      <c r="F5" s="36">
        <v>15000</v>
      </c>
      <c r="G5" s="36" t="s">
        <v>205</v>
      </c>
      <c r="H5" s="23" t="s">
        <v>197</v>
      </c>
      <c r="I5" s="9" t="s">
        <v>155</v>
      </c>
    </row>
    <row r="6" spans="1:9" ht="30" customHeight="1" x14ac:dyDescent="0.3">
      <c r="A6" s="7"/>
      <c r="B6" s="8"/>
      <c r="C6" s="8"/>
      <c r="D6" s="31" t="s">
        <v>198</v>
      </c>
      <c r="E6" s="31" t="s">
        <v>207</v>
      </c>
      <c r="F6" s="36">
        <v>1000000</v>
      </c>
      <c r="G6" s="36" t="s">
        <v>209</v>
      </c>
      <c r="H6" s="23" t="s">
        <v>199</v>
      </c>
      <c r="I6" s="9" t="s">
        <v>165</v>
      </c>
    </row>
    <row r="7" spans="1:9" ht="30" customHeight="1" x14ac:dyDescent="0.3">
      <c r="A7" s="8"/>
      <c r="B7" s="23"/>
      <c r="C7" s="8"/>
      <c r="D7" s="31" t="s">
        <v>212</v>
      </c>
      <c r="E7" s="31" t="s">
        <v>206</v>
      </c>
      <c r="F7" s="36">
        <v>33755</v>
      </c>
      <c r="G7" s="36" t="s">
        <v>209</v>
      </c>
      <c r="H7" s="23" t="s">
        <v>200</v>
      </c>
      <c r="I7" s="9" t="s">
        <v>155</v>
      </c>
    </row>
    <row r="8" spans="1:9" ht="30" customHeight="1" x14ac:dyDescent="0.3">
      <c r="A8" s="8"/>
      <c r="B8" s="23"/>
      <c r="C8" s="8"/>
      <c r="D8" s="31" t="s">
        <v>201</v>
      </c>
      <c r="E8" s="31" t="s">
        <v>208</v>
      </c>
      <c r="F8" s="36">
        <v>19800</v>
      </c>
      <c r="G8" s="36" t="s">
        <v>210</v>
      </c>
      <c r="H8" s="23" t="s">
        <v>211</v>
      </c>
      <c r="I8" s="9" t="s">
        <v>155</v>
      </c>
    </row>
    <row r="9" spans="1:9" ht="30" customHeight="1" x14ac:dyDescent="0.3">
      <c r="A9" s="7"/>
      <c r="B9" s="23"/>
      <c r="C9" s="8"/>
      <c r="D9" s="47" t="s">
        <v>213</v>
      </c>
      <c r="E9" s="38" t="s">
        <v>206</v>
      </c>
      <c r="F9" s="33">
        <v>152300</v>
      </c>
      <c r="G9" s="36" t="s">
        <v>210</v>
      </c>
      <c r="H9" s="23" t="s">
        <v>200</v>
      </c>
      <c r="I9" s="9" t="s">
        <v>155</v>
      </c>
    </row>
    <row r="10" spans="1:9" s="26" customFormat="1" ht="30" customHeight="1" x14ac:dyDescent="0.3">
      <c r="A10" s="14"/>
      <c r="B10" s="23"/>
      <c r="C10" s="8"/>
      <c r="D10" s="39" t="s">
        <v>201</v>
      </c>
      <c r="E10" s="39" t="s">
        <v>216</v>
      </c>
      <c r="F10" s="42">
        <v>77900</v>
      </c>
      <c r="G10" s="24" t="s">
        <v>214</v>
      </c>
      <c r="H10" s="24" t="s">
        <v>215</v>
      </c>
      <c r="I10" s="20" t="s">
        <v>155</v>
      </c>
    </row>
    <row r="11" spans="1:9" ht="30" customHeight="1" x14ac:dyDescent="0.3">
      <c r="A11" s="8"/>
      <c r="B11" s="8"/>
      <c r="C11" s="8"/>
      <c r="D11" s="38" t="s">
        <v>201</v>
      </c>
      <c r="E11" s="38" t="s">
        <v>217</v>
      </c>
      <c r="F11" s="33">
        <v>28400</v>
      </c>
      <c r="G11" s="24" t="s">
        <v>214</v>
      </c>
      <c r="H11" s="23" t="s">
        <v>215</v>
      </c>
      <c r="I11" s="20" t="s">
        <v>155</v>
      </c>
    </row>
    <row r="12" spans="1:9" ht="30" customHeight="1" x14ac:dyDescent="0.3">
      <c r="A12" s="8"/>
      <c r="B12" s="8"/>
      <c r="C12" s="8"/>
      <c r="D12" s="38" t="s">
        <v>218</v>
      </c>
      <c r="E12" s="38" t="s">
        <v>219</v>
      </c>
      <c r="F12" s="33">
        <v>2837400</v>
      </c>
      <c r="G12" s="23" t="s">
        <v>220</v>
      </c>
      <c r="H12" s="23" t="s">
        <v>221</v>
      </c>
      <c r="I12" s="9" t="s">
        <v>165</v>
      </c>
    </row>
    <row r="13" spans="1:9" ht="30" customHeight="1" x14ac:dyDescent="0.3">
      <c r="A13" s="8"/>
      <c r="B13" s="8"/>
      <c r="C13" s="8"/>
      <c r="D13" s="47" t="s">
        <v>222</v>
      </c>
      <c r="E13" s="38" t="s">
        <v>223</v>
      </c>
      <c r="F13" s="33">
        <v>22080</v>
      </c>
      <c r="G13" s="23" t="s">
        <v>214</v>
      </c>
      <c r="H13" s="23" t="s">
        <v>215</v>
      </c>
      <c r="I13" s="20" t="s">
        <v>155</v>
      </c>
    </row>
    <row r="14" spans="1:9" ht="30" customHeight="1" x14ac:dyDescent="0.3">
      <c r="A14" s="8"/>
      <c r="B14" s="8"/>
      <c r="C14" s="8"/>
      <c r="D14" s="38" t="s">
        <v>224</v>
      </c>
      <c r="E14" s="38" t="s">
        <v>219</v>
      </c>
      <c r="F14" s="33">
        <v>27000</v>
      </c>
      <c r="G14" s="23" t="s">
        <v>225</v>
      </c>
      <c r="H14" s="23" t="s">
        <v>221</v>
      </c>
      <c r="I14" s="9" t="s">
        <v>165</v>
      </c>
    </row>
    <row r="15" spans="1:9" ht="30" customHeight="1" x14ac:dyDescent="0.3">
      <c r="A15" s="8"/>
      <c r="B15" s="8"/>
      <c r="C15" s="8"/>
      <c r="D15" s="38" t="s">
        <v>226</v>
      </c>
      <c r="E15" s="38" t="s">
        <v>227</v>
      </c>
      <c r="F15" s="33">
        <v>82920</v>
      </c>
      <c r="G15" s="23" t="s">
        <v>228</v>
      </c>
      <c r="H15" s="23" t="s">
        <v>229</v>
      </c>
      <c r="I15" s="9" t="s">
        <v>165</v>
      </c>
    </row>
    <row r="16" spans="1:9" ht="30" customHeight="1" x14ac:dyDescent="0.3">
      <c r="A16" s="8"/>
      <c r="B16" s="8"/>
      <c r="C16" s="8"/>
      <c r="D16" s="38" t="s">
        <v>230</v>
      </c>
      <c r="E16" s="38" t="s">
        <v>231</v>
      </c>
      <c r="F16" s="33">
        <v>74790</v>
      </c>
      <c r="G16" s="23" t="s">
        <v>228</v>
      </c>
      <c r="H16" s="23" t="s">
        <v>229</v>
      </c>
      <c r="I16" s="9" t="s">
        <v>165</v>
      </c>
    </row>
    <row r="17" spans="1:9" ht="30" customHeight="1" x14ac:dyDescent="0.3">
      <c r="A17" s="8"/>
      <c r="B17" s="8"/>
      <c r="C17" s="8"/>
      <c r="D17" s="38" t="s">
        <v>232</v>
      </c>
      <c r="E17" s="38" t="s">
        <v>233</v>
      </c>
      <c r="F17" s="33">
        <v>16600</v>
      </c>
      <c r="G17" s="23" t="s">
        <v>234</v>
      </c>
      <c r="H17" s="23" t="s">
        <v>235</v>
      </c>
      <c r="I17" s="9" t="s">
        <v>155</v>
      </c>
    </row>
    <row r="18" spans="1:9" ht="30" customHeight="1" x14ac:dyDescent="0.3">
      <c r="A18" s="8"/>
      <c r="B18" s="8"/>
      <c r="C18" s="8"/>
      <c r="D18" s="38" t="s">
        <v>237</v>
      </c>
      <c r="E18" s="38" t="s">
        <v>238</v>
      </c>
      <c r="F18" s="33">
        <v>22300</v>
      </c>
      <c r="G18" s="23" t="s">
        <v>236</v>
      </c>
      <c r="H18" s="23" t="s">
        <v>235</v>
      </c>
      <c r="I18" s="9" t="s">
        <v>155</v>
      </c>
    </row>
    <row r="19" spans="1:9" ht="30" customHeight="1" x14ac:dyDescent="0.3">
      <c r="A19" s="8" t="s">
        <v>462</v>
      </c>
      <c r="B19" s="8"/>
      <c r="C19" s="8"/>
      <c r="D19" s="38" t="s">
        <v>463</v>
      </c>
      <c r="E19" s="38" t="s">
        <v>464</v>
      </c>
      <c r="F19" s="33">
        <v>11955</v>
      </c>
      <c r="G19" s="23" t="s">
        <v>228</v>
      </c>
      <c r="H19" s="23"/>
      <c r="I19" s="9" t="s">
        <v>165</v>
      </c>
    </row>
    <row r="20" spans="1:9" ht="30" customHeight="1" x14ac:dyDescent="0.3">
      <c r="A20" s="8"/>
      <c r="B20" s="8"/>
      <c r="C20" s="8"/>
      <c r="D20" s="38" t="s">
        <v>465</v>
      </c>
      <c r="E20" s="38" t="s">
        <v>466</v>
      </c>
      <c r="F20" s="33">
        <v>58000</v>
      </c>
      <c r="G20" s="23" t="s">
        <v>228</v>
      </c>
      <c r="H20" s="23"/>
      <c r="I20" s="9" t="s">
        <v>165</v>
      </c>
    </row>
    <row r="21" spans="1:9" ht="30" customHeight="1" x14ac:dyDescent="0.3">
      <c r="A21" s="8"/>
      <c r="B21" s="8"/>
      <c r="C21" s="8"/>
      <c r="D21" s="38" t="s">
        <v>467</v>
      </c>
      <c r="E21" s="38" t="s">
        <v>468</v>
      </c>
      <c r="F21" s="33">
        <v>96414</v>
      </c>
      <c r="G21" s="23" t="s">
        <v>228</v>
      </c>
      <c r="H21" s="23"/>
      <c r="I21" s="9" t="s">
        <v>165</v>
      </c>
    </row>
    <row r="22" spans="1:9" ht="30" customHeight="1" x14ac:dyDescent="0.3">
      <c r="A22" s="8"/>
      <c r="B22" s="8"/>
      <c r="C22" s="8"/>
      <c r="D22" s="38" t="s">
        <v>469</v>
      </c>
      <c r="E22" s="38" t="s">
        <v>470</v>
      </c>
      <c r="F22" s="33" t="s">
        <v>471</v>
      </c>
      <c r="G22" s="23" t="s">
        <v>228</v>
      </c>
      <c r="H22" s="23"/>
      <c r="I22" s="9" t="s">
        <v>165</v>
      </c>
    </row>
    <row r="23" spans="1:9" ht="30" customHeight="1" x14ac:dyDescent="0.3">
      <c r="A23" s="8"/>
      <c r="B23" s="8"/>
      <c r="C23" s="8"/>
      <c r="D23" s="38" t="s">
        <v>485</v>
      </c>
      <c r="E23" s="38" t="s">
        <v>486</v>
      </c>
      <c r="F23" s="33">
        <v>143000</v>
      </c>
      <c r="G23" s="23" t="s">
        <v>228</v>
      </c>
      <c r="H23" s="23"/>
      <c r="I23" s="9" t="s">
        <v>165</v>
      </c>
    </row>
    <row r="24" spans="1:9" ht="30" customHeight="1" x14ac:dyDescent="0.3">
      <c r="A24" s="8" t="s">
        <v>697</v>
      </c>
      <c r="B24" s="8"/>
      <c r="C24" s="8"/>
      <c r="D24" s="38" t="s">
        <v>698</v>
      </c>
      <c r="E24" s="38" t="s">
        <v>924</v>
      </c>
      <c r="F24" s="33">
        <v>1749000</v>
      </c>
      <c r="G24" s="23"/>
      <c r="H24" s="23"/>
      <c r="I24" s="9" t="s">
        <v>165</v>
      </c>
    </row>
    <row r="25" spans="1:9" ht="30" customHeight="1" x14ac:dyDescent="0.3">
      <c r="A25" s="8" t="s">
        <v>920</v>
      </c>
      <c r="B25" s="8"/>
      <c r="C25" s="8"/>
      <c r="D25" s="38" t="s">
        <v>923</v>
      </c>
      <c r="E25" s="38" t="s">
        <v>925</v>
      </c>
      <c r="F25" s="33">
        <v>400000</v>
      </c>
      <c r="G25" s="23"/>
      <c r="H25" s="23"/>
      <c r="I25" s="9"/>
    </row>
    <row r="26" spans="1:9" ht="30" customHeight="1" x14ac:dyDescent="0.3">
      <c r="A26" s="8"/>
      <c r="B26" s="8"/>
      <c r="C26" s="8"/>
      <c r="D26" s="38" t="s">
        <v>926</v>
      </c>
      <c r="E26" s="38" t="s">
        <v>925</v>
      </c>
      <c r="F26" s="33">
        <v>899250</v>
      </c>
      <c r="G26" s="23"/>
      <c r="H26" s="23"/>
      <c r="I26" s="9"/>
    </row>
    <row r="27" spans="1:9" ht="30" customHeight="1" x14ac:dyDescent="0.3">
      <c r="A27" s="8"/>
      <c r="B27" s="8"/>
      <c r="C27" s="8"/>
      <c r="D27" s="38" t="s">
        <v>927</v>
      </c>
      <c r="E27" s="38" t="s">
        <v>928</v>
      </c>
      <c r="F27" s="33">
        <v>79600</v>
      </c>
      <c r="G27" s="23"/>
      <c r="H27" s="23"/>
      <c r="I27" s="9"/>
    </row>
    <row r="28" spans="1:9" ht="30" customHeight="1" x14ac:dyDescent="0.3">
      <c r="A28" s="8"/>
      <c r="B28" s="8"/>
      <c r="C28" s="8"/>
      <c r="D28" s="38" t="s">
        <v>929</v>
      </c>
      <c r="E28" s="38" t="s">
        <v>928</v>
      </c>
      <c r="F28" s="33">
        <v>11000</v>
      </c>
      <c r="G28" s="23"/>
      <c r="H28" s="23"/>
      <c r="I28" s="9"/>
    </row>
    <row r="29" spans="1:9" ht="30" customHeight="1" x14ac:dyDescent="0.3">
      <c r="A29" s="8"/>
      <c r="B29" s="8"/>
      <c r="C29" s="8"/>
      <c r="D29" s="38" t="s">
        <v>930</v>
      </c>
      <c r="E29" s="38" t="s">
        <v>928</v>
      </c>
      <c r="F29" s="43">
        <v>10000</v>
      </c>
      <c r="G29" s="21"/>
      <c r="H29" s="21"/>
      <c r="I29" s="9"/>
    </row>
    <row r="30" spans="1:9" ht="30" customHeight="1" x14ac:dyDescent="0.3">
      <c r="A30" s="8"/>
      <c r="B30" s="8"/>
      <c r="C30" s="8"/>
      <c r="D30" s="38" t="s">
        <v>201</v>
      </c>
      <c r="E30" s="38" t="s">
        <v>928</v>
      </c>
      <c r="F30" s="43">
        <v>141700</v>
      </c>
      <c r="G30" s="21"/>
      <c r="H30" s="21"/>
      <c r="I30" s="9"/>
    </row>
    <row r="31" spans="1:9" ht="30" customHeight="1" x14ac:dyDescent="0.3">
      <c r="A31" s="8"/>
      <c r="B31" s="8"/>
      <c r="C31" s="8"/>
      <c r="D31" s="38" t="s">
        <v>931</v>
      </c>
      <c r="E31" s="38" t="s">
        <v>932</v>
      </c>
      <c r="F31" s="43">
        <v>229500</v>
      </c>
      <c r="G31" s="21"/>
      <c r="H31" s="21"/>
      <c r="I31" s="9"/>
    </row>
    <row r="32" spans="1:9" ht="30" customHeight="1" x14ac:dyDescent="0.3">
      <c r="A32" s="8"/>
      <c r="B32" s="8"/>
      <c r="C32" s="8"/>
      <c r="D32" s="38" t="s">
        <v>933</v>
      </c>
      <c r="E32" s="38" t="s">
        <v>934</v>
      </c>
      <c r="F32" s="44">
        <v>3400</v>
      </c>
      <c r="G32" s="25"/>
      <c r="H32" s="25"/>
      <c r="I32" s="9"/>
    </row>
    <row r="33" spans="1:9" ht="30" customHeight="1" x14ac:dyDescent="0.3">
      <c r="A33" s="8"/>
      <c r="B33" s="8"/>
      <c r="C33" s="8"/>
      <c r="D33" s="38" t="s">
        <v>201</v>
      </c>
      <c r="E33" s="38" t="s">
        <v>935</v>
      </c>
      <c r="F33" s="43">
        <v>36000</v>
      </c>
      <c r="G33" s="21"/>
      <c r="H33" s="21"/>
      <c r="I33" s="9"/>
    </row>
    <row r="34" spans="1:9" ht="30" customHeight="1" x14ac:dyDescent="0.3">
      <c r="A34" s="8"/>
      <c r="B34" s="8"/>
      <c r="C34" s="8"/>
      <c r="D34" s="38" t="s">
        <v>201</v>
      </c>
      <c r="E34" s="38" t="s">
        <v>936</v>
      </c>
      <c r="F34" s="43">
        <v>333050</v>
      </c>
      <c r="G34" s="21"/>
      <c r="H34" s="21"/>
      <c r="I34" s="9"/>
    </row>
    <row r="35" spans="1:9" ht="30" customHeight="1" x14ac:dyDescent="0.3">
      <c r="A35" s="8"/>
      <c r="B35" s="8"/>
      <c r="C35" s="8"/>
      <c r="D35" s="38" t="s">
        <v>937</v>
      </c>
      <c r="E35" s="38" t="s">
        <v>938</v>
      </c>
      <c r="F35" s="43">
        <v>99870</v>
      </c>
      <c r="G35" s="21"/>
      <c r="H35" s="21"/>
      <c r="I35" s="9"/>
    </row>
    <row r="36" spans="1:9" ht="30" customHeight="1" x14ac:dyDescent="0.3">
      <c r="A36" s="8"/>
      <c r="B36" s="8"/>
      <c r="C36" s="8"/>
      <c r="D36" s="38" t="s">
        <v>201</v>
      </c>
      <c r="E36" s="38" t="s">
        <v>939</v>
      </c>
      <c r="F36" s="43">
        <v>108800</v>
      </c>
      <c r="G36" s="21"/>
      <c r="H36" s="21"/>
      <c r="I36" s="9"/>
    </row>
    <row r="37" spans="1:9" ht="30" customHeight="1" x14ac:dyDescent="0.3">
      <c r="A37" s="8"/>
      <c r="B37" s="8"/>
      <c r="C37" s="8"/>
      <c r="D37" s="38" t="s">
        <v>201</v>
      </c>
      <c r="E37" s="38" t="s">
        <v>940</v>
      </c>
      <c r="F37" s="43">
        <v>60800</v>
      </c>
      <c r="G37" s="21"/>
      <c r="H37" s="21"/>
      <c r="I37" s="9"/>
    </row>
    <row r="38" spans="1:9" ht="30" customHeight="1" x14ac:dyDescent="0.3">
      <c r="A38" s="8"/>
      <c r="B38" s="8"/>
      <c r="C38" s="8"/>
      <c r="D38" s="38" t="s">
        <v>941</v>
      </c>
      <c r="E38" s="38" t="s">
        <v>942</v>
      </c>
      <c r="F38" s="43">
        <v>2000</v>
      </c>
      <c r="G38" s="21"/>
      <c r="H38" s="21"/>
      <c r="I38" s="9"/>
    </row>
    <row r="39" spans="1:9" ht="30" customHeight="1" x14ac:dyDescent="0.3">
      <c r="A39" s="8"/>
      <c r="B39" s="8"/>
      <c r="C39" s="8"/>
      <c r="D39" s="38" t="s">
        <v>943</v>
      </c>
      <c r="E39" s="38" t="s">
        <v>944</v>
      </c>
      <c r="F39" s="43">
        <v>29998</v>
      </c>
      <c r="G39" s="21"/>
      <c r="H39" s="21"/>
      <c r="I39" s="9"/>
    </row>
    <row r="40" spans="1:9" ht="30" customHeight="1" x14ac:dyDescent="0.3">
      <c r="A40" s="8"/>
      <c r="B40" s="8"/>
      <c r="C40" s="8"/>
      <c r="D40" s="38" t="s">
        <v>201</v>
      </c>
      <c r="E40" s="38" t="s">
        <v>945</v>
      </c>
      <c r="F40" s="43">
        <v>39800</v>
      </c>
      <c r="G40" s="21"/>
      <c r="H40" s="21"/>
      <c r="I40" s="9"/>
    </row>
    <row r="41" spans="1:9" ht="30" customHeight="1" x14ac:dyDescent="0.3">
      <c r="A41" s="8"/>
      <c r="B41" s="8"/>
      <c r="C41" s="8"/>
      <c r="D41" s="38" t="s">
        <v>946</v>
      </c>
      <c r="E41" s="38" t="s">
        <v>947</v>
      </c>
      <c r="F41" s="43">
        <v>48400</v>
      </c>
      <c r="G41" s="21"/>
      <c r="H41" s="21"/>
      <c r="I41" s="9"/>
    </row>
    <row r="42" spans="1:9" ht="30" customHeight="1" x14ac:dyDescent="0.3">
      <c r="A42" s="8"/>
      <c r="B42" s="8"/>
      <c r="C42" s="8"/>
      <c r="D42" s="38" t="s">
        <v>952</v>
      </c>
      <c r="E42" s="38" t="s">
        <v>953</v>
      </c>
      <c r="F42" s="43">
        <v>18300</v>
      </c>
      <c r="G42" s="21"/>
      <c r="H42" s="21"/>
      <c r="I42" s="9"/>
    </row>
    <row r="43" spans="1:9" ht="30" customHeight="1" x14ac:dyDescent="0.3">
      <c r="A43" s="8"/>
      <c r="B43" s="8"/>
      <c r="C43" s="8"/>
      <c r="D43" s="47" t="s">
        <v>954</v>
      </c>
      <c r="E43" s="38" t="s">
        <v>955</v>
      </c>
      <c r="F43" s="43">
        <v>167700</v>
      </c>
      <c r="G43" s="21"/>
      <c r="H43" s="21"/>
      <c r="I43" s="9"/>
    </row>
    <row r="44" spans="1:9" ht="30" customHeight="1" x14ac:dyDescent="0.3">
      <c r="A44" s="8"/>
      <c r="B44" s="8"/>
      <c r="C44" s="8"/>
      <c r="D44" s="38" t="s">
        <v>956</v>
      </c>
      <c r="E44" s="38" t="s">
        <v>957</v>
      </c>
      <c r="F44" s="43">
        <v>53900</v>
      </c>
      <c r="G44" s="21"/>
      <c r="H44" s="21"/>
      <c r="I44" s="9"/>
    </row>
    <row r="45" spans="1:9" ht="30" customHeight="1" x14ac:dyDescent="0.3">
      <c r="A45" s="8"/>
      <c r="B45" s="8"/>
      <c r="C45" s="8"/>
      <c r="D45" s="38" t="s">
        <v>956</v>
      </c>
      <c r="E45" s="47" t="s">
        <v>958</v>
      </c>
      <c r="F45" s="43">
        <v>24500</v>
      </c>
      <c r="G45" s="21"/>
      <c r="H45" s="21"/>
      <c r="I45" s="9"/>
    </row>
    <row r="46" spans="1:9" ht="30" customHeight="1" x14ac:dyDescent="0.3">
      <c r="A46" s="8"/>
      <c r="B46" s="8"/>
      <c r="C46" s="8"/>
      <c r="D46" s="38" t="s">
        <v>956</v>
      </c>
      <c r="E46" s="47" t="s">
        <v>959</v>
      </c>
      <c r="F46" s="43">
        <v>15750</v>
      </c>
      <c r="G46" s="21"/>
      <c r="H46" s="21"/>
      <c r="I46" s="9"/>
    </row>
    <row r="47" spans="1:9" ht="30" customHeight="1" x14ac:dyDescent="0.3">
      <c r="A47" s="8"/>
      <c r="B47" s="8"/>
      <c r="C47" s="8"/>
      <c r="D47" s="38" t="s">
        <v>956</v>
      </c>
      <c r="E47" s="47" t="s">
        <v>959</v>
      </c>
      <c r="F47" s="43">
        <v>18610</v>
      </c>
      <c r="G47" s="21"/>
      <c r="H47" s="21"/>
      <c r="I47" s="9"/>
    </row>
    <row r="48" spans="1:9" ht="30" customHeight="1" x14ac:dyDescent="0.3">
      <c r="A48" s="8"/>
      <c r="B48" s="8"/>
      <c r="C48" s="8"/>
      <c r="D48" s="38" t="s">
        <v>960</v>
      </c>
      <c r="E48" s="47" t="s">
        <v>959</v>
      </c>
      <c r="F48" s="43">
        <v>5000</v>
      </c>
      <c r="G48" s="21"/>
      <c r="H48" s="21"/>
      <c r="I48" s="9"/>
    </row>
    <row r="49" spans="1:9" ht="30" customHeight="1" x14ac:dyDescent="0.3">
      <c r="A49" s="8"/>
      <c r="B49" s="8"/>
      <c r="C49" s="8"/>
      <c r="D49" s="38" t="s">
        <v>956</v>
      </c>
      <c r="E49" s="38" t="s">
        <v>961</v>
      </c>
      <c r="F49" s="43">
        <v>39900</v>
      </c>
      <c r="G49" s="21"/>
      <c r="H49" s="21"/>
      <c r="I49" s="9"/>
    </row>
    <row r="50" spans="1:9" ht="30" customHeight="1" x14ac:dyDescent="0.3">
      <c r="A50" s="8"/>
      <c r="B50" s="8"/>
      <c r="C50" s="8"/>
      <c r="D50" s="38" t="s">
        <v>956</v>
      </c>
      <c r="E50" s="38" t="s">
        <v>961</v>
      </c>
      <c r="F50" s="43">
        <v>39901</v>
      </c>
      <c r="G50" s="21"/>
      <c r="H50" s="21"/>
      <c r="I50" s="9"/>
    </row>
    <row r="51" spans="1:9" ht="30" customHeight="1" x14ac:dyDescent="0.3">
      <c r="A51" s="8"/>
      <c r="B51" s="8"/>
      <c r="C51" s="8"/>
      <c r="D51" s="38" t="s">
        <v>956</v>
      </c>
      <c r="E51" s="47" t="s">
        <v>962</v>
      </c>
      <c r="F51" s="43">
        <v>27360</v>
      </c>
      <c r="G51" s="21"/>
      <c r="H51" s="21"/>
      <c r="I51" s="9"/>
    </row>
    <row r="52" spans="1:9" ht="30" customHeight="1" x14ac:dyDescent="0.3">
      <c r="A52" s="8"/>
      <c r="B52" s="8"/>
      <c r="C52" s="8"/>
      <c r="D52" s="38" t="s">
        <v>960</v>
      </c>
      <c r="E52" s="47" t="s">
        <v>963</v>
      </c>
      <c r="F52" s="43">
        <v>5000</v>
      </c>
      <c r="G52" s="21"/>
      <c r="H52" s="21"/>
      <c r="I52" s="9"/>
    </row>
    <row r="53" spans="1:9" ht="30" customHeight="1" x14ac:dyDescent="0.3">
      <c r="A53" s="8"/>
      <c r="B53" s="8"/>
      <c r="C53" s="8"/>
      <c r="D53" s="38" t="s">
        <v>964</v>
      </c>
      <c r="E53" s="38" t="s">
        <v>965</v>
      </c>
      <c r="F53" s="43">
        <v>100000</v>
      </c>
      <c r="G53" s="21"/>
      <c r="H53" s="21"/>
      <c r="I53" s="9"/>
    </row>
    <row r="54" spans="1:9" ht="30" customHeight="1" x14ac:dyDescent="0.3">
      <c r="A54" s="8"/>
      <c r="B54" s="8"/>
      <c r="C54" s="8"/>
      <c r="D54" s="38" t="s">
        <v>966</v>
      </c>
      <c r="E54" s="38" t="s">
        <v>965</v>
      </c>
      <c r="F54" s="43">
        <v>25000</v>
      </c>
      <c r="G54" s="21"/>
      <c r="H54" s="21"/>
      <c r="I54" s="9"/>
    </row>
    <row r="55" spans="1:9" ht="30" customHeight="1" x14ac:dyDescent="0.3">
      <c r="A55" s="8"/>
      <c r="B55" s="8"/>
      <c r="C55" s="8"/>
      <c r="D55" s="38" t="s">
        <v>968</v>
      </c>
      <c r="E55" s="38" t="s">
        <v>967</v>
      </c>
      <c r="F55" s="43">
        <v>161700</v>
      </c>
      <c r="G55" s="21"/>
      <c r="H55" s="21"/>
      <c r="I55" s="9"/>
    </row>
    <row r="56" spans="1:9" ht="30" customHeight="1" x14ac:dyDescent="0.3">
      <c r="A56" s="8"/>
      <c r="B56" s="8"/>
      <c r="C56" s="8"/>
      <c r="D56" s="38" t="s">
        <v>968</v>
      </c>
      <c r="E56" s="38" t="s">
        <v>967</v>
      </c>
      <c r="F56" s="43">
        <v>193390</v>
      </c>
      <c r="G56" s="21"/>
      <c r="H56" s="21"/>
      <c r="I56" s="9"/>
    </row>
    <row r="57" spans="1:9" ht="30" customHeight="1" x14ac:dyDescent="0.3">
      <c r="A57" s="8"/>
      <c r="B57" s="8"/>
      <c r="C57" s="8"/>
      <c r="D57" s="38" t="s">
        <v>968</v>
      </c>
      <c r="E57" s="38" t="s">
        <v>967</v>
      </c>
      <c r="F57" s="43">
        <v>160815</v>
      </c>
      <c r="G57" s="21"/>
      <c r="H57" s="21"/>
      <c r="I57" s="9"/>
    </row>
    <row r="58" spans="1:9" ht="30" customHeight="1" x14ac:dyDescent="0.3">
      <c r="A58" s="8"/>
      <c r="B58" s="8"/>
      <c r="C58" s="8"/>
      <c r="D58" s="38" t="s">
        <v>964</v>
      </c>
      <c r="E58" s="38" t="s">
        <v>969</v>
      </c>
      <c r="F58" s="43">
        <v>272225</v>
      </c>
      <c r="G58" s="21"/>
      <c r="H58" s="21"/>
      <c r="I58" s="9"/>
    </row>
    <row r="59" spans="1:9" ht="30" customHeight="1" x14ac:dyDescent="0.3">
      <c r="A59" s="8"/>
      <c r="B59" s="8"/>
      <c r="C59" s="8"/>
      <c r="D59" s="38" t="s">
        <v>970</v>
      </c>
      <c r="E59" s="38" t="s">
        <v>969</v>
      </c>
      <c r="F59" s="43">
        <v>36025</v>
      </c>
      <c r="G59" s="21"/>
      <c r="H59" s="21"/>
      <c r="I59" s="9"/>
    </row>
    <row r="60" spans="1:9" ht="30" customHeight="1" x14ac:dyDescent="0.3">
      <c r="A60" s="8"/>
      <c r="B60" s="8"/>
      <c r="C60" s="8"/>
      <c r="D60" s="38" t="s">
        <v>956</v>
      </c>
      <c r="E60" s="38" t="s">
        <v>971</v>
      </c>
      <c r="F60" s="43">
        <v>7400</v>
      </c>
      <c r="G60" s="43">
        <v>7400</v>
      </c>
      <c r="H60" s="43">
        <v>7400</v>
      </c>
      <c r="I60" s="9"/>
    </row>
    <row r="61" spans="1:9" ht="30" customHeight="1" x14ac:dyDescent="0.3">
      <c r="A61" s="8"/>
      <c r="B61" s="8"/>
      <c r="C61" s="8"/>
      <c r="D61" s="38" t="s">
        <v>956</v>
      </c>
      <c r="E61" s="38" t="s">
        <v>972</v>
      </c>
      <c r="F61" s="43">
        <v>7400</v>
      </c>
      <c r="G61" s="21"/>
      <c r="H61" s="21"/>
      <c r="I61" s="9"/>
    </row>
    <row r="62" spans="1:9" ht="30" customHeight="1" x14ac:dyDescent="0.3">
      <c r="A62" s="8"/>
      <c r="B62" s="8"/>
      <c r="C62" s="8"/>
      <c r="D62" s="38" t="s">
        <v>973</v>
      </c>
      <c r="E62" s="38" t="s">
        <v>974</v>
      </c>
      <c r="F62" s="44">
        <v>30000</v>
      </c>
      <c r="G62" s="25"/>
      <c r="H62" s="25"/>
      <c r="I62" s="9"/>
    </row>
    <row r="63" spans="1:9" ht="30" customHeight="1" x14ac:dyDescent="0.3">
      <c r="A63" s="8"/>
      <c r="B63" s="8"/>
      <c r="C63" s="8"/>
      <c r="D63" s="38" t="s">
        <v>975</v>
      </c>
      <c r="E63" s="38" t="s">
        <v>976</v>
      </c>
      <c r="F63" s="44">
        <v>10000</v>
      </c>
      <c r="G63" s="25"/>
      <c r="H63" s="25"/>
      <c r="I63" s="9"/>
    </row>
    <row r="64" spans="1:9" ht="30" customHeight="1" x14ac:dyDescent="0.3">
      <c r="A64" s="8"/>
      <c r="B64" s="8"/>
      <c r="C64" s="8"/>
      <c r="D64" s="38" t="s">
        <v>956</v>
      </c>
      <c r="E64" s="47" t="s">
        <v>977</v>
      </c>
      <c r="F64" s="43">
        <v>29960</v>
      </c>
      <c r="G64" s="21"/>
      <c r="H64" s="21"/>
      <c r="I64" s="9"/>
    </row>
    <row r="65" spans="1:9" ht="30" customHeight="1" x14ac:dyDescent="0.3">
      <c r="A65" s="8"/>
      <c r="B65" s="8"/>
      <c r="C65" s="8"/>
      <c r="D65" s="38" t="s">
        <v>978</v>
      </c>
      <c r="E65" s="38" t="s">
        <v>976</v>
      </c>
      <c r="F65" s="43">
        <v>15000</v>
      </c>
      <c r="G65" s="21"/>
      <c r="H65" s="21"/>
      <c r="I65" s="9"/>
    </row>
    <row r="66" spans="1:9" ht="30" customHeight="1" x14ac:dyDescent="0.3">
      <c r="A66" s="8"/>
      <c r="B66" s="8"/>
      <c r="C66" s="8"/>
      <c r="D66" s="38" t="s">
        <v>956</v>
      </c>
      <c r="E66" s="38" t="s">
        <v>979</v>
      </c>
      <c r="F66" s="43">
        <v>7400</v>
      </c>
      <c r="G66" s="21"/>
      <c r="H66" s="21"/>
      <c r="I66" s="9"/>
    </row>
    <row r="67" spans="1:9" ht="30" customHeight="1" x14ac:dyDescent="0.3">
      <c r="A67" s="8"/>
      <c r="B67" s="8"/>
      <c r="C67" s="8"/>
      <c r="D67" s="38" t="s">
        <v>956</v>
      </c>
      <c r="E67" s="38" t="s">
        <v>980</v>
      </c>
      <c r="F67" s="43">
        <v>88100</v>
      </c>
      <c r="G67" s="21"/>
      <c r="H67" s="21"/>
      <c r="I67" s="9"/>
    </row>
    <row r="68" spans="1:9" ht="30" customHeight="1" x14ac:dyDescent="0.3">
      <c r="A68" s="8"/>
      <c r="B68" s="8"/>
      <c r="C68" s="8"/>
      <c r="D68" s="38" t="s">
        <v>237</v>
      </c>
      <c r="E68" s="38" t="s">
        <v>981</v>
      </c>
      <c r="F68" s="43">
        <v>69878</v>
      </c>
      <c r="G68" s="21"/>
      <c r="H68" s="21"/>
      <c r="I68" s="9"/>
    </row>
    <row r="69" spans="1:9" ht="30" customHeight="1" x14ac:dyDescent="0.3">
      <c r="A69" s="8"/>
      <c r="B69" s="8"/>
      <c r="C69" s="8"/>
      <c r="D69" s="38" t="s">
        <v>982</v>
      </c>
      <c r="E69" s="38" t="s">
        <v>981</v>
      </c>
      <c r="F69" s="43">
        <v>236158</v>
      </c>
      <c r="G69" s="21"/>
      <c r="H69" s="21"/>
      <c r="I69" s="9"/>
    </row>
    <row r="70" spans="1:9" ht="30" customHeight="1" x14ac:dyDescent="0.3">
      <c r="A70" s="8" t="s">
        <v>1006</v>
      </c>
      <c r="B70" s="8"/>
      <c r="C70" s="8"/>
      <c r="D70" s="38" t="s">
        <v>943</v>
      </c>
      <c r="E70" s="38" t="s">
        <v>1051</v>
      </c>
      <c r="F70" s="43">
        <v>20000</v>
      </c>
      <c r="G70" s="21"/>
      <c r="H70" s="21"/>
      <c r="I70" s="9"/>
    </row>
    <row r="71" spans="1:9" ht="30" customHeight="1" x14ac:dyDescent="0.3">
      <c r="A71" s="8"/>
      <c r="B71" s="8"/>
      <c r="C71" s="8"/>
      <c r="D71" s="38" t="s">
        <v>964</v>
      </c>
      <c r="E71" s="38" t="s">
        <v>1052</v>
      </c>
      <c r="F71" s="43">
        <v>220000</v>
      </c>
      <c r="G71" s="21"/>
      <c r="H71" s="21"/>
      <c r="I71" s="9"/>
    </row>
    <row r="72" spans="1:9" ht="30" customHeight="1" x14ac:dyDescent="0.3">
      <c r="A72" s="8"/>
      <c r="B72" s="8"/>
      <c r="C72" s="8"/>
      <c r="D72" s="38" t="s">
        <v>1053</v>
      </c>
      <c r="E72" s="38" t="s">
        <v>1052</v>
      </c>
      <c r="F72" s="43">
        <v>30000</v>
      </c>
      <c r="G72" s="21"/>
      <c r="H72" s="21"/>
      <c r="I72" s="9"/>
    </row>
    <row r="73" spans="1:9" ht="30" customHeight="1" x14ac:dyDescent="0.3">
      <c r="A73" s="8"/>
      <c r="B73" s="8"/>
      <c r="C73" s="8"/>
      <c r="D73" s="38" t="s">
        <v>956</v>
      </c>
      <c r="E73" s="38" t="s">
        <v>1054</v>
      </c>
      <c r="F73" s="44">
        <v>34800</v>
      </c>
      <c r="G73" s="25"/>
      <c r="H73" s="25"/>
      <c r="I73" s="9"/>
    </row>
    <row r="74" spans="1:9" ht="30" customHeight="1" x14ac:dyDescent="0.3">
      <c r="A74" s="8"/>
      <c r="B74" s="8"/>
      <c r="C74" s="8"/>
      <c r="D74" s="38" t="s">
        <v>1055</v>
      </c>
      <c r="E74" s="38" t="s">
        <v>1054</v>
      </c>
      <c r="F74" s="43">
        <v>100000</v>
      </c>
      <c r="G74" s="21"/>
      <c r="H74" s="21"/>
      <c r="I74" s="9"/>
    </row>
    <row r="75" spans="1:9" ht="30" customHeight="1" x14ac:dyDescent="0.3">
      <c r="A75" s="8"/>
      <c r="B75" s="8"/>
      <c r="C75" s="8"/>
      <c r="D75" s="38" t="s">
        <v>1066</v>
      </c>
      <c r="E75" s="38" t="s">
        <v>1056</v>
      </c>
      <c r="F75" s="44">
        <v>45550</v>
      </c>
      <c r="G75" s="25"/>
      <c r="H75" s="25"/>
      <c r="I75" s="9"/>
    </row>
    <row r="76" spans="1:9" ht="30" customHeight="1" x14ac:dyDescent="0.3">
      <c r="A76" s="8"/>
      <c r="B76" s="8"/>
      <c r="C76" s="8"/>
      <c r="D76" s="38" t="s">
        <v>1067</v>
      </c>
      <c r="E76" s="38" t="s">
        <v>1068</v>
      </c>
      <c r="F76" s="43">
        <v>16300</v>
      </c>
      <c r="G76" s="21"/>
      <c r="H76" s="21"/>
      <c r="I76" s="9"/>
    </row>
    <row r="77" spans="1:9" ht="30" customHeight="1" x14ac:dyDescent="0.3">
      <c r="A77" s="8"/>
      <c r="B77" s="8"/>
      <c r="C77" s="8"/>
      <c r="D77" s="38" t="s">
        <v>1069</v>
      </c>
      <c r="E77" s="38" t="s">
        <v>1068</v>
      </c>
      <c r="F77" s="43">
        <v>22780</v>
      </c>
      <c r="G77" s="21"/>
      <c r="H77" s="21"/>
      <c r="I77" s="9"/>
    </row>
    <row r="78" spans="1:9" ht="30" customHeight="1" x14ac:dyDescent="0.3">
      <c r="A78" s="8"/>
      <c r="B78" s="8"/>
      <c r="C78" s="8"/>
      <c r="D78" s="38" t="s">
        <v>966</v>
      </c>
      <c r="E78" s="38" t="s">
        <v>1068</v>
      </c>
      <c r="F78" s="43">
        <v>226800</v>
      </c>
      <c r="G78" s="21"/>
      <c r="H78" s="21"/>
      <c r="I78" s="9"/>
    </row>
    <row r="79" spans="1:9" ht="30" customHeight="1" x14ac:dyDescent="0.3">
      <c r="A79" s="8"/>
      <c r="B79" s="8"/>
      <c r="C79" s="8"/>
      <c r="D79" s="38" t="s">
        <v>966</v>
      </c>
      <c r="E79" s="38" t="s">
        <v>1070</v>
      </c>
      <c r="F79" s="43">
        <v>250000</v>
      </c>
      <c r="G79" s="21"/>
      <c r="H79" s="21"/>
      <c r="I79" s="9"/>
    </row>
    <row r="80" spans="1:9" ht="30" customHeight="1" x14ac:dyDescent="0.3">
      <c r="A80" s="8"/>
      <c r="B80" s="8"/>
      <c r="C80" s="8"/>
      <c r="D80" s="38" t="s">
        <v>956</v>
      </c>
      <c r="E80" s="38" t="s">
        <v>1071</v>
      </c>
      <c r="F80" s="43">
        <v>7400</v>
      </c>
      <c r="G80" s="21"/>
      <c r="H80" s="21"/>
      <c r="I80" s="9"/>
    </row>
    <row r="81" spans="1:9" ht="30" customHeight="1" x14ac:dyDescent="0.3">
      <c r="A81" s="8"/>
      <c r="B81" s="8"/>
      <c r="C81" s="8"/>
      <c r="D81" s="38" t="s">
        <v>956</v>
      </c>
      <c r="E81" s="38" t="s">
        <v>1072</v>
      </c>
      <c r="F81" s="43">
        <v>13900</v>
      </c>
      <c r="G81" s="21"/>
      <c r="H81" s="21"/>
      <c r="I81" s="9"/>
    </row>
    <row r="82" spans="1:9" ht="30" customHeight="1" x14ac:dyDescent="0.3">
      <c r="A82" s="8"/>
      <c r="B82" s="8"/>
      <c r="C82" s="8"/>
      <c r="D82" s="38" t="s">
        <v>956</v>
      </c>
      <c r="E82" s="38" t="s">
        <v>1073</v>
      </c>
      <c r="F82" s="43">
        <v>7400</v>
      </c>
      <c r="G82" s="21"/>
      <c r="H82" s="21"/>
      <c r="I82" s="9"/>
    </row>
    <row r="83" spans="1:9" ht="30" customHeight="1" x14ac:dyDescent="0.3">
      <c r="A83" s="8"/>
      <c r="B83" s="8"/>
      <c r="C83" s="8"/>
      <c r="D83" s="38" t="s">
        <v>956</v>
      </c>
      <c r="E83" s="38" t="s">
        <v>1074</v>
      </c>
      <c r="F83" s="43">
        <v>14800</v>
      </c>
      <c r="G83" s="21"/>
      <c r="H83" s="21"/>
      <c r="I83" s="9"/>
    </row>
    <row r="84" spans="1:9" ht="30" customHeight="1" x14ac:dyDescent="0.3">
      <c r="A84" s="8"/>
      <c r="B84" s="8"/>
      <c r="C84" s="8"/>
      <c r="D84" s="38" t="s">
        <v>956</v>
      </c>
      <c r="E84" s="38" t="s">
        <v>1075</v>
      </c>
      <c r="F84" s="43">
        <v>6300</v>
      </c>
      <c r="G84" s="21"/>
      <c r="H84" s="21"/>
      <c r="I84" s="9"/>
    </row>
    <row r="85" spans="1:9" ht="30" customHeight="1" x14ac:dyDescent="0.3">
      <c r="A85" s="8"/>
      <c r="B85" s="8"/>
      <c r="C85" s="8"/>
      <c r="D85" s="38" t="s">
        <v>1076</v>
      </c>
      <c r="E85" s="38" t="s">
        <v>1077</v>
      </c>
      <c r="F85" s="43">
        <v>959460</v>
      </c>
      <c r="G85" s="21"/>
      <c r="H85" s="21"/>
      <c r="I85" s="9"/>
    </row>
    <row r="86" spans="1:9" ht="30" customHeight="1" x14ac:dyDescent="0.3">
      <c r="A86" s="8"/>
      <c r="B86" s="8"/>
      <c r="C86" s="8"/>
      <c r="D86" s="38" t="s">
        <v>1078</v>
      </c>
      <c r="E86" s="38" t="s">
        <v>1079</v>
      </c>
      <c r="F86" s="43">
        <v>547569</v>
      </c>
      <c r="G86" s="21"/>
      <c r="H86" s="21"/>
      <c r="I86" s="9"/>
    </row>
    <row r="87" spans="1:9" ht="30" customHeight="1" x14ac:dyDescent="0.3">
      <c r="A87" s="8"/>
      <c r="B87" s="8"/>
      <c r="C87" s="8"/>
      <c r="D87" s="38" t="s">
        <v>982</v>
      </c>
      <c r="E87" s="47" t="s">
        <v>1080</v>
      </c>
      <c r="F87" s="43">
        <v>30000</v>
      </c>
      <c r="G87" s="21"/>
      <c r="H87" s="21"/>
      <c r="I87" s="9"/>
    </row>
    <row r="88" spans="1:9" ht="30" customHeight="1" x14ac:dyDescent="0.3">
      <c r="A88" s="8"/>
      <c r="B88" s="8"/>
      <c r="C88" s="8"/>
      <c r="D88" s="38" t="s">
        <v>1081</v>
      </c>
      <c r="E88" s="47" t="s">
        <v>1082</v>
      </c>
      <c r="F88" s="43">
        <v>35000</v>
      </c>
      <c r="G88" s="21"/>
      <c r="H88" s="21"/>
      <c r="I88" s="9"/>
    </row>
    <row r="89" spans="1:9" ht="30" customHeight="1" x14ac:dyDescent="0.3">
      <c r="A89" s="8"/>
      <c r="B89" s="8"/>
      <c r="C89" s="8"/>
      <c r="D89" s="38" t="s">
        <v>943</v>
      </c>
      <c r="E89" s="47" t="s">
        <v>1083</v>
      </c>
      <c r="F89" s="43">
        <v>20000</v>
      </c>
      <c r="G89" s="21"/>
      <c r="H89" s="21"/>
      <c r="I89" s="9"/>
    </row>
    <row r="90" spans="1:9" ht="30" customHeight="1" x14ac:dyDescent="0.3">
      <c r="A90" s="8"/>
      <c r="B90" s="8"/>
      <c r="C90" s="8"/>
      <c r="D90" s="38" t="s">
        <v>1084</v>
      </c>
      <c r="E90" s="47" t="s">
        <v>1085</v>
      </c>
      <c r="F90" s="43">
        <v>5105</v>
      </c>
      <c r="G90" s="21"/>
      <c r="H90" s="21"/>
      <c r="I90" s="9"/>
    </row>
    <row r="91" spans="1:9" ht="30" customHeight="1" x14ac:dyDescent="0.3">
      <c r="A91" s="8"/>
      <c r="B91" s="8"/>
      <c r="C91" s="8"/>
      <c r="D91" s="38" t="s">
        <v>1086</v>
      </c>
      <c r="E91" s="38" t="s">
        <v>1087</v>
      </c>
      <c r="F91" s="43">
        <v>71440</v>
      </c>
      <c r="G91" s="21"/>
      <c r="H91" s="21"/>
      <c r="I91" s="9"/>
    </row>
    <row r="92" spans="1:9" ht="30" customHeight="1" x14ac:dyDescent="0.3">
      <c r="A92" s="8"/>
      <c r="B92" s="8"/>
      <c r="C92" s="8"/>
      <c r="D92" s="38" t="s">
        <v>1069</v>
      </c>
      <c r="E92" s="47" t="s">
        <v>1088</v>
      </c>
      <c r="F92" s="43">
        <v>16000</v>
      </c>
      <c r="G92" s="21"/>
      <c r="H92" s="21"/>
      <c r="I92" s="9"/>
    </row>
    <row r="93" spans="1:9" ht="30" customHeight="1" x14ac:dyDescent="0.3">
      <c r="A93" s="8"/>
      <c r="B93" s="8"/>
      <c r="C93" s="8"/>
      <c r="D93" s="38" t="s">
        <v>1069</v>
      </c>
      <c r="E93" s="47" t="s">
        <v>1089</v>
      </c>
      <c r="F93" s="43">
        <v>18750</v>
      </c>
      <c r="G93" s="21"/>
      <c r="H93" s="21"/>
      <c r="I93" s="9"/>
    </row>
    <row r="94" spans="1:9" ht="30" customHeight="1" x14ac:dyDescent="0.3">
      <c r="A94" s="8"/>
      <c r="B94" s="8"/>
      <c r="C94" s="8"/>
      <c r="D94" s="38" t="s">
        <v>1069</v>
      </c>
      <c r="E94" s="47" t="s">
        <v>1090</v>
      </c>
      <c r="F94" s="43">
        <v>19000</v>
      </c>
      <c r="G94" s="21"/>
      <c r="H94" s="21"/>
      <c r="I94" s="9"/>
    </row>
    <row r="95" spans="1:9" ht="30" customHeight="1" x14ac:dyDescent="0.3">
      <c r="A95" s="8"/>
      <c r="B95" s="8"/>
      <c r="C95" s="8"/>
      <c r="D95" s="38" t="s">
        <v>1069</v>
      </c>
      <c r="E95" s="47" t="s">
        <v>1091</v>
      </c>
      <c r="F95" s="43" t="s">
        <v>407</v>
      </c>
      <c r="G95" s="21"/>
      <c r="H95" s="21"/>
      <c r="I95" s="9"/>
    </row>
    <row r="96" spans="1:9" ht="30" customHeight="1" x14ac:dyDescent="0.3">
      <c r="A96" s="8"/>
      <c r="B96" s="8"/>
      <c r="C96" s="8"/>
      <c r="D96" s="38" t="s">
        <v>975</v>
      </c>
      <c r="E96" s="47" t="s">
        <v>1083</v>
      </c>
      <c r="F96" s="43">
        <v>15000</v>
      </c>
      <c r="G96" s="21"/>
      <c r="H96" s="21"/>
      <c r="I96" s="9"/>
    </row>
    <row r="97" spans="1:9" ht="30" customHeight="1" x14ac:dyDescent="0.3">
      <c r="A97" s="8"/>
      <c r="B97" s="8"/>
      <c r="C97" s="8"/>
      <c r="D97" s="38" t="s">
        <v>1092</v>
      </c>
      <c r="E97" s="47" t="s">
        <v>1091</v>
      </c>
      <c r="F97" s="43">
        <v>8000</v>
      </c>
      <c r="G97" s="21"/>
      <c r="H97" s="21"/>
      <c r="I97" s="9"/>
    </row>
    <row r="98" spans="1:9" ht="30" customHeight="1" x14ac:dyDescent="0.3">
      <c r="A98" s="8"/>
      <c r="B98" s="8"/>
      <c r="C98" s="8"/>
      <c r="D98" s="38" t="s">
        <v>982</v>
      </c>
      <c r="E98" s="38" t="s">
        <v>1093</v>
      </c>
      <c r="F98" s="43">
        <v>30000</v>
      </c>
      <c r="G98" s="21"/>
      <c r="H98" s="21"/>
      <c r="I98" s="9"/>
    </row>
    <row r="99" spans="1:9" ht="30" customHeight="1" x14ac:dyDescent="0.3">
      <c r="A99" s="5"/>
      <c r="B99" s="3"/>
      <c r="C99" s="8"/>
      <c r="D99" s="38" t="s">
        <v>964</v>
      </c>
      <c r="E99" s="38" t="s">
        <v>1094</v>
      </c>
      <c r="F99" s="43">
        <v>500</v>
      </c>
      <c r="G99" s="21"/>
      <c r="H99" s="21"/>
      <c r="I99" s="9"/>
    </row>
    <row r="100" spans="1:9" ht="30" customHeight="1" x14ac:dyDescent="0.3">
      <c r="A100" s="5"/>
      <c r="B100" s="3"/>
      <c r="C100" s="8"/>
      <c r="D100" s="38" t="s">
        <v>1095</v>
      </c>
      <c r="E100" s="38" t="s">
        <v>1094</v>
      </c>
      <c r="F100" s="43">
        <v>12450</v>
      </c>
      <c r="G100" s="21"/>
      <c r="H100" s="21"/>
      <c r="I100" s="9"/>
    </row>
    <row r="101" spans="1:9" ht="30" customHeight="1" x14ac:dyDescent="0.3">
      <c r="A101" s="5"/>
      <c r="B101" s="3"/>
      <c r="C101" s="8"/>
      <c r="D101" s="38" t="s">
        <v>1095</v>
      </c>
      <c r="E101" s="38" t="s">
        <v>1096</v>
      </c>
      <c r="F101" s="43">
        <v>172170</v>
      </c>
      <c r="G101" s="21"/>
      <c r="H101" s="21"/>
      <c r="I101" s="9"/>
    </row>
    <row r="102" spans="1:9" ht="30" customHeight="1" x14ac:dyDescent="0.3">
      <c r="A102" s="5"/>
      <c r="B102" s="3"/>
      <c r="C102" s="8"/>
      <c r="D102" s="38" t="s">
        <v>1097</v>
      </c>
      <c r="E102" s="38" t="s">
        <v>1094</v>
      </c>
      <c r="F102" s="43">
        <v>28520</v>
      </c>
      <c r="G102" s="21"/>
      <c r="H102" s="21"/>
      <c r="I102" s="9"/>
    </row>
    <row r="103" spans="1:9" ht="30" customHeight="1" x14ac:dyDescent="0.3">
      <c r="A103" s="5"/>
      <c r="B103" s="3"/>
      <c r="C103" s="8"/>
      <c r="D103" s="38" t="s">
        <v>1097</v>
      </c>
      <c r="E103" s="38" t="s">
        <v>1094</v>
      </c>
      <c r="F103" s="43">
        <v>60000</v>
      </c>
      <c r="G103" s="21"/>
      <c r="H103" s="21"/>
      <c r="I103" s="9"/>
    </row>
    <row r="104" spans="1:9" ht="30" customHeight="1" x14ac:dyDescent="0.3">
      <c r="A104" s="5"/>
      <c r="B104" s="3"/>
      <c r="C104" s="8"/>
      <c r="D104" s="38" t="s">
        <v>1097</v>
      </c>
      <c r="E104" s="38" t="s">
        <v>1094</v>
      </c>
      <c r="F104" s="43">
        <v>10490</v>
      </c>
      <c r="G104" s="21"/>
      <c r="H104" s="21"/>
      <c r="I104" s="9"/>
    </row>
    <row r="105" spans="1:9" ht="30" customHeight="1" x14ac:dyDescent="0.3">
      <c r="A105" s="5"/>
      <c r="B105" s="3"/>
      <c r="C105" s="8"/>
      <c r="D105" s="38" t="s">
        <v>956</v>
      </c>
      <c r="E105" s="38" t="s">
        <v>1098</v>
      </c>
      <c r="F105" s="43">
        <v>20800</v>
      </c>
      <c r="G105" s="21"/>
      <c r="H105" s="21"/>
      <c r="I105" s="9"/>
    </row>
    <row r="106" spans="1:9" ht="30" customHeight="1" x14ac:dyDescent="0.3">
      <c r="A106" s="5"/>
      <c r="B106" s="3"/>
      <c r="C106" s="8"/>
      <c r="D106" s="38" t="s">
        <v>956</v>
      </c>
      <c r="E106" s="38" t="s">
        <v>1098</v>
      </c>
      <c r="F106" s="43">
        <v>41600</v>
      </c>
      <c r="G106" s="21"/>
      <c r="H106" s="21"/>
      <c r="I106" s="9"/>
    </row>
    <row r="107" spans="1:9" ht="30" customHeight="1" x14ac:dyDescent="0.3">
      <c r="A107" s="5"/>
      <c r="B107" s="3"/>
      <c r="C107" s="8"/>
      <c r="D107" s="38" t="s">
        <v>956</v>
      </c>
      <c r="E107" s="38" t="s">
        <v>1098</v>
      </c>
      <c r="F107" s="43">
        <v>20800</v>
      </c>
      <c r="G107" s="21"/>
      <c r="H107" s="21"/>
      <c r="I107" s="9"/>
    </row>
    <row r="108" spans="1:9" ht="30" customHeight="1" x14ac:dyDescent="0.3">
      <c r="A108" s="5"/>
      <c r="B108" s="3"/>
      <c r="C108" s="8"/>
      <c r="D108" s="38" t="s">
        <v>956</v>
      </c>
      <c r="E108" s="38" t="s">
        <v>1098</v>
      </c>
      <c r="F108" s="43">
        <v>31720</v>
      </c>
      <c r="G108" s="21"/>
      <c r="H108" s="21"/>
      <c r="I108" s="9"/>
    </row>
    <row r="109" spans="1:9" ht="30" customHeight="1" x14ac:dyDescent="0.3">
      <c r="A109" s="21" t="s">
        <v>1005</v>
      </c>
      <c r="B109" s="3"/>
      <c r="C109" s="8"/>
      <c r="D109" s="38" t="s">
        <v>1182</v>
      </c>
      <c r="E109" s="38" t="s">
        <v>1183</v>
      </c>
      <c r="F109" s="43">
        <v>335800</v>
      </c>
      <c r="G109" s="21"/>
      <c r="H109" s="21"/>
      <c r="I109" s="9"/>
    </row>
    <row r="110" spans="1:9" ht="30" customHeight="1" x14ac:dyDescent="0.3">
      <c r="A110" s="5"/>
      <c r="B110" s="3"/>
      <c r="C110" s="8"/>
      <c r="D110" s="38" t="s">
        <v>956</v>
      </c>
      <c r="E110" s="38" t="s">
        <v>1184</v>
      </c>
      <c r="F110" s="43">
        <v>40840</v>
      </c>
      <c r="G110" s="21"/>
      <c r="H110" s="21"/>
      <c r="I110" s="9"/>
    </row>
    <row r="111" spans="1:9" ht="30" customHeight="1" x14ac:dyDescent="0.3">
      <c r="A111" s="5"/>
      <c r="B111" s="3"/>
      <c r="C111" s="8"/>
      <c r="D111" s="38" t="s">
        <v>1185</v>
      </c>
      <c r="E111" s="38" t="s">
        <v>1186</v>
      </c>
      <c r="F111" s="43">
        <v>9000</v>
      </c>
      <c r="G111" s="21"/>
      <c r="H111" s="21"/>
      <c r="I111" s="9"/>
    </row>
    <row r="112" spans="1:9" ht="30" customHeight="1" x14ac:dyDescent="0.3">
      <c r="A112" s="5"/>
      <c r="B112" s="3"/>
      <c r="C112" s="8"/>
      <c r="D112" s="38" t="s">
        <v>1187</v>
      </c>
      <c r="E112" s="38" t="s">
        <v>1186</v>
      </c>
      <c r="F112" s="43">
        <v>17000</v>
      </c>
      <c r="G112" s="21"/>
      <c r="H112" s="21"/>
      <c r="I112" s="9"/>
    </row>
    <row r="113" spans="1:9" ht="30" customHeight="1" x14ac:dyDescent="0.3">
      <c r="A113" s="5"/>
      <c r="B113" s="3"/>
      <c r="C113" s="8"/>
      <c r="D113" s="38" t="s">
        <v>1188</v>
      </c>
      <c r="E113" s="38" t="s">
        <v>1186</v>
      </c>
      <c r="F113" s="43" t="s">
        <v>1189</v>
      </c>
      <c r="G113" s="21"/>
      <c r="H113" s="21"/>
      <c r="I113" s="9"/>
    </row>
    <row r="114" spans="1:9" ht="30" customHeight="1" x14ac:dyDescent="0.3">
      <c r="A114" s="5"/>
      <c r="B114" s="3"/>
      <c r="C114" s="8"/>
      <c r="D114" s="38" t="s">
        <v>1190</v>
      </c>
      <c r="E114" s="38" t="s">
        <v>1186</v>
      </c>
      <c r="F114" s="43">
        <v>254000</v>
      </c>
      <c r="G114" s="21"/>
      <c r="H114" s="21"/>
      <c r="I114" s="9"/>
    </row>
    <row r="115" spans="1:9" ht="30" customHeight="1" x14ac:dyDescent="0.3">
      <c r="A115" s="5" t="s">
        <v>1028</v>
      </c>
      <c r="B115" s="3"/>
      <c r="C115" s="8"/>
      <c r="D115" s="38" t="s">
        <v>1229</v>
      </c>
      <c r="E115" s="38" t="s">
        <v>1230</v>
      </c>
      <c r="F115" s="43">
        <v>10000</v>
      </c>
      <c r="G115" s="21"/>
      <c r="H115" s="21"/>
      <c r="I115" s="9"/>
    </row>
    <row r="116" spans="1:9" ht="30" customHeight="1" x14ac:dyDescent="0.3">
      <c r="A116" s="5"/>
      <c r="B116" s="3"/>
      <c r="C116" s="8"/>
      <c r="D116" s="38" t="s">
        <v>1231</v>
      </c>
      <c r="E116" s="38" t="s">
        <v>1232</v>
      </c>
      <c r="F116" s="43">
        <v>30000</v>
      </c>
      <c r="G116" s="21"/>
      <c r="H116" s="21"/>
      <c r="I116" s="9"/>
    </row>
    <row r="117" spans="1:9" ht="30" customHeight="1" x14ac:dyDescent="0.3">
      <c r="A117" s="5"/>
      <c r="B117" s="3"/>
      <c r="C117" s="8"/>
      <c r="D117" s="38" t="s">
        <v>1233</v>
      </c>
      <c r="E117" s="38" t="s">
        <v>1234</v>
      </c>
      <c r="F117" s="43">
        <v>20000</v>
      </c>
      <c r="G117" s="21"/>
      <c r="H117" s="21"/>
      <c r="I117" s="9"/>
    </row>
    <row r="118" spans="1:9" ht="30" customHeight="1" x14ac:dyDescent="0.3">
      <c r="A118" s="5"/>
      <c r="B118" s="3"/>
      <c r="C118" s="8"/>
      <c r="D118" s="38" t="s">
        <v>1235</v>
      </c>
      <c r="E118" s="38" t="s">
        <v>1236</v>
      </c>
      <c r="F118" s="43">
        <v>70000</v>
      </c>
      <c r="G118" s="21"/>
      <c r="H118" s="21"/>
      <c r="I118" s="9"/>
    </row>
    <row r="119" spans="1:9" ht="30" customHeight="1" x14ac:dyDescent="0.3">
      <c r="A119" s="5"/>
      <c r="B119" s="3"/>
      <c r="C119" s="8"/>
      <c r="D119" s="38" t="s">
        <v>1237</v>
      </c>
      <c r="E119" s="38" t="s">
        <v>1238</v>
      </c>
      <c r="F119" s="43">
        <v>100000</v>
      </c>
      <c r="G119" s="21"/>
      <c r="H119" s="21"/>
      <c r="I119" s="9"/>
    </row>
    <row r="120" spans="1:9" ht="30" customHeight="1" x14ac:dyDescent="0.3">
      <c r="A120" s="5"/>
      <c r="B120" s="3"/>
      <c r="C120" s="8"/>
      <c r="D120" s="38" t="s">
        <v>1239</v>
      </c>
      <c r="E120" s="38" t="s">
        <v>1236</v>
      </c>
      <c r="F120" s="36">
        <v>181500</v>
      </c>
      <c r="G120" s="21"/>
      <c r="H120" s="21"/>
      <c r="I120" s="9"/>
    </row>
    <row r="121" spans="1:9" ht="30" customHeight="1" x14ac:dyDescent="0.3">
      <c r="A121" s="5"/>
      <c r="B121" s="3"/>
      <c r="C121" s="8"/>
      <c r="D121" s="38" t="s">
        <v>1240</v>
      </c>
      <c r="E121" s="38" t="s">
        <v>1241</v>
      </c>
      <c r="F121" s="43">
        <v>118300</v>
      </c>
      <c r="G121" s="21"/>
      <c r="H121" s="21"/>
      <c r="I121" s="9"/>
    </row>
    <row r="122" spans="1:9" ht="30" customHeight="1" x14ac:dyDescent="0.3">
      <c r="A122" s="5"/>
      <c r="B122" s="3"/>
      <c r="C122" s="8"/>
      <c r="D122" s="38" t="s">
        <v>1240</v>
      </c>
      <c r="E122" s="38" t="s">
        <v>1242</v>
      </c>
      <c r="F122" s="43">
        <v>12000</v>
      </c>
      <c r="G122" s="21"/>
      <c r="H122" s="21"/>
      <c r="I122" s="9"/>
    </row>
    <row r="123" spans="1:9" ht="30" customHeight="1" x14ac:dyDescent="0.3">
      <c r="A123" s="5"/>
      <c r="B123" s="3"/>
      <c r="C123" s="8"/>
      <c r="D123" s="38" t="s">
        <v>1240</v>
      </c>
      <c r="E123" s="38" t="s">
        <v>1243</v>
      </c>
      <c r="F123" s="43">
        <v>12000</v>
      </c>
      <c r="G123" s="21"/>
      <c r="H123" s="21"/>
      <c r="I123" s="9"/>
    </row>
    <row r="124" spans="1:9" ht="30" customHeight="1" x14ac:dyDescent="0.3">
      <c r="A124" s="5"/>
      <c r="B124" s="3"/>
      <c r="C124" s="8"/>
      <c r="D124" s="38" t="s">
        <v>1240</v>
      </c>
      <c r="E124" s="38" t="s">
        <v>1244</v>
      </c>
      <c r="F124" s="43">
        <v>24000</v>
      </c>
      <c r="G124" s="21"/>
      <c r="H124" s="21"/>
      <c r="I124" s="9"/>
    </row>
    <row r="125" spans="1:9" ht="30" customHeight="1" x14ac:dyDescent="0.3">
      <c r="A125" s="5"/>
      <c r="B125" s="3"/>
      <c r="C125" s="8"/>
      <c r="D125" s="38" t="s">
        <v>1245</v>
      </c>
      <c r="E125" s="38" t="s">
        <v>1246</v>
      </c>
      <c r="F125" s="43">
        <v>12000</v>
      </c>
      <c r="G125" s="21"/>
      <c r="H125" s="21"/>
      <c r="I125" s="9"/>
    </row>
    <row r="126" spans="1:9" ht="30" customHeight="1" x14ac:dyDescent="0.3">
      <c r="A126" s="5"/>
      <c r="B126" s="3"/>
      <c r="C126" s="8"/>
      <c r="D126" s="38" t="s">
        <v>964</v>
      </c>
      <c r="E126" s="38" t="s">
        <v>1247</v>
      </c>
      <c r="F126" s="43">
        <v>149940</v>
      </c>
      <c r="G126" s="21"/>
      <c r="H126" s="21"/>
      <c r="I126" s="9"/>
    </row>
    <row r="127" spans="1:9" ht="30" customHeight="1" x14ac:dyDescent="0.3">
      <c r="A127" s="5"/>
      <c r="B127" s="3"/>
      <c r="C127" s="8"/>
      <c r="D127" s="38" t="s">
        <v>1245</v>
      </c>
      <c r="E127" s="47" t="s">
        <v>1248</v>
      </c>
      <c r="F127" s="43">
        <v>19950</v>
      </c>
      <c r="G127" s="21"/>
      <c r="H127" s="21"/>
      <c r="I127" s="9"/>
    </row>
    <row r="128" spans="1:9" ht="30" customHeight="1" x14ac:dyDescent="0.3">
      <c r="A128" s="5"/>
      <c r="B128" s="3"/>
      <c r="C128" s="8"/>
      <c r="D128" s="38" t="s">
        <v>1245</v>
      </c>
      <c r="E128" s="47" t="s">
        <v>1249</v>
      </c>
      <c r="F128" s="43">
        <v>19950</v>
      </c>
      <c r="G128" s="21"/>
      <c r="H128" s="21"/>
      <c r="I128" s="9"/>
    </row>
    <row r="129" spans="1:9" ht="30" customHeight="1" x14ac:dyDescent="0.3">
      <c r="A129" s="5"/>
      <c r="B129" s="3"/>
      <c r="C129" s="8"/>
      <c r="D129" s="38" t="s">
        <v>1284</v>
      </c>
      <c r="E129" s="38"/>
      <c r="F129" s="43"/>
      <c r="G129" s="21"/>
      <c r="H129" s="21"/>
      <c r="I129" s="9"/>
    </row>
    <row r="130" spans="1:9" ht="30" customHeight="1" x14ac:dyDescent="0.3">
      <c r="A130" s="64">
        <v>46084</v>
      </c>
      <c r="B130" s="3"/>
      <c r="C130" s="8"/>
      <c r="D130" s="38" t="s">
        <v>956</v>
      </c>
      <c r="E130" s="38" t="s">
        <v>1320</v>
      </c>
      <c r="F130" s="43">
        <v>58500</v>
      </c>
      <c r="G130" s="21"/>
      <c r="H130" s="21"/>
      <c r="I130" s="9"/>
    </row>
    <row r="131" spans="1:9" ht="30" customHeight="1" x14ac:dyDescent="0.3">
      <c r="A131" s="5"/>
      <c r="B131" s="3"/>
      <c r="C131" s="8"/>
      <c r="D131" s="38" t="s">
        <v>956</v>
      </c>
      <c r="E131" s="38" t="s">
        <v>1320</v>
      </c>
      <c r="F131" s="43">
        <v>78000</v>
      </c>
      <c r="G131" s="21"/>
      <c r="H131" s="21"/>
      <c r="I131" s="9"/>
    </row>
    <row r="132" spans="1:9" ht="30" customHeight="1" x14ac:dyDescent="0.3">
      <c r="A132" s="5"/>
      <c r="B132" s="3"/>
      <c r="C132" s="8"/>
      <c r="D132" s="38" t="s">
        <v>1321</v>
      </c>
      <c r="E132" s="38" t="s">
        <v>1322</v>
      </c>
      <c r="F132" s="43">
        <v>10000</v>
      </c>
      <c r="G132" s="21"/>
      <c r="H132" s="21"/>
      <c r="I132" s="9"/>
    </row>
    <row r="133" spans="1:9" ht="30" customHeight="1" x14ac:dyDescent="0.3">
      <c r="A133" s="5"/>
      <c r="B133" s="3"/>
      <c r="C133" s="8"/>
      <c r="D133" s="38" t="s">
        <v>1323</v>
      </c>
      <c r="E133" s="38" t="s">
        <v>1324</v>
      </c>
      <c r="F133" s="43">
        <v>4950</v>
      </c>
      <c r="G133" s="21"/>
      <c r="H133" s="21"/>
      <c r="I133" s="9"/>
    </row>
    <row r="134" spans="1:9" ht="30" customHeight="1" x14ac:dyDescent="0.3">
      <c r="A134" s="5"/>
      <c r="B134" s="3"/>
      <c r="C134" s="8"/>
      <c r="D134" s="38" t="s">
        <v>956</v>
      </c>
      <c r="E134" s="38" t="s">
        <v>1326</v>
      </c>
      <c r="F134" s="43">
        <v>8160</v>
      </c>
      <c r="G134" s="21"/>
      <c r="H134" s="21"/>
      <c r="I134" s="9"/>
    </row>
    <row r="135" spans="1:9" ht="30" customHeight="1" x14ac:dyDescent="0.3">
      <c r="A135" s="5"/>
      <c r="B135" s="3"/>
      <c r="C135" s="8"/>
      <c r="D135" s="38" t="s">
        <v>956</v>
      </c>
      <c r="E135" s="38" t="s">
        <v>1326</v>
      </c>
      <c r="F135" s="43">
        <v>9600</v>
      </c>
      <c r="G135" s="21"/>
      <c r="H135" s="21"/>
      <c r="I135" s="9"/>
    </row>
    <row r="136" spans="1:9" ht="30" customHeight="1" x14ac:dyDescent="0.3">
      <c r="A136" s="5"/>
      <c r="B136" s="3"/>
      <c r="C136" s="8"/>
      <c r="D136" s="38" t="s">
        <v>1327</v>
      </c>
      <c r="E136" s="38" t="s">
        <v>1325</v>
      </c>
      <c r="F136" s="43">
        <v>3500</v>
      </c>
      <c r="G136" s="21"/>
      <c r="H136" s="21"/>
      <c r="I136" s="9"/>
    </row>
    <row r="137" spans="1:9" ht="30" customHeight="1" x14ac:dyDescent="0.3">
      <c r="A137" s="5"/>
      <c r="B137" s="3"/>
      <c r="C137" s="8"/>
      <c r="D137" s="38" t="s">
        <v>956</v>
      </c>
      <c r="E137" s="38" t="s">
        <v>1322</v>
      </c>
      <c r="F137" s="43">
        <v>8160</v>
      </c>
      <c r="G137" s="21"/>
      <c r="H137" s="21"/>
      <c r="I137" s="9"/>
    </row>
    <row r="138" spans="1:9" ht="30" customHeight="1" x14ac:dyDescent="0.3">
      <c r="A138" s="5"/>
      <c r="B138" s="3"/>
      <c r="C138" s="8"/>
      <c r="D138" s="38" t="s">
        <v>956</v>
      </c>
      <c r="E138" s="38" t="s">
        <v>1326</v>
      </c>
      <c r="F138" s="43">
        <v>9600</v>
      </c>
      <c r="G138" s="21"/>
      <c r="H138" s="21"/>
      <c r="I138" s="9"/>
    </row>
    <row r="139" spans="1:9" ht="30" customHeight="1" x14ac:dyDescent="0.3">
      <c r="A139" s="64">
        <v>46329</v>
      </c>
      <c r="B139" s="3"/>
      <c r="C139" s="8"/>
      <c r="D139" s="38" t="s">
        <v>1528</v>
      </c>
      <c r="E139" s="38" t="s">
        <v>1529</v>
      </c>
      <c r="F139" s="43">
        <v>204570</v>
      </c>
      <c r="G139" s="21"/>
      <c r="H139" s="21"/>
      <c r="I139" s="9"/>
    </row>
    <row r="140" spans="1:9" ht="30" customHeight="1" x14ac:dyDescent="0.3">
      <c r="A140" s="5"/>
      <c r="B140" s="3"/>
      <c r="C140" s="8"/>
      <c r="D140" s="38" t="s">
        <v>1530</v>
      </c>
      <c r="E140" s="38" t="s">
        <v>1531</v>
      </c>
      <c r="F140" s="43">
        <v>180000</v>
      </c>
      <c r="G140" s="21"/>
      <c r="H140" s="21"/>
      <c r="I140" s="9"/>
    </row>
    <row r="141" spans="1:9" ht="30" customHeight="1" x14ac:dyDescent="0.3">
      <c r="A141" s="5"/>
      <c r="B141" s="3"/>
      <c r="C141" s="8"/>
      <c r="D141" s="38" t="s">
        <v>1532</v>
      </c>
      <c r="E141" s="38" t="s">
        <v>1529</v>
      </c>
      <c r="F141" s="43">
        <v>350000</v>
      </c>
      <c r="G141" s="21"/>
      <c r="H141" s="21"/>
      <c r="I141" s="9"/>
    </row>
    <row r="142" spans="1:9" ht="30" customHeight="1" x14ac:dyDescent="0.3">
      <c r="A142" s="5" t="s">
        <v>1664</v>
      </c>
      <c r="B142" s="3"/>
      <c r="C142" s="8"/>
      <c r="D142" s="38" t="s">
        <v>1528</v>
      </c>
      <c r="E142" s="38" t="s">
        <v>1675</v>
      </c>
      <c r="F142" s="43">
        <v>204600</v>
      </c>
      <c r="G142" s="21"/>
      <c r="H142" s="21"/>
      <c r="I142" s="9"/>
    </row>
    <row r="143" spans="1:9" ht="30" customHeight="1" x14ac:dyDescent="0.3">
      <c r="A143" s="5" t="s">
        <v>1464</v>
      </c>
      <c r="B143" s="3"/>
      <c r="C143" s="8"/>
      <c r="D143" s="47" t="s">
        <v>1689</v>
      </c>
      <c r="E143" s="38" t="s">
        <v>1688</v>
      </c>
      <c r="F143" s="43">
        <v>957000</v>
      </c>
      <c r="G143" s="21"/>
      <c r="H143" s="21"/>
      <c r="I143" s="9"/>
    </row>
    <row r="144" spans="1:9" ht="30" customHeight="1" x14ac:dyDescent="0.3">
      <c r="A144" s="5" t="s">
        <v>1795</v>
      </c>
      <c r="B144" s="3"/>
      <c r="C144" s="8"/>
      <c r="D144" s="38" t="s">
        <v>1804</v>
      </c>
      <c r="E144" s="38" t="s">
        <v>1805</v>
      </c>
      <c r="F144" s="43">
        <v>830200</v>
      </c>
      <c r="G144" s="21"/>
      <c r="H144" s="21"/>
      <c r="I144" s="9"/>
    </row>
    <row r="145" spans="1:9" ht="30" customHeight="1" x14ac:dyDescent="0.3">
      <c r="A145" s="21" t="s">
        <v>2104</v>
      </c>
      <c r="B145" s="21"/>
      <c r="C145" s="8"/>
      <c r="D145" s="38" t="s">
        <v>2109</v>
      </c>
      <c r="E145" s="38" t="s">
        <v>2110</v>
      </c>
      <c r="F145" s="43">
        <v>1000000</v>
      </c>
      <c r="G145" s="21"/>
      <c r="H145" s="21"/>
      <c r="I145" s="9"/>
    </row>
    <row r="146" spans="1:9" ht="30" customHeight="1" x14ac:dyDescent="0.3">
      <c r="A146" s="64">
        <v>46147</v>
      </c>
      <c r="B146" s="3"/>
      <c r="C146" s="8"/>
      <c r="D146" s="38" t="s">
        <v>218</v>
      </c>
      <c r="E146" s="38" t="s">
        <v>2442</v>
      </c>
      <c r="F146" s="43">
        <v>3438590</v>
      </c>
      <c r="G146" s="21" t="s">
        <v>2443</v>
      </c>
      <c r="H146" s="21"/>
      <c r="I146" s="9" t="s">
        <v>495</v>
      </c>
    </row>
    <row r="147" spans="1:9" ht="30" customHeight="1" x14ac:dyDescent="0.3">
      <c r="A147" s="5"/>
      <c r="B147" s="3"/>
      <c r="C147" s="8"/>
      <c r="D147" s="38" t="s">
        <v>1095</v>
      </c>
      <c r="E147" s="38" t="s">
        <v>2454</v>
      </c>
      <c r="F147" s="43">
        <v>199500</v>
      </c>
      <c r="G147" s="21" t="s">
        <v>2455</v>
      </c>
      <c r="H147" s="21"/>
      <c r="I147" s="9"/>
    </row>
    <row r="148" spans="1:9" ht="30" customHeight="1" x14ac:dyDescent="0.3">
      <c r="A148" s="5" t="s">
        <v>3540</v>
      </c>
      <c r="B148" s="3"/>
      <c r="C148" s="8"/>
      <c r="D148" s="38" t="s">
        <v>3549</v>
      </c>
      <c r="E148" s="38" t="s">
        <v>3550</v>
      </c>
      <c r="F148" s="43">
        <v>30000</v>
      </c>
      <c r="G148" s="21"/>
      <c r="H148" s="21"/>
      <c r="I148" s="9"/>
    </row>
    <row r="149" spans="1:9" ht="30" customHeight="1" x14ac:dyDescent="0.3">
      <c r="A149" s="5"/>
      <c r="B149" s="3"/>
      <c r="C149" s="8"/>
      <c r="D149" s="38" t="s">
        <v>3551</v>
      </c>
      <c r="E149" s="38" t="s">
        <v>3552</v>
      </c>
      <c r="F149" s="43">
        <v>139440</v>
      </c>
      <c r="G149" s="21"/>
      <c r="H149" s="21"/>
      <c r="I149" s="9"/>
    </row>
    <row r="150" spans="1:9" ht="30" customHeight="1" x14ac:dyDescent="0.3">
      <c r="A150" s="5"/>
      <c r="B150" s="3"/>
      <c r="C150" s="8"/>
      <c r="D150" s="38" t="s">
        <v>3777</v>
      </c>
      <c r="E150" s="38" t="s">
        <v>3778</v>
      </c>
      <c r="F150" s="43" t="s">
        <v>407</v>
      </c>
      <c r="G150" s="21"/>
      <c r="H150" s="21"/>
      <c r="I150" s="9"/>
    </row>
    <row r="151" spans="1:9" ht="30" customHeight="1" x14ac:dyDescent="0.3">
      <c r="A151" s="5" t="s">
        <v>4145</v>
      </c>
      <c r="B151" s="3"/>
      <c r="C151" s="8"/>
      <c r="D151" s="38" t="s">
        <v>4149</v>
      </c>
      <c r="E151" s="38" t="s">
        <v>4150</v>
      </c>
      <c r="F151" s="43">
        <v>1001500</v>
      </c>
      <c r="G151" s="21"/>
      <c r="H151" s="21"/>
      <c r="I151" s="9"/>
    </row>
    <row r="152" spans="1:9" ht="30" customHeight="1" x14ac:dyDescent="0.3">
      <c r="A152" s="5"/>
      <c r="B152" s="3"/>
      <c r="C152" s="8"/>
      <c r="D152" s="38" t="s">
        <v>3777</v>
      </c>
      <c r="E152" s="38" t="s">
        <v>3778</v>
      </c>
      <c r="F152" s="43" t="s">
        <v>4151</v>
      </c>
      <c r="G152" s="3"/>
      <c r="H152" s="3"/>
      <c r="I152" s="9"/>
    </row>
    <row r="153" spans="1:9" ht="30" customHeight="1" x14ac:dyDescent="0.3">
      <c r="A153" s="5"/>
      <c r="B153" s="3"/>
      <c r="C153" s="8"/>
      <c r="D153" s="38"/>
      <c r="E153" s="38"/>
      <c r="F153" s="45"/>
      <c r="G153" s="3"/>
      <c r="H153" s="3"/>
      <c r="I153" s="9"/>
    </row>
    <row r="154" spans="1:9" ht="30" customHeight="1" x14ac:dyDescent="0.3">
      <c r="A154" s="5"/>
      <c r="B154" s="3"/>
      <c r="C154" s="8"/>
      <c r="D154" s="38"/>
      <c r="E154" s="38"/>
      <c r="F154" s="45"/>
      <c r="G154" s="3"/>
      <c r="H154" s="3"/>
      <c r="I154" s="9"/>
    </row>
    <row r="155" spans="1:9" ht="30" customHeight="1" x14ac:dyDescent="0.3">
      <c r="A155" s="5"/>
      <c r="B155" s="3"/>
      <c r="C155" s="8"/>
      <c r="D155" s="38"/>
      <c r="E155" s="38"/>
      <c r="F155" s="45"/>
      <c r="G155" s="3"/>
      <c r="H155" s="3"/>
      <c r="I155" s="9"/>
    </row>
    <row r="156" spans="1:9" ht="30" customHeight="1" x14ac:dyDescent="0.3">
      <c r="A156" s="5"/>
      <c r="B156" s="3"/>
      <c r="C156" s="8"/>
      <c r="D156" s="38"/>
      <c r="E156" s="38"/>
      <c r="F156" s="45"/>
      <c r="G156" s="3"/>
      <c r="H156" s="3"/>
      <c r="I156" s="9"/>
    </row>
    <row r="157" spans="1:9" ht="30" customHeight="1" x14ac:dyDescent="0.3">
      <c r="A157" s="5"/>
      <c r="B157" s="3"/>
      <c r="C157" s="8"/>
      <c r="D157" s="38"/>
      <c r="E157" s="38"/>
      <c r="F157" s="45"/>
      <c r="G157" s="3"/>
      <c r="H157" s="3"/>
      <c r="I157" s="9"/>
    </row>
    <row r="158" spans="1:9" ht="30" customHeight="1" x14ac:dyDescent="0.3">
      <c r="A158" s="5"/>
      <c r="B158" s="3"/>
      <c r="C158" s="8"/>
      <c r="D158" s="38"/>
      <c r="E158" s="38"/>
      <c r="F158" s="45"/>
      <c r="G158" s="3"/>
      <c r="H158" s="3"/>
      <c r="I158" s="9"/>
    </row>
    <row r="159" spans="1:9" ht="30" customHeight="1" x14ac:dyDescent="0.3">
      <c r="A159" s="5"/>
      <c r="B159" s="3"/>
      <c r="C159" s="8"/>
      <c r="D159" s="38"/>
      <c r="E159" s="38"/>
      <c r="F159" s="45"/>
      <c r="G159" s="3"/>
      <c r="H159" s="3"/>
      <c r="I159" s="9"/>
    </row>
    <row r="160" spans="1:9" ht="30" customHeight="1" x14ac:dyDescent="0.3">
      <c r="A160" s="5"/>
      <c r="B160" s="3"/>
      <c r="C160" s="8"/>
      <c r="D160" s="38"/>
      <c r="E160" s="38"/>
      <c r="F160" s="45"/>
      <c r="G160" s="3"/>
      <c r="H160" s="3"/>
      <c r="I160" s="9"/>
    </row>
    <row r="161" spans="1:9" ht="30" customHeight="1" x14ac:dyDescent="0.3">
      <c r="A161" s="5"/>
      <c r="B161" s="3"/>
      <c r="C161" s="8"/>
      <c r="D161" s="38"/>
      <c r="E161" s="38"/>
      <c r="F161" s="45"/>
      <c r="G161" s="3"/>
      <c r="H161" s="3"/>
      <c r="I161" s="9"/>
    </row>
    <row r="162" spans="1:9" ht="30" customHeight="1" x14ac:dyDescent="0.3">
      <c r="A162" s="5"/>
      <c r="B162" s="3"/>
      <c r="C162" s="8"/>
      <c r="D162" s="38"/>
      <c r="E162" s="38"/>
      <c r="F162" s="45"/>
      <c r="G162" s="3"/>
      <c r="H162" s="3"/>
      <c r="I162" s="9"/>
    </row>
    <row r="163" spans="1:9" ht="30" customHeight="1" x14ac:dyDescent="0.3">
      <c r="A163" s="5"/>
      <c r="B163" s="3"/>
      <c r="C163" s="8"/>
      <c r="D163" s="38"/>
      <c r="E163" s="38"/>
      <c r="F163" s="45"/>
      <c r="G163" s="3"/>
      <c r="H163" s="3"/>
      <c r="I163" s="9"/>
    </row>
    <row r="164" spans="1:9" ht="30" customHeight="1" x14ac:dyDescent="0.3">
      <c r="A164" s="5"/>
      <c r="B164" s="3"/>
      <c r="C164" s="8"/>
      <c r="D164" s="38"/>
      <c r="E164" s="38"/>
      <c r="F164" s="45"/>
      <c r="G164" s="3"/>
      <c r="H164" s="3"/>
      <c r="I164" s="9"/>
    </row>
    <row r="165" spans="1:9" ht="30" customHeight="1" x14ac:dyDescent="0.3">
      <c r="A165" s="5"/>
      <c r="B165" s="3"/>
      <c r="C165" s="8"/>
      <c r="D165" s="38"/>
      <c r="E165" s="38"/>
      <c r="F165" s="45"/>
      <c r="G165" s="3"/>
      <c r="H165" s="3"/>
      <c r="I165" s="9"/>
    </row>
    <row r="166" spans="1:9" ht="30" customHeight="1" x14ac:dyDescent="0.3">
      <c r="A166" s="5"/>
      <c r="B166" s="3"/>
      <c r="C166" s="8"/>
      <c r="D166" s="38"/>
      <c r="E166" s="38"/>
      <c r="F166" s="45"/>
      <c r="G166" s="3"/>
      <c r="H166" s="3"/>
      <c r="I166" s="9"/>
    </row>
    <row r="167" spans="1:9" ht="30" customHeight="1" x14ac:dyDescent="0.3">
      <c r="A167" s="5"/>
      <c r="B167" s="3"/>
      <c r="C167" s="8"/>
      <c r="D167" s="38"/>
      <c r="E167" s="38"/>
      <c r="F167" s="45"/>
      <c r="G167" s="3"/>
      <c r="H167" s="3"/>
      <c r="I167" s="9"/>
    </row>
    <row r="168" spans="1:9" ht="30" customHeight="1" x14ac:dyDescent="0.3">
      <c r="A168" s="5"/>
      <c r="B168" s="3"/>
      <c r="C168" s="8"/>
      <c r="D168" s="38"/>
      <c r="E168" s="38"/>
      <c r="F168" s="45"/>
      <c r="G168" s="3"/>
      <c r="H168" s="3"/>
      <c r="I168" s="9"/>
    </row>
    <row r="169" spans="1:9" ht="30" customHeight="1" x14ac:dyDescent="0.3">
      <c r="A169" s="5"/>
      <c r="B169" s="3"/>
      <c r="C169" s="8"/>
      <c r="D169" s="38"/>
      <c r="E169" s="38"/>
      <c r="F169" s="45"/>
      <c r="G169" s="3"/>
      <c r="H169" s="3"/>
      <c r="I169" s="9"/>
    </row>
    <row r="170" spans="1:9" ht="30" customHeight="1" x14ac:dyDescent="0.3">
      <c r="A170" s="5"/>
      <c r="B170" s="3"/>
      <c r="C170" s="8"/>
      <c r="D170" s="38"/>
      <c r="E170" s="38"/>
      <c r="F170" s="45"/>
      <c r="G170" s="3"/>
      <c r="H170" s="3"/>
      <c r="I170" s="9"/>
    </row>
    <row r="171" spans="1:9" ht="30" customHeight="1" x14ac:dyDescent="0.3">
      <c r="A171" s="5"/>
      <c r="B171" s="3"/>
      <c r="C171" s="8"/>
      <c r="D171" s="38"/>
      <c r="E171" s="38"/>
      <c r="F171" s="45"/>
      <c r="G171" s="3"/>
      <c r="H171" s="3"/>
      <c r="I171" s="9"/>
    </row>
    <row r="172" spans="1:9" ht="30" customHeight="1" x14ac:dyDescent="0.3">
      <c r="A172" s="5"/>
      <c r="B172" s="3"/>
      <c r="C172" s="8"/>
      <c r="D172" s="38"/>
      <c r="E172" s="38"/>
      <c r="F172" s="45"/>
      <c r="G172" s="3"/>
      <c r="H172" s="3"/>
      <c r="I172" s="9"/>
    </row>
    <row r="173" spans="1:9" ht="30" customHeight="1" x14ac:dyDescent="0.3">
      <c r="A173" s="5"/>
      <c r="B173" s="3"/>
      <c r="C173" s="10"/>
      <c r="D173" s="38"/>
      <c r="E173" s="38"/>
      <c r="F173" s="45"/>
      <c r="G173" s="3"/>
      <c r="H173" s="3"/>
      <c r="I173" s="9"/>
    </row>
    <row r="174" spans="1:9" ht="30" customHeight="1" x14ac:dyDescent="0.3">
      <c r="A174" s="5"/>
      <c r="B174" s="3"/>
      <c r="C174" s="10"/>
      <c r="D174" s="38"/>
      <c r="E174" s="38"/>
      <c r="F174" s="45"/>
      <c r="G174" s="3"/>
      <c r="H174" s="3"/>
      <c r="I174" s="9"/>
    </row>
    <row r="175" spans="1:9" ht="30" customHeight="1" x14ac:dyDescent="0.3">
      <c r="A175" s="5"/>
      <c r="B175" s="3"/>
      <c r="C175" s="10"/>
      <c r="D175" s="38"/>
      <c r="E175" s="38"/>
      <c r="F175" s="45"/>
      <c r="G175" s="3"/>
      <c r="H175" s="3"/>
      <c r="I175" s="9"/>
    </row>
    <row r="176" spans="1:9" ht="30" customHeight="1" x14ac:dyDescent="0.3">
      <c r="A176" s="5"/>
      <c r="B176" s="3"/>
      <c r="C176" s="10"/>
      <c r="D176" s="38"/>
      <c r="E176" s="38"/>
      <c r="F176" s="45"/>
      <c r="G176" s="3"/>
      <c r="H176" s="3"/>
      <c r="I176" s="9"/>
    </row>
    <row r="177" spans="1:9" ht="30" customHeight="1" x14ac:dyDescent="0.3">
      <c r="A177" s="5"/>
      <c r="B177" s="3"/>
      <c r="C177" s="10"/>
      <c r="D177" s="38"/>
      <c r="E177" s="38"/>
      <c r="F177" s="45"/>
      <c r="G177" s="3"/>
      <c r="H177" s="3"/>
      <c r="I177" s="9"/>
    </row>
    <row r="178" spans="1:9" ht="30" customHeight="1" x14ac:dyDescent="0.3">
      <c r="A178" s="5"/>
      <c r="B178" s="3"/>
      <c r="C178" s="10"/>
      <c r="D178" s="38"/>
      <c r="E178" s="38"/>
      <c r="F178" s="45"/>
      <c r="G178" s="3"/>
      <c r="H178" s="3"/>
      <c r="I178" s="9"/>
    </row>
    <row r="179" spans="1:9" ht="30" customHeight="1" x14ac:dyDescent="0.3">
      <c r="A179" s="5"/>
      <c r="B179" s="3"/>
      <c r="C179" s="10"/>
      <c r="D179" s="38"/>
      <c r="E179" s="38"/>
      <c r="F179" s="45"/>
      <c r="G179" s="3"/>
      <c r="H179" s="3"/>
      <c r="I179" s="9"/>
    </row>
    <row r="180" spans="1:9" ht="30" customHeight="1" x14ac:dyDescent="0.3">
      <c r="A180" s="5"/>
      <c r="B180" s="3"/>
      <c r="C180" s="10"/>
      <c r="D180" s="38"/>
      <c r="E180" s="38"/>
      <c r="F180" s="45"/>
      <c r="G180" s="3"/>
      <c r="H180" s="3"/>
      <c r="I180" s="9"/>
    </row>
    <row r="181" spans="1:9" ht="30" customHeight="1" x14ac:dyDescent="0.3">
      <c r="A181" s="5"/>
      <c r="B181" s="3"/>
      <c r="C181" s="9"/>
      <c r="D181" s="38"/>
      <c r="E181" s="38"/>
      <c r="F181" s="45"/>
      <c r="G181" s="3"/>
      <c r="H181" s="3"/>
      <c r="I181" s="9"/>
    </row>
    <row r="182" spans="1:9" ht="30" customHeight="1" x14ac:dyDescent="0.3">
      <c r="A182" s="5"/>
      <c r="B182" s="3"/>
      <c r="C182" s="9"/>
      <c r="D182" s="38"/>
      <c r="E182" s="38"/>
      <c r="F182" s="45"/>
      <c r="G182" s="3"/>
      <c r="H182" s="3"/>
      <c r="I182" s="9"/>
    </row>
    <row r="183" spans="1:9" ht="30" customHeight="1" x14ac:dyDescent="0.3">
      <c r="A183" s="5"/>
      <c r="B183" s="3"/>
      <c r="C183" s="9"/>
      <c r="D183" s="38"/>
      <c r="E183" s="38"/>
      <c r="F183" s="45"/>
      <c r="G183" s="3"/>
      <c r="H183" s="3"/>
      <c r="I183" s="9"/>
    </row>
    <row r="184" spans="1:9" ht="30" customHeight="1" x14ac:dyDescent="0.3">
      <c r="A184" s="5"/>
      <c r="B184" s="3"/>
      <c r="C184" s="9"/>
      <c r="D184" s="38"/>
      <c r="E184" s="38"/>
      <c r="F184" s="45"/>
      <c r="G184" s="3"/>
      <c r="H184" s="3"/>
      <c r="I184" s="9"/>
    </row>
    <row r="185" spans="1:9" ht="30" customHeight="1" x14ac:dyDescent="0.3">
      <c r="A185" s="5"/>
      <c r="B185" s="3"/>
      <c r="C185" s="9"/>
      <c r="D185" s="38"/>
      <c r="E185" s="38"/>
      <c r="F185" s="45"/>
      <c r="G185" s="3"/>
      <c r="H185" s="3"/>
      <c r="I185" s="9"/>
    </row>
    <row r="186" spans="1:9" ht="30" customHeight="1" x14ac:dyDescent="0.3">
      <c r="A186" s="5"/>
      <c r="B186" s="3"/>
      <c r="C186" s="9"/>
      <c r="D186" s="38"/>
      <c r="E186" s="38"/>
      <c r="F186" s="45"/>
      <c r="G186" s="3"/>
      <c r="H186" s="3"/>
      <c r="I186" s="9"/>
    </row>
    <row r="187" spans="1:9" ht="30" customHeight="1" x14ac:dyDescent="0.3">
      <c r="A187" s="5"/>
      <c r="B187" s="3"/>
      <c r="C187" s="9"/>
      <c r="D187" s="38"/>
      <c r="E187" s="38"/>
      <c r="F187" s="45"/>
      <c r="G187" s="3"/>
      <c r="H187" s="3"/>
      <c r="I187" s="9"/>
    </row>
    <row r="188" spans="1:9" ht="30" customHeight="1" x14ac:dyDescent="0.3">
      <c r="A188" s="5"/>
      <c r="B188" s="3"/>
      <c r="C188" s="9"/>
      <c r="D188" s="38"/>
      <c r="E188" s="38"/>
      <c r="F188" s="45"/>
      <c r="G188" s="3"/>
      <c r="H188" s="3"/>
      <c r="I188" s="9"/>
    </row>
    <row r="189" spans="1:9" ht="30" customHeight="1" x14ac:dyDescent="0.3">
      <c r="A189" s="5"/>
      <c r="B189" s="3"/>
      <c r="C189" s="9"/>
      <c r="D189" s="38"/>
      <c r="E189" s="38"/>
      <c r="F189" s="45"/>
      <c r="G189" s="3"/>
      <c r="H189" s="3"/>
      <c r="I189" s="9"/>
    </row>
    <row r="190" spans="1:9" ht="30" customHeight="1" x14ac:dyDescent="0.3">
      <c r="A190" s="5"/>
      <c r="B190" s="3"/>
      <c r="C190" s="9"/>
      <c r="D190" s="38"/>
      <c r="E190" s="38"/>
      <c r="F190" s="45"/>
      <c r="G190" s="3"/>
      <c r="H190" s="3"/>
      <c r="I190" s="9"/>
    </row>
    <row r="191" spans="1:9" ht="30" customHeight="1" x14ac:dyDescent="0.3">
      <c r="A191" s="5"/>
      <c r="B191" s="3"/>
      <c r="C191" s="9"/>
      <c r="D191" s="38"/>
      <c r="E191" s="38"/>
      <c r="F191" s="45"/>
      <c r="G191" s="3"/>
      <c r="H191" s="3"/>
      <c r="I191" s="9"/>
    </row>
    <row r="192" spans="1:9" ht="30" customHeight="1" x14ac:dyDescent="0.3">
      <c r="A192" s="5"/>
      <c r="B192" s="3"/>
      <c r="C192" s="9"/>
      <c r="D192" s="38"/>
      <c r="E192" s="38"/>
      <c r="F192" s="45"/>
      <c r="G192" s="3"/>
      <c r="H192" s="3"/>
      <c r="I192" s="9"/>
    </row>
    <row r="193" spans="1:9" ht="30" customHeight="1" x14ac:dyDescent="0.3">
      <c r="A193" s="5"/>
      <c r="B193" s="3"/>
      <c r="C193" s="9"/>
      <c r="D193" s="38"/>
      <c r="E193" s="38"/>
      <c r="F193" s="45"/>
      <c r="G193" s="3"/>
      <c r="H193" s="3"/>
      <c r="I193" s="9"/>
    </row>
    <row r="194" spans="1:9" ht="30" customHeight="1" x14ac:dyDescent="0.3">
      <c r="A194" s="5"/>
      <c r="B194" s="3"/>
      <c r="C194" s="9"/>
      <c r="D194" s="38"/>
      <c r="E194" s="38"/>
      <c r="F194" s="45"/>
      <c r="G194" s="3"/>
      <c r="H194" s="3"/>
      <c r="I194" s="9"/>
    </row>
    <row r="195" spans="1:9" ht="30" customHeight="1" x14ac:dyDescent="0.3">
      <c r="A195" s="5"/>
      <c r="B195" s="3"/>
      <c r="C195" s="9"/>
      <c r="D195" s="38"/>
      <c r="E195" s="38"/>
      <c r="F195" s="45"/>
      <c r="G195" s="3"/>
      <c r="H195" s="3"/>
      <c r="I195" s="9"/>
    </row>
    <row r="196" spans="1:9" ht="30" customHeight="1" x14ac:dyDescent="0.3">
      <c r="A196" s="5"/>
      <c r="B196" s="3"/>
      <c r="C196" s="9"/>
      <c r="D196" s="38"/>
      <c r="E196" s="38"/>
      <c r="F196" s="45"/>
      <c r="G196" s="3"/>
      <c r="H196" s="3"/>
      <c r="I196" s="9"/>
    </row>
    <row r="197" spans="1:9" ht="30" customHeight="1" x14ac:dyDescent="0.3">
      <c r="A197" s="5"/>
      <c r="B197" s="3"/>
      <c r="C197" s="9"/>
      <c r="D197" s="38"/>
      <c r="E197" s="38"/>
      <c r="F197" s="45"/>
      <c r="G197" s="3"/>
      <c r="H197" s="3"/>
      <c r="I197" s="9"/>
    </row>
    <row r="198" spans="1:9" ht="30" customHeight="1" x14ac:dyDescent="0.3">
      <c r="A198" s="5"/>
      <c r="B198" s="3"/>
      <c r="C198" s="9"/>
      <c r="D198" s="38"/>
      <c r="E198" s="38"/>
      <c r="F198" s="45"/>
      <c r="G198" s="3"/>
      <c r="H198" s="3"/>
      <c r="I198" s="9"/>
    </row>
    <row r="199" spans="1:9" ht="30" customHeight="1" x14ac:dyDescent="0.3">
      <c r="A199" s="5"/>
      <c r="B199" s="3"/>
      <c r="C199" s="9"/>
      <c r="D199" s="38"/>
      <c r="E199" s="38"/>
      <c r="F199" s="45"/>
      <c r="G199" s="3"/>
      <c r="H199" s="3"/>
      <c r="I199" s="9"/>
    </row>
    <row r="200" spans="1:9" ht="30" customHeight="1" x14ac:dyDescent="0.3">
      <c r="A200" s="5"/>
      <c r="B200" s="3"/>
      <c r="C200" s="9"/>
      <c r="D200" s="38"/>
      <c r="E200" s="38"/>
      <c r="F200" s="45"/>
      <c r="G200" s="3"/>
      <c r="H200" s="3"/>
      <c r="I200" s="9"/>
    </row>
    <row r="201" spans="1:9" ht="30" customHeight="1" x14ac:dyDescent="0.3">
      <c r="A201" s="5"/>
      <c r="B201" s="3"/>
      <c r="C201" s="9"/>
      <c r="D201" s="38"/>
      <c r="E201" s="38"/>
      <c r="F201" s="45"/>
      <c r="G201" s="3"/>
      <c r="H201" s="3"/>
      <c r="I201" s="9"/>
    </row>
    <row r="202" spans="1:9" ht="30" customHeight="1" x14ac:dyDescent="0.3">
      <c r="A202" s="5"/>
      <c r="B202" s="3"/>
      <c r="C202" s="9"/>
      <c r="D202" s="38"/>
      <c r="E202" s="38"/>
      <c r="F202" s="45"/>
      <c r="G202" s="3"/>
      <c r="H202" s="3"/>
      <c r="I202" s="9"/>
    </row>
    <row r="203" spans="1:9" ht="30" customHeight="1" x14ac:dyDescent="0.3">
      <c r="A203" s="5"/>
      <c r="B203" s="3"/>
      <c r="C203" s="9"/>
      <c r="D203" s="38"/>
      <c r="E203" s="38"/>
      <c r="F203" s="45"/>
      <c r="G203" s="3"/>
      <c r="H203" s="3"/>
      <c r="I203" s="9"/>
    </row>
    <row r="204" spans="1:9" ht="30" customHeight="1" x14ac:dyDescent="0.3">
      <c r="A204" s="5"/>
      <c r="B204" s="3"/>
      <c r="C204" s="9"/>
      <c r="D204" s="38"/>
      <c r="E204" s="38"/>
      <c r="F204" s="45"/>
      <c r="G204" s="3"/>
      <c r="H204" s="3"/>
      <c r="I204" s="9"/>
    </row>
    <row r="205" spans="1:9" ht="30" customHeight="1" x14ac:dyDescent="0.3">
      <c r="A205" s="5"/>
      <c r="B205" s="3"/>
      <c r="C205" s="9"/>
      <c r="D205" s="38"/>
      <c r="E205" s="38"/>
      <c r="F205" s="45"/>
      <c r="G205" s="3"/>
      <c r="H205" s="3"/>
      <c r="I205" s="9"/>
    </row>
    <row r="206" spans="1:9" ht="30" customHeight="1" x14ac:dyDescent="0.3">
      <c r="A206" s="5"/>
      <c r="B206" s="3"/>
      <c r="C206" s="9"/>
      <c r="D206" s="38"/>
      <c r="E206" s="38"/>
      <c r="F206" s="45"/>
      <c r="G206" s="3"/>
      <c r="H206" s="3"/>
      <c r="I206" s="9"/>
    </row>
    <row r="207" spans="1:9" ht="30" customHeight="1" x14ac:dyDescent="0.3">
      <c r="A207" s="5"/>
      <c r="B207" s="3"/>
      <c r="C207" s="9"/>
      <c r="D207" s="38"/>
      <c r="E207" s="38"/>
      <c r="F207" s="45"/>
      <c r="G207" s="3"/>
      <c r="H207" s="3"/>
      <c r="I207" s="9"/>
    </row>
    <row r="208" spans="1:9" ht="30" customHeight="1" x14ac:dyDescent="0.3">
      <c r="A208" s="5"/>
      <c r="B208" s="3"/>
      <c r="C208" s="9"/>
      <c r="D208" s="38"/>
      <c r="E208" s="38"/>
      <c r="F208" s="45"/>
      <c r="G208" s="3"/>
      <c r="H208" s="3"/>
      <c r="I208" s="9"/>
    </row>
    <row r="209" spans="1:9" ht="30" customHeight="1" x14ac:dyDescent="0.3">
      <c r="A209" s="5"/>
      <c r="B209" s="3"/>
      <c r="C209" s="9"/>
      <c r="D209" s="38"/>
      <c r="E209" s="38"/>
      <c r="F209" s="45"/>
      <c r="G209" s="3"/>
      <c r="H209" s="3"/>
      <c r="I209" s="9"/>
    </row>
    <row r="210" spans="1:9" ht="30" customHeight="1" x14ac:dyDescent="0.3">
      <c r="A210" s="5"/>
      <c r="B210" s="3"/>
      <c r="C210" s="9"/>
      <c r="D210" s="38"/>
      <c r="E210" s="38"/>
      <c r="F210" s="45"/>
      <c r="G210" s="3"/>
      <c r="H210" s="3"/>
      <c r="I210" s="9"/>
    </row>
    <row r="211" spans="1:9" ht="30" customHeight="1" x14ac:dyDescent="0.3">
      <c r="A211" s="5"/>
      <c r="B211" s="3"/>
      <c r="C211" s="9"/>
      <c r="D211" s="38"/>
      <c r="E211" s="38"/>
      <c r="F211" s="45"/>
      <c r="G211" s="3"/>
      <c r="H211" s="3"/>
      <c r="I211" s="9"/>
    </row>
    <row r="212" spans="1:9" ht="30" customHeight="1" x14ac:dyDescent="0.3">
      <c r="A212" s="5"/>
      <c r="B212" s="3"/>
      <c r="C212" s="9"/>
      <c r="D212" s="38"/>
      <c r="E212" s="38"/>
      <c r="F212" s="45"/>
      <c r="G212" s="3"/>
      <c r="H212" s="3"/>
      <c r="I212" s="9"/>
    </row>
    <row r="213" spans="1:9" ht="30" customHeight="1" x14ac:dyDescent="0.3">
      <c r="A213" s="5"/>
      <c r="B213" s="3"/>
      <c r="C213" s="9"/>
      <c r="D213" s="38"/>
      <c r="E213" s="38"/>
      <c r="F213" s="45"/>
      <c r="G213" s="3"/>
      <c r="H213" s="3"/>
      <c r="I213" s="9"/>
    </row>
    <row r="214" spans="1:9" ht="30" customHeight="1" x14ac:dyDescent="0.3">
      <c r="A214" s="5"/>
      <c r="B214" s="3"/>
      <c r="C214" s="9"/>
      <c r="D214" s="38"/>
      <c r="E214" s="38"/>
      <c r="F214" s="45"/>
      <c r="G214" s="3"/>
      <c r="H214" s="3"/>
      <c r="I214" s="9"/>
    </row>
    <row r="215" spans="1:9" ht="30" customHeight="1" x14ac:dyDescent="0.3">
      <c r="A215" s="5"/>
      <c r="B215" s="3"/>
      <c r="C215" s="9"/>
      <c r="D215" s="38"/>
      <c r="E215" s="38"/>
      <c r="F215" s="45"/>
      <c r="G215" s="3"/>
      <c r="H215" s="3"/>
      <c r="I215" s="9"/>
    </row>
    <row r="216" spans="1:9" ht="30" customHeight="1" x14ac:dyDescent="0.3">
      <c r="A216" s="5"/>
      <c r="B216" s="3"/>
      <c r="C216" s="9"/>
      <c r="D216" s="38"/>
      <c r="E216" s="38"/>
      <c r="F216" s="45"/>
      <c r="G216" s="3"/>
      <c r="H216" s="3"/>
      <c r="I216" s="9"/>
    </row>
    <row r="217" spans="1:9" ht="30" customHeight="1" x14ac:dyDescent="0.3">
      <c r="A217" s="5"/>
      <c r="B217" s="3"/>
      <c r="C217" s="9"/>
      <c r="D217" s="38"/>
      <c r="E217" s="38"/>
      <c r="F217" s="45"/>
      <c r="G217" s="3"/>
      <c r="H217" s="3"/>
      <c r="I217" s="9"/>
    </row>
    <row r="218" spans="1:9" ht="30" customHeight="1" x14ac:dyDescent="0.3">
      <c r="A218" s="5"/>
      <c r="B218" s="3"/>
      <c r="C218" s="9"/>
      <c r="D218" s="38"/>
      <c r="E218" s="38"/>
      <c r="F218" s="45"/>
      <c r="G218" s="3"/>
      <c r="H218" s="3"/>
      <c r="I218" s="9"/>
    </row>
    <row r="219" spans="1:9" ht="30" customHeight="1" x14ac:dyDescent="0.3">
      <c r="A219" s="5"/>
      <c r="B219" s="3"/>
      <c r="C219" s="9"/>
      <c r="D219" s="38"/>
      <c r="E219" s="38"/>
      <c r="F219" s="45"/>
      <c r="G219" s="3"/>
      <c r="H219" s="3"/>
      <c r="I219" s="9"/>
    </row>
    <row r="220" spans="1:9" ht="30" customHeight="1" x14ac:dyDescent="0.3">
      <c r="A220" s="5"/>
      <c r="B220" s="3"/>
      <c r="C220" s="9"/>
      <c r="D220" s="38"/>
      <c r="E220" s="38"/>
      <c r="F220" s="45"/>
      <c r="G220" s="3"/>
      <c r="H220" s="3"/>
      <c r="I220" s="9"/>
    </row>
    <row r="221" spans="1:9" ht="30" customHeight="1" x14ac:dyDescent="0.3">
      <c r="A221" s="5"/>
      <c r="B221" s="3"/>
      <c r="C221" s="9"/>
      <c r="D221" s="38"/>
      <c r="E221" s="38"/>
      <c r="F221" s="45"/>
      <c r="G221" s="3"/>
      <c r="H221" s="3"/>
      <c r="I221" s="9"/>
    </row>
    <row r="222" spans="1:9" ht="30" customHeight="1" x14ac:dyDescent="0.3">
      <c r="A222" s="5"/>
      <c r="B222" s="3"/>
      <c r="C222" s="9"/>
      <c r="D222" s="38"/>
      <c r="E222" s="38"/>
      <c r="F222" s="45"/>
      <c r="G222" s="3"/>
      <c r="H222" s="3"/>
      <c r="I222" s="9"/>
    </row>
    <row r="223" spans="1:9" ht="30" customHeight="1" x14ac:dyDescent="0.3">
      <c r="A223" s="5"/>
      <c r="B223" s="3"/>
      <c r="C223" s="9"/>
      <c r="D223" s="38"/>
      <c r="E223" s="38"/>
      <c r="F223" s="45"/>
      <c r="G223" s="3"/>
      <c r="H223" s="3"/>
      <c r="I223" s="9"/>
    </row>
    <row r="224" spans="1:9" ht="30" customHeight="1" x14ac:dyDescent="0.3">
      <c r="A224" s="5"/>
      <c r="B224" s="3"/>
      <c r="C224" s="9"/>
      <c r="D224" s="38"/>
      <c r="E224" s="38"/>
      <c r="F224" s="45"/>
      <c r="G224" s="3"/>
      <c r="H224" s="3"/>
      <c r="I224" s="9"/>
    </row>
    <row r="225" spans="1:9" ht="30" customHeight="1" x14ac:dyDescent="0.3">
      <c r="A225" s="5"/>
      <c r="B225" s="3"/>
      <c r="C225" s="9"/>
      <c r="D225" s="38"/>
      <c r="E225" s="38"/>
      <c r="F225" s="45"/>
      <c r="G225" s="3"/>
      <c r="H225" s="3"/>
      <c r="I225" s="9"/>
    </row>
    <row r="226" spans="1:9" ht="30" customHeight="1" x14ac:dyDescent="0.3">
      <c r="A226" s="5"/>
      <c r="B226" s="3"/>
      <c r="C226" s="9"/>
      <c r="D226" s="38"/>
      <c r="E226" s="38"/>
      <c r="F226" s="45"/>
      <c r="G226" s="3"/>
      <c r="H226" s="3"/>
      <c r="I226" s="9"/>
    </row>
    <row r="227" spans="1:9" ht="30" customHeight="1" x14ac:dyDescent="0.3">
      <c r="A227" s="5"/>
      <c r="B227" s="3"/>
      <c r="C227" s="9"/>
      <c r="D227" s="38"/>
      <c r="E227" s="38"/>
      <c r="F227" s="45"/>
      <c r="G227" s="3"/>
      <c r="H227" s="3"/>
      <c r="I227" s="9"/>
    </row>
    <row r="228" spans="1:9" ht="30" customHeight="1" x14ac:dyDescent="0.3">
      <c r="A228" s="5"/>
      <c r="B228" s="3"/>
      <c r="C228" s="9"/>
      <c r="D228" s="38"/>
      <c r="E228" s="38"/>
      <c r="F228" s="45"/>
      <c r="G228" s="3"/>
      <c r="H228" s="3"/>
      <c r="I228" s="9"/>
    </row>
    <row r="229" spans="1:9" ht="30" customHeight="1" x14ac:dyDescent="0.3">
      <c r="A229" s="5"/>
      <c r="B229" s="3"/>
      <c r="C229" s="9"/>
      <c r="D229" s="38"/>
      <c r="E229" s="38"/>
      <c r="F229" s="45"/>
      <c r="G229" s="3"/>
      <c r="H229" s="3"/>
      <c r="I229" s="9"/>
    </row>
    <row r="230" spans="1:9" ht="30" customHeight="1" x14ac:dyDescent="0.3">
      <c r="A230" s="5"/>
      <c r="B230" s="3"/>
      <c r="C230" s="9"/>
      <c r="D230" s="38"/>
      <c r="E230" s="38"/>
      <c r="F230" s="45"/>
      <c r="G230" s="3"/>
      <c r="H230" s="3"/>
      <c r="I230" s="9"/>
    </row>
    <row r="231" spans="1:9" ht="30" customHeight="1" x14ac:dyDescent="0.3">
      <c r="A231" s="5"/>
      <c r="B231" s="3"/>
      <c r="C231" s="9"/>
      <c r="D231" s="38"/>
      <c r="E231" s="38"/>
      <c r="F231" s="45"/>
      <c r="G231" s="3"/>
      <c r="H231" s="3"/>
      <c r="I231" s="9"/>
    </row>
    <row r="232" spans="1:9" ht="30" customHeight="1" x14ac:dyDescent="0.3">
      <c r="A232" s="5"/>
      <c r="B232" s="3"/>
      <c r="C232" s="9"/>
      <c r="D232" s="38"/>
      <c r="E232" s="38"/>
      <c r="F232" s="45"/>
      <c r="G232" s="3"/>
      <c r="H232" s="3"/>
      <c r="I232" s="9"/>
    </row>
    <row r="233" spans="1:9" ht="30" customHeight="1" x14ac:dyDescent="0.3">
      <c r="A233" s="5"/>
      <c r="B233" s="3"/>
      <c r="C233" s="9"/>
      <c r="D233" s="38"/>
      <c r="E233" s="38"/>
      <c r="F233" s="45"/>
      <c r="G233" s="3"/>
      <c r="H233" s="3"/>
      <c r="I233" s="9"/>
    </row>
    <row r="234" spans="1:9" ht="30" customHeight="1" x14ac:dyDescent="0.3">
      <c r="A234" s="5"/>
      <c r="B234" s="3"/>
      <c r="C234" s="9"/>
      <c r="D234" s="38"/>
      <c r="E234" s="38"/>
      <c r="F234" s="45"/>
      <c r="G234" s="3"/>
      <c r="H234" s="3"/>
      <c r="I234" s="9"/>
    </row>
    <row r="235" spans="1:9" ht="30" customHeight="1" x14ac:dyDescent="0.3">
      <c r="A235" s="5"/>
      <c r="B235" s="3"/>
      <c r="C235" s="9"/>
      <c r="D235" s="38"/>
      <c r="E235" s="38"/>
      <c r="F235" s="45"/>
      <c r="G235" s="3"/>
      <c r="H235" s="3"/>
      <c r="I235" s="9"/>
    </row>
    <row r="236" spans="1:9" ht="30" customHeight="1" x14ac:dyDescent="0.3">
      <c r="A236" s="5"/>
      <c r="B236" s="3"/>
      <c r="C236" s="9"/>
      <c r="D236" s="38"/>
      <c r="E236" s="38"/>
      <c r="F236" s="45"/>
      <c r="G236" s="3"/>
      <c r="H236" s="3"/>
      <c r="I236" s="9"/>
    </row>
    <row r="237" spans="1:9" ht="30" customHeight="1" x14ac:dyDescent="0.3">
      <c r="A237" s="5"/>
      <c r="B237" s="3"/>
      <c r="C237" s="9"/>
      <c r="D237" s="38"/>
      <c r="E237" s="38"/>
      <c r="F237" s="45"/>
      <c r="G237" s="3"/>
      <c r="H237" s="3"/>
      <c r="I237" s="9"/>
    </row>
    <row r="238" spans="1:9" ht="30" customHeight="1" x14ac:dyDescent="0.3">
      <c r="A238" s="5"/>
      <c r="B238" s="3"/>
      <c r="C238" s="9"/>
      <c r="D238" s="38"/>
      <c r="E238" s="38"/>
      <c r="F238" s="45"/>
      <c r="G238" s="3"/>
      <c r="H238" s="3"/>
      <c r="I238" s="9"/>
    </row>
    <row r="239" spans="1:9" ht="30" customHeight="1" x14ac:dyDescent="0.3">
      <c r="A239" s="5"/>
      <c r="B239" s="3"/>
      <c r="C239" s="9"/>
      <c r="D239" s="38"/>
      <c r="E239" s="38"/>
      <c r="F239" s="45"/>
      <c r="G239" s="3"/>
      <c r="H239" s="3"/>
      <c r="I239" s="9"/>
    </row>
    <row r="240" spans="1:9" ht="30" customHeight="1" x14ac:dyDescent="0.3">
      <c r="A240" s="5"/>
      <c r="B240" s="3"/>
      <c r="C240" s="9"/>
      <c r="D240" s="38"/>
      <c r="E240" s="38"/>
      <c r="F240" s="45"/>
      <c r="G240" s="3"/>
      <c r="H240" s="3"/>
      <c r="I240" s="9"/>
    </row>
    <row r="241" spans="1:9" ht="30" customHeight="1" x14ac:dyDescent="0.3">
      <c r="A241" s="5"/>
      <c r="B241" s="3"/>
      <c r="C241" s="9"/>
      <c r="D241" s="38"/>
      <c r="E241" s="38"/>
      <c r="F241" s="45"/>
      <c r="G241" s="3"/>
      <c r="H241" s="3"/>
      <c r="I241" s="9"/>
    </row>
    <row r="242" spans="1:9" ht="30" customHeight="1" x14ac:dyDescent="0.3">
      <c r="A242" s="5"/>
      <c r="B242" s="3"/>
      <c r="C242" s="9"/>
      <c r="D242" s="38"/>
      <c r="E242" s="38"/>
      <c r="F242" s="45"/>
      <c r="G242" s="3"/>
      <c r="H242" s="3"/>
      <c r="I242" s="9"/>
    </row>
    <row r="243" spans="1:9" ht="30" customHeight="1" x14ac:dyDescent="0.3">
      <c r="A243" s="5"/>
      <c r="B243" s="3"/>
      <c r="C243" s="9"/>
      <c r="D243" s="38"/>
      <c r="E243" s="38"/>
      <c r="F243" s="45"/>
      <c r="G243" s="3"/>
      <c r="H243" s="3"/>
      <c r="I243" s="9"/>
    </row>
    <row r="244" spans="1:9" ht="30" customHeight="1" x14ac:dyDescent="0.3">
      <c r="A244" s="5"/>
      <c r="B244" s="3"/>
      <c r="C244" s="9"/>
      <c r="D244" s="38"/>
      <c r="E244" s="38"/>
      <c r="F244" s="45"/>
      <c r="G244" s="3"/>
      <c r="H244" s="3"/>
      <c r="I244" s="9"/>
    </row>
    <row r="245" spans="1:9" ht="30" customHeight="1" x14ac:dyDescent="0.3">
      <c r="A245" s="5"/>
      <c r="B245" s="3"/>
      <c r="C245" s="9"/>
      <c r="D245" s="38"/>
      <c r="E245" s="38"/>
      <c r="F245" s="45"/>
      <c r="G245" s="3"/>
      <c r="H245" s="3"/>
      <c r="I245" s="9"/>
    </row>
    <row r="246" spans="1:9" ht="30" customHeight="1" x14ac:dyDescent="0.3">
      <c r="A246" s="5"/>
      <c r="B246" s="3"/>
      <c r="C246" s="9"/>
      <c r="D246" s="38"/>
      <c r="E246" s="38"/>
      <c r="F246" s="45"/>
      <c r="G246" s="3"/>
      <c r="H246" s="3"/>
      <c r="I246" s="9"/>
    </row>
    <row r="247" spans="1:9" ht="30" customHeight="1" x14ac:dyDescent="0.3">
      <c r="A247" s="5"/>
      <c r="B247" s="3"/>
      <c r="C247" s="9"/>
      <c r="D247" s="38"/>
      <c r="E247" s="38"/>
      <c r="F247" s="45"/>
      <c r="G247" s="3"/>
      <c r="H247" s="3"/>
      <c r="I247" s="9"/>
    </row>
    <row r="248" spans="1:9" ht="30" customHeight="1" x14ac:dyDescent="0.3">
      <c r="A248" s="5"/>
      <c r="B248" s="3"/>
      <c r="C248" s="9"/>
      <c r="D248" s="38"/>
      <c r="E248" s="38"/>
      <c r="F248" s="45"/>
      <c r="G248" s="3"/>
      <c r="H248" s="3"/>
      <c r="I248" s="9"/>
    </row>
    <row r="249" spans="1:9" ht="30" customHeight="1" x14ac:dyDescent="0.3">
      <c r="A249" s="5"/>
      <c r="B249" s="3"/>
      <c r="C249" s="9"/>
      <c r="D249" s="38"/>
      <c r="E249" s="38"/>
      <c r="F249" s="45"/>
      <c r="G249" s="3"/>
      <c r="H249" s="3"/>
      <c r="I249" s="9"/>
    </row>
    <row r="250" spans="1:9" ht="30" customHeight="1" x14ac:dyDescent="0.3">
      <c r="A250" s="5"/>
      <c r="B250" s="3"/>
      <c r="C250" s="9"/>
      <c r="D250" s="38"/>
      <c r="E250" s="38"/>
      <c r="F250" s="45"/>
      <c r="G250" s="3"/>
      <c r="H250" s="3"/>
      <c r="I250" s="9"/>
    </row>
    <row r="251" spans="1:9" ht="30" customHeight="1" x14ac:dyDescent="0.3">
      <c r="A251" s="5"/>
      <c r="B251" s="3"/>
      <c r="C251" s="9"/>
      <c r="D251" s="38"/>
      <c r="E251" s="38"/>
      <c r="F251" s="45"/>
      <c r="G251" s="3"/>
      <c r="H251" s="3"/>
      <c r="I251" s="9"/>
    </row>
    <row r="252" spans="1:9" ht="30" customHeight="1" x14ac:dyDescent="0.3">
      <c r="A252" s="5"/>
      <c r="B252" s="3"/>
      <c r="C252" s="9"/>
      <c r="D252" s="38"/>
      <c r="E252" s="38"/>
      <c r="F252" s="45"/>
      <c r="G252" s="3"/>
      <c r="H252" s="3"/>
      <c r="I252" s="9"/>
    </row>
    <row r="253" spans="1:9" ht="30" customHeight="1" x14ac:dyDescent="0.3">
      <c r="A253" s="5"/>
      <c r="B253" s="3"/>
      <c r="C253" s="9"/>
      <c r="D253" s="38"/>
      <c r="E253" s="38"/>
      <c r="F253" s="45"/>
      <c r="G253" s="3"/>
      <c r="H253" s="3"/>
      <c r="I253" s="9"/>
    </row>
    <row r="254" spans="1:9" ht="30" customHeight="1" x14ac:dyDescent="0.3">
      <c r="A254" s="5"/>
      <c r="B254" s="3"/>
      <c r="C254" s="9"/>
      <c r="D254" s="38"/>
      <c r="E254" s="38"/>
      <c r="F254" s="45"/>
      <c r="G254" s="3"/>
      <c r="H254" s="3"/>
      <c r="I254" s="9"/>
    </row>
    <row r="255" spans="1:9" ht="30" customHeight="1" x14ac:dyDescent="0.3">
      <c r="A255" s="5"/>
      <c r="B255" s="3"/>
      <c r="C255" s="9"/>
      <c r="D255" s="38"/>
      <c r="E255" s="38"/>
      <c r="F255" s="45"/>
      <c r="G255" s="3"/>
      <c r="H255" s="3"/>
      <c r="I255" s="9"/>
    </row>
    <row r="256" spans="1:9" ht="30" customHeight="1" x14ac:dyDescent="0.3">
      <c r="A256" s="5"/>
      <c r="B256" s="3"/>
      <c r="C256" s="9"/>
      <c r="D256" s="38"/>
      <c r="E256" s="38"/>
      <c r="F256" s="45"/>
      <c r="G256" s="3"/>
      <c r="H256" s="3"/>
      <c r="I256" s="9"/>
    </row>
    <row r="257" spans="1:9" ht="30" customHeight="1" x14ac:dyDescent="0.3">
      <c r="A257" s="5"/>
      <c r="B257" s="3"/>
      <c r="C257" s="9"/>
      <c r="D257" s="38"/>
      <c r="E257" s="38"/>
      <c r="F257" s="45"/>
      <c r="G257" s="3"/>
      <c r="H257" s="3"/>
      <c r="I257" s="9"/>
    </row>
    <row r="258" spans="1:9" ht="30" customHeight="1" x14ac:dyDescent="0.3">
      <c r="A258" s="5"/>
      <c r="B258" s="3"/>
      <c r="C258" s="9"/>
      <c r="D258" s="38"/>
      <c r="E258" s="38"/>
      <c r="F258" s="45"/>
      <c r="G258" s="3"/>
      <c r="H258" s="3"/>
      <c r="I258" s="9"/>
    </row>
    <row r="259" spans="1:9" ht="30" customHeight="1" x14ac:dyDescent="0.3">
      <c r="A259" s="5"/>
      <c r="B259" s="3"/>
      <c r="C259" s="9"/>
      <c r="D259" s="38"/>
      <c r="E259" s="38"/>
      <c r="F259" s="45"/>
      <c r="G259" s="3"/>
      <c r="H259" s="3"/>
      <c r="I259" s="9"/>
    </row>
    <row r="260" spans="1:9" ht="30" customHeight="1" x14ac:dyDescent="0.3">
      <c r="A260" s="5"/>
      <c r="B260" s="3"/>
      <c r="C260" s="9"/>
      <c r="D260" s="38"/>
      <c r="E260" s="38"/>
      <c r="F260" s="45"/>
      <c r="G260" s="3"/>
      <c r="H260" s="3"/>
      <c r="I260" s="9"/>
    </row>
    <row r="261" spans="1:9" ht="30" customHeight="1" x14ac:dyDescent="0.3">
      <c r="A261" s="5"/>
      <c r="B261" s="3"/>
      <c r="C261" s="9"/>
      <c r="D261" s="38"/>
      <c r="E261" s="38"/>
      <c r="F261" s="45"/>
      <c r="G261" s="3"/>
      <c r="H261" s="3"/>
      <c r="I261" s="9"/>
    </row>
    <row r="262" spans="1:9" ht="30" customHeight="1" x14ac:dyDescent="0.3">
      <c r="A262" s="5"/>
      <c r="B262" s="3"/>
      <c r="C262" s="9"/>
      <c r="D262" s="38"/>
      <c r="E262" s="38"/>
      <c r="F262" s="45"/>
      <c r="G262" s="3"/>
      <c r="H262" s="3"/>
      <c r="I262" s="9"/>
    </row>
    <row r="263" spans="1:9" ht="30" customHeight="1" x14ac:dyDescent="0.3">
      <c r="A263" s="5"/>
      <c r="B263" s="3"/>
      <c r="C263" s="9"/>
      <c r="D263" s="38"/>
      <c r="E263" s="38"/>
      <c r="F263" s="45"/>
      <c r="G263" s="3"/>
      <c r="H263" s="3"/>
      <c r="I263" s="9"/>
    </row>
    <row r="264" spans="1:9" ht="30" customHeight="1" x14ac:dyDescent="0.3">
      <c r="A264" s="5"/>
      <c r="B264" s="3"/>
      <c r="C264" s="9"/>
      <c r="D264" s="38"/>
      <c r="E264" s="38"/>
      <c r="F264" s="45"/>
      <c r="G264" s="3"/>
      <c r="H264" s="3"/>
      <c r="I264" s="9"/>
    </row>
    <row r="265" spans="1:9" ht="30" customHeight="1" x14ac:dyDescent="0.3">
      <c r="A265" s="5"/>
      <c r="B265" s="3"/>
      <c r="C265" s="9"/>
      <c r="D265" s="38"/>
      <c r="E265" s="38"/>
      <c r="F265" s="45"/>
      <c r="G265" s="3"/>
      <c r="H265" s="3"/>
      <c r="I265" s="9"/>
    </row>
    <row r="266" spans="1:9" ht="30" customHeight="1" x14ac:dyDescent="0.3">
      <c r="A266" s="5"/>
      <c r="B266" s="3"/>
      <c r="C266" s="9"/>
      <c r="D266" s="38"/>
      <c r="E266" s="38"/>
      <c r="F266" s="45"/>
      <c r="G266" s="3"/>
      <c r="H266" s="3"/>
      <c r="I266" s="9"/>
    </row>
    <row r="267" spans="1:9" ht="30" customHeight="1" x14ac:dyDescent="0.3">
      <c r="A267" s="5"/>
      <c r="B267" s="3"/>
      <c r="C267" s="9"/>
      <c r="D267" s="38"/>
      <c r="E267" s="38"/>
      <c r="F267" s="45"/>
      <c r="G267" s="3"/>
      <c r="H267" s="3"/>
      <c r="I267" s="9"/>
    </row>
    <row r="268" spans="1:9" ht="30" customHeight="1" x14ac:dyDescent="0.3">
      <c r="A268" s="5"/>
      <c r="B268" s="3"/>
      <c r="C268" s="9"/>
      <c r="D268" s="38"/>
      <c r="E268" s="38"/>
      <c r="F268" s="45"/>
      <c r="G268" s="3"/>
      <c r="H268" s="3"/>
      <c r="I268" s="9"/>
    </row>
    <row r="269" spans="1:9" ht="30" customHeight="1" x14ac:dyDescent="0.3">
      <c r="A269" s="5"/>
      <c r="B269" s="3"/>
      <c r="C269" s="9"/>
      <c r="D269" s="38"/>
      <c r="E269" s="38"/>
      <c r="F269" s="45"/>
      <c r="G269" s="3"/>
      <c r="H269" s="3"/>
      <c r="I269" s="9"/>
    </row>
    <row r="270" spans="1:9" ht="30" customHeight="1" x14ac:dyDescent="0.3">
      <c r="A270" s="5"/>
      <c r="B270" s="3"/>
      <c r="C270" s="9"/>
      <c r="D270" s="38"/>
      <c r="E270" s="38"/>
      <c r="F270" s="45"/>
      <c r="G270" s="3"/>
      <c r="H270" s="3"/>
      <c r="I270" s="9"/>
    </row>
    <row r="271" spans="1:9" ht="30" customHeight="1" x14ac:dyDescent="0.3">
      <c r="A271" s="5"/>
      <c r="B271" s="3"/>
      <c r="C271" s="9"/>
      <c r="D271" s="38"/>
      <c r="E271" s="38"/>
      <c r="F271" s="45"/>
      <c r="G271" s="3"/>
      <c r="H271" s="3"/>
      <c r="I271" s="9"/>
    </row>
    <row r="272" spans="1:9" ht="30" customHeight="1" x14ac:dyDescent="0.3">
      <c r="A272" s="5"/>
      <c r="B272" s="3"/>
      <c r="C272" s="9"/>
      <c r="D272" s="38"/>
      <c r="E272" s="38"/>
      <c r="F272" s="45"/>
      <c r="G272" s="3"/>
      <c r="H272" s="3"/>
      <c r="I272" s="9"/>
    </row>
    <row r="273" spans="1:9" ht="30" customHeight="1" x14ac:dyDescent="0.3">
      <c r="A273" s="5"/>
      <c r="B273" s="3"/>
      <c r="C273" s="9"/>
      <c r="D273" s="38"/>
      <c r="E273" s="38"/>
      <c r="F273" s="45"/>
      <c r="G273" s="3"/>
      <c r="H273" s="3"/>
      <c r="I273" s="9"/>
    </row>
    <row r="274" spans="1:9" ht="30" customHeight="1" x14ac:dyDescent="0.3">
      <c r="A274" s="5"/>
      <c r="B274" s="3"/>
      <c r="C274" s="9"/>
      <c r="D274" s="38"/>
      <c r="E274" s="38"/>
      <c r="F274" s="45"/>
      <c r="G274" s="3"/>
      <c r="H274" s="3"/>
      <c r="I274" s="9"/>
    </row>
    <row r="275" spans="1:9" ht="30" customHeight="1" x14ac:dyDescent="0.3">
      <c r="A275" s="2"/>
      <c r="B275" s="2"/>
      <c r="C275" s="9"/>
      <c r="D275" s="40"/>
      <c r="E275" s="40"/>
      <c r="F275" s="46"/>
      <c r="G275" s="2"/>
      <c r="H275" s="2"/>
      <c r="I275" s="9"/>
    </row>
    <row r="276" spans="1:9" ht="30" customHeight="1" x14ac:dyDescent="0.3">
      <c r="A276" s="2"/>
      <c r="B276" s="2"/>
      <c r="C276" s="9"/>
      <c r="D276" s="40"/>
      <c r="E276" s="40"/>
      <c r="F276" s="46"/>
      <c r="G276" s="2"/>
      <c r="H276" s="2"/>
      <c r="I276" s="9"/>
    </row>
    <row r="277" spans="1:9" ht="30" customHeight="1" x14ac:dyDescent="0.3">
      <c r="A277" s="2"/>
      <c r="B277" s="2"/>
      <c r="C277" s="9"/>
      <c r="D277" s="40"/>
      <c r="E277" s="40"/>
      <c r="F277" s="46"/>
      <c r="G277" s="2"/>
      <c r="H277" s="2"/>
      <c r="I277" s="9"/>
    </row>
    <row r="278" spans="1:9" ht="30" customHeight="1" x14ac:dyDescent="0.3">
      <c r="A278" s="2"/>
      <c r="B278" s="2"/>
      <c r="C278" s="9"/>
      <c r="D278" s="40"/>
      <c r="E278" s="40"/>
      <c r="F278" s="46"/>
      <c r="G278" s="2"/>
      <c r="H278" s="2"/>
      <c r="I278" s="9"/>
    </row>
    <row r="279" spans="1:9" ht="30" customHeight="1" x14ac:dyDescent="0.3">
      <c r="A279" s="2"/>
      <c r="B279" s="2"/>
      <c r="C279" s="9"/>
      <c r="D279" s="40"/>
      <c r="E279" s="40"/>
      <c r="F279" s="46"/>
      <c r="G279" s="2"/>
      <c r="H279" s="2"/>
      <c r="I279" s="9"/>
    </row>
    <row r="280" spans="1:9" ht="30" customHeight="1" x14ac:dyDescent="0.3">
      <c r="A280" s="2"/>
      <c r="B280" s="2"/>
      <c r="C280" s="9"/>
      <c r="D280" s="40"/>
      <c r="E280" s="40"/>
      <c r="F280" s="46"/>
      <c r="G280" s="2"/>
      <c r="H280" s="2"/>
      <c r="I280" s="9"/>
    </row>
    <row r="281" spans="1:9" ht="30" customHeight="1" x14ac:dyDescent="0.3">
      <c r="A281" s="2"/>
      <c r="B281" s="2"/>
      <c r="C281" s="9"/>
      <c r="D281" s="40"/>
      <c r="E281" s="40"/>
      <c r="F281" s="46"/>
      <c r="G281" s="2"/>
      <c r="H281" s="2"/>
      <c r="I281" s="9"/>
    </row>
    <row r="282" spans="1:9" ht="30" customHeight="1" x14ac:dyDescent="0.3">
      <c r="A282" s="2"/>
      <c r="B282" s="2"/>
      <c r="C282" s="9"/>
      <c r="D282" s="40"/>
      <c r="E282" s="40"/>
      <c r="F282" s="46"/>
      <c r="G282" s="2"/>
      <c r="H282" s="2"/>
      <c r="I282" s="9"/>
    </row>
    <row r="283" spans="1:9" x14ac:dyDescent="0.3">
      <c r="A283" s="9"/>
      <c r="B283" s="9"/>
      <c r="C283" s="9"/>
      <c r="D283" s="41"/>
      <c r="E283" s="41"/>
      <c r="F283" s="37"/>
      <c r="G283" s="9"/>
      <c r="H283" s="9"/>
      <c r="I283" s="9"/>
    </row>
    <row r="284" spans="1:9" x14ac:dyDescent="0.3">
      <c r="A284" s="9"/>
      <c r="B284" s="9"/>
      <c r="C284" s="9"/>
      <c r="D284" s="41"/>
      <c r="E284" s="41"/>
      <c r="F284" s="37"/>
      <c r="G284" s="9"/>
      <c r="H284" s="9"/>
      <c r="I284" s="9"/>
    </row>
    <row r="285" spans="1:9" x14ac:dyDescent="0.3">
      <c r="A285" s="9"/>
      <c r="B285" s="9"/>
      <c r="C285" s="9"/>
      <c r="D285" s="41"/>
      <c r="E285" s="41"/>
      <c r="F285" s="37"/>
      <c r="G285" s="9"/>
      <c r="H285" s="9"/>
      <c r="I285" s="9"/>
    </row>
    <row r="286" spans="1:9" x14ac:dyDescent="0.3">
      <c r="A286" s="9"/>
      <c r="B286" s="9"/>
      <c r="C286" s="9"/>
      <c r="D286" s="41"/>
      <c r="E286" s="41"/>
      <c r="F286" s="37"/>
      <c r="G286" s="9"/>
      <c r="H286" s="9"/>
      <c r="I286" s="9"/>
    </row>
    <row r="287" spans="1:9" x14ac:dyDescent="0.3">
      <c r="A287" s="9"/>
      <c r="B287" s="9"/>
      <c r="C287" s="9"/>
      <c r="D287" s="41"/>
      <c r="E287" s="41"/>
      <c r="F287" s="37"/>
      <c r="G287" s="9"/>
      <c r="H287" s="9"/>
      <c r="I287" s="9"/>
    </row>
    <row r="288" spans="1:9" x14ac:dyDescent="0.3">
      <c r="A288" s="9"/>
      <c r="B288" s="9"/>
      <c r="C288" s="9"/>
      <c r="D288" s="41"/>
      <c r="E288" s="41"/>
      <c r="F288" s="37"/>
      <c r="G288" s="9"/>
      <c r="H288" s="9"/>
      <c r="I288" s="9"/>
    </row>
    <row r="289" spans="1:9" x14ac:dyDescent="0.3">
      <c r="A289" s="9"/>
      <c r="B289" s="9"/>
      <c r="C289" s="9"/>
      <c r="D289" s="41"/>
      <c r="E289" s="41"/>
      <c r="F289" s="37"/>
      <c r="G289" s="9"/>
      <c r="H289" s="9"/>
      <c r="I289" s="9"/>
    </row>
    <row r="290" spans="1:9" x14ac:dyDescent="0.3">
      <c r="A290" s="9"/>
      <c r="B290" s="9"/>
      <c r="C290" s="9"/>
      <c r="D290" s="41"/>
      <c r="E290" s="41"/>
      <c r="F290" s="37"/>
      <c r="G290" s="9"/>
      <c r="H290" s="9"/>
      <c r="I290" s="9"/>
    </row>
    <row r="291" spans="1:9" x14ac:dyDescent="0.3">
      <c r="A291" s="9"/>
      <c r="B291" s="9"/>
      <c r="C291" s="9"/>
      <c r="D291" s="41"/>
      <c r="E291" s="41"/>
      <c r="F291" s="37"/>
      <c r="G291" s="9"/>
      <c r="H291" s="9"/>
      <c r="I291" s="9"/>
    </row>
    <row r="292" spans="1:9" x14ac:dyDescent="0.3">
      <c r="A292" s="9"/>
      <c r="B292" s="9"/>
      <c r="C292" s="9"/>
      <c r="D292" s="41"/>
      <c r="E292" s="41"/>
      <c r="F292" s="37"/>
      <c r="G292" s="9"/>
      <c r="H292" s="9"/>
      <c r="I292" s="9"/>
    </row>
    <row r="293" spans="1:9" x14ac:dyDescent="0.3">
      <c r="A293" s="9"/>
      <c r="B293" s="9"/>
      <c r="C293" s="9"/>
      <c r="D293" s="41"/>
      <c r="E293" s="41"/>
      <c r="F293" s="37"/>
      <c r="G293" s="9"/>
      <c r="H293" s="9"/>
      <c r="I293" s="9"/>
    </row>
    <row r="294" spans="1:9" x14ac:dyDescent="0.3">
      <c r="A294" s="9"/>
      <c r="B294" s="9"/>
      <c r="C294" s="9"/>
      <c r="D294" s="41"/>
      <c r="E294" s="41"/>
      <c r="F294" s="37"/>
      <c r="G294" s="9"/>
      <c r="H294" s="9"/>
      <c r="I294" s="9"/>
    </row>
    <row r="295" spans="1:9" x14ac:dyDescent="0.3">
      <c r="A295" s="9"/>
      <c r="B295" s="9"/>
      <c r="C295" s="9"/>
      <c r="D295" s="41"/>
      <c r="E295" s="41"/>
      <c r="F295" s="37"/>
      <c r="G295" s="9"/>
      <c r="H295" s="9"/>
      <c r="I295" s="9"/>
    </row>
    <row r="296" spans="1:9" x14ac:dyDescent="0.3">
      <c r="A296" s="9"/>
      <c r="B296" s="9"/>
      <c r="C296" s="9"/>
      <c r="D296" s="41"/>
      <c r="E296" s="41"/>
      <c r="F296" s="37"/>
      <c r="G296" s="9"/>
      <c r="H296" s="9"/>
      <c r="I296" s="9"/>
    </row>
    <row r="297" spans="1:9" x14ac:dyDescent="0.3">
      <c r="A297" s="9"/>
      <c r="B297" s="9"/>
      <c r="C297" s="9"/>
      <c r="D297" s="41"/>
      <c r="E297" s="41"/>
      <c r="F297" s="37"/>
      <c r="G297" s="9"/>
      <c r="H297" s="9"/>
      <c r="I297" s="9"/>
    </row>
    <row r="298" spans="1:9" x14ac:dyDescent="0.3">
      <c r="A298" s="9"/>
      <c r="B298" s="9"/>
      <c r="C298" s="9"/>
      <c r="D298" s="41"/>
      <c r="E298" s="41"/>
      <c r="F298" s="37"/>
      <c r="G298" s="9"/>
      <c r="H298" s="9"/>
      <c r="I298" s="9"/>
    </row>
    <row r="299" spans="1:9" x14ac:dyDescent="0.3">
      <c r="A299" s="9"/>
      <c r="B299" s="9"/>
      <c r="C299" s="9"/>
      <c r="D299" s="41"/>
      <c r="E299" s="41"/>
      <c r="F299" s="37"/>
      <c r="G299" s="9"/>
      <c r="H299" s="9"/>
      <c r="I299" s="9"/>
    </row>
    <row r="300" spans="1:9" x14ac:dyDescent="0.3">
      <c r="A300" s="9"/>
      <c r="B300" s="9"/>
      <c r="C300" s="9"/>
      <c r="D300" s="41"/>
      <c r="E300" s="41"/>
      <c r="F300" s="37"/>
      <c r="G300" s="9"/>
      <c r="H300" s="9"/>
      <c r="I300" s="9"/>
    </row>
    <row r="301" spans="1:9" x14ac:dyDescent="0.3">
      <c r="A301" s="9"/>
      <c r="B301" s="9"/>
      <c r="C301" s="9"/>
      <c r="D301" s="41"/>
      <c r="E301" s="41"/>
      <c r="F301" s="37"/>
      <c r="G301" s="9"/>
      <c r="H301" s="9"/>
      <c r="I301" s="9"/>
    </row>
    <row r="302" spans="1:9" x14ac:dyDescent="0.3">
      <c r="A302" s="9"/>
      <c r="B302" s="9"/>
      <c r="C302" s="9"/>
      <c r="D302" s="41"/>
      <c r="E302" s="41"/>
      <c r="F302" s="37"/>
      <c r="G302" s="9"/>
      <c r="H302" s="9"/>
      <c r="I302" s="9"/>
    </row>
    <row r="303" spans="1:9" x14ac:dyDescent="0.3">
      <c r="A303" s="9"/>
      <c r="B303" s="9"/>
      <c r="C303" s="9"/>
      <c r="D303" s="41"/>
      <c r="E303" s="41"/>
      <c r="F303" s="37"/>
      <c r="G303" s="9"/>
      <c r="H303" s="9"/>
      <c r="I303" s="9"/>
    </row>
    <row r="304" spans="1:9" x14ac:dyDescent="0.3">
      <c r="A304" s="9"/>
      <c r="B304" s="9"/>
      <c r="C304" s="9"/>
      <c r="D304" s="37"/>
      <c r="E304" s="37"/>
      <c r="F304" s="37"/>
      <c r="G304" s="9"/>
      <c r="H304" s="9"/>
      <c r="I304" s="9"/>
    </row>
    <row r="305" spans="1:9" x14ac:dyDescent="0.3">
      <c r="A305" s="9"/>
      <c r="B305" s="9"/>
      <c r="C305" s="9"/>
      <c r="D305" s="37"/>
      <c r="E305" s="37"/>
      <c r="F305" s="37"/>
      <c r="G305" s="9"/>
      <c r="H305" s="9"/>
      <c r="I305" s="9"/>
    </row>
    <row r="306" spans="1:9" x14ac:dyDescent="0.3">
      <c r="A306" s="9"/>
      <c r="B306" s="9"/>
      <c r="C306" s="9"/>
      <c r="D306" s="37"/>
      <c r="E306" s="37"/>
      <c r="F306" s="37"/>
      <c r="G306" s="9"/>
      <c r="H306" s="9"/>
      <c r="I306" s="9"/>
    </row>
    <row r="307" spans="1:9" x14ac:dyDescent="0.3">
      <c r="A307" s="9"/>
      <c r="B307" s="9"/>
      <c r="C307" s="9"/>
      <c r="D307" s="37"/>
      <c r="E307" s="37"/>
      <c r="F307" s="37"/>
      <c r="G307" s="9"/>
      <c r="H307" s="9"/>
      <c r="I307" s="9"/>
    </row>
    <row r="308" spans="1:9" x14ac:dyDescent="0.3">
      <c r="A308" s="9"/>
      <c r="B308" s="9"/>
      <c r="C308" s="9"/>
      <c r="D308" s="37"/>
      <c r="E308" s="37"/>
      <c r="F308" s="37"/>
      <c r="G308" s="9"/>
      <c r="H308" s="9"/>
      <c r="I308" s="9"/>
    </row>
    <row r="309" spans="1:9" x14ac:dyDescent="0.3">
      <c r="A309" s="9"/>
      <c r="B309" s="9"/>
      <c r="C309" s="9"/>
      <c r="D309" s="37"/>
      <c r="E309" s="37"/>
      <c r="F309" s="37"/>
      <c r="G309" s="9"/>
      <c r="H309" s="9"/>
      <c r="I309" s="9"/>
    </row>
    <row r="310" spans="1:9" x14ac:dyDescent="0.3">
      <c r="A310" s="9"/>
      <c r="B310" s="9"/>
      <c r="C310" s="9"/>
      <c r="D310" s="37"/>
      <c r="E310" s="37"/>
      <c r="F310" s="37"/>
      <c r="G310" s="9"/>
      <c r="H310" s="9"/>
      <c r="I310" s="9"/>
    </row>
    <row r="311" spans="1:9" x14ac:dyDescent="0.3">
      <c r="A311" s="9"/>
      <c r="B311" s="9"/>
      <c r="C311" s="9"/>
      <c r="D311" s="37"/>
      <c r="E311" s="37"/>
      <c r="F311" s="37"/>
      <c r="G311" s="9"/>
      <c r="H311" s="9"/>
      <c r="I311" s="9"/>
    </row>
    <row r="312" spans="1:9" x14ac:dyDescent="0.3">
      <c r="A312" s="9"/>
      <c r="B312" s="9"/>
      <c r="C312" s="9"/>
      <c r="D312" s="37"/>
      <c r="E312" s="37"/>
      <c r="F312" s="37"/>
      <c r="G312" s="9"/>
      <c r="H312" s="9"/>
      <c r="I312" s="9"/>
    </row>
    <row r="313" spans="1:9" x14ac:dyDescent="0.3">
      <c r="A313" s="9"/>
      <c r="B313" s="9"/>
      <c r="C313" s="9"/>
      <c r="D313" s="37"/>
      <c r="E313" s="37"/>
      <c r="F313" s="37"/>
      <c r="G313" s="9"/>
      <c r="H313" s="9"/>
      <c r="I313" s="9"/>
    </row>
    <row r="314" spans="1:9" x14ac:dyDescent="0.3">
      <c r="A314" s="9"/>
      <c r="B314" s="9"/>
      <c r="C314" s="9"/>
      <c r="D314" s="37"/>
      <c r="E314" s="37"/>
      <c r="F314" s="37"/>
      <c r="G314" s="9"/>
      <c r="H314" s="9"/>
      <c r="I314" s="9"/>
    </row>
    <row r="315" spans="1:9" x14ac:dyDescent="0.3">
      <c r="A315" s="9"/>
      <c r="B315" s="9"/>
      <c r="C315" s="9"/>
      <c r="D315" s="37"/>
      <c r="E315" s="37"/>
      <c r="F315" s="37"/>
      <c r="G315" s="9"/>
      <c r="H315" s="9"/>
      <c r="I315" s="9"/>
    </row>
    <row r="316" spans="1:9" x14ac:dyDescent="0.3">
      <c r="A316" s="9"/>
      <c r="B316" s="9"/>
      <c r="C316" s="9"/>
      <c r="D316" s="37"/>
      <c r="E316" s="37"/>
      <c r="F316" s="37"/>
      <c r="G316" s="9"/>
      <c r="H316" s="9"/>
      <c r="I316" s="9"/>
    </row>
    <row r="317" spans="1:9" x14ac:dyDescent="0.3">
      <c r="A317" s="9"/>
      <c r="B317" s="9"/>
      <c r="C317" s="9"/>
      <c r="D317" s="37"/>
      <c r="E317" s="37"/>
      <c r="F317" s="37"/>
      <c r="G317" s="9"/>
      <c r="H317" s="9"/>
      <c r="I317" s="9"/>
    </row>
    <row r="318" spans="1:9" x14ac:dyDescent="0.3">
      <c r="A318" s="9"/>
      <c r="B318" s="9"/>
      <c r="C318" s="9"/>
      <c r="D318" s="37"/>
      <c r="E318" s="37"/>
      <c r="F318" s="37"/>
      <c r="G318" s="9"/>
      <c r="H318" s="9"/>
      <c r="I318" s="9"/>
    </row>
    <row r="319" spans="1:9" x14ac:dyDescent="0.3">
      <c r="A319" s="9"/>
      <c r="B319" s="9"/>
      <c r="C319" s="9"/>
      <c r="D319" s="37"/>
      <c r="E319" s="37"/>
      <c r="F319" s="37"/>
      <c r="G319" s="9"/>
      <c r="H319" s="9"/>
      <c r="I319" s="9"/>
    </row>
    <row r="320" spans="1:9" x14ac:dyDescent="0.3">
      <c r="A320" s="9"/>
      <c r="B320" s="9"/>
      <c r="C320" s="9"/>
      <c r="D320" s="37"/>
      <c r="E320" s="37"/>
      <c r="F320" s="37"/>
      <c r="G320" s="9"/>
      <c r="H320" s="9"/>
      <c r="I320" s="9"/>
    </row>
    <row r="321" spans="1:9" x14ac:dyDescent="0.3">
      <c r="A321" s="9"/>
      <c r="B321" s="9"/>
      <c r="C321" s="9"/>
      <c r="D321" s="37"/>
      <c r="E321" s="37"/>
      <c r="F321" s="37"/>
      <c r="G321" s="9"/>
      <c r="H321" s="9"/>
      <c r="I321" s="9"/>
    </row>
    <row r="322" spans="1:9" x14ac:dyDescent="0.3">
      <c r="A322" s="9"/>
      <c r="B322" s="9"/>
      <c r="C322" s="9"/>
      <c r="D322" s="37"/>
      <c r="E322" s="37"/>
      <c r="F322" s="37"/>
      <c r="G322" s="9"/>
      <c r="H322" s="9"/>
      <c r="I322" s="9"/>
    </row>
    <row r="323" spans="1:9" x14ac:dyDescent="0.3">
      <c r="A323" s="9"/>
      <c r="B323" s="9"/>
      <c r="C323" s="9"/>
      <c r="D323" s="37"/>
      <c r="E323" s="37"/>
      <c r="F323" s="37"/>
      <c r="G323" s="9"/>
      <c r="H323" s="9"/>
      <c r="I323" s="9"/>
    </row>
    <row r="324" spans="1:9" x14ac:dyDescent="0.3">
      <c r="A324" s="9"/>
      <c r="B324" s="9"/>
      <c r="C324" s="9"/>
      <c r="D324" s="37"/>
      <c r="E324" s="37"/>
      <c r="F324" s="37"/>
      <c r="G324" s="9"/>
      <c r="H324" s="9"/>
      <c r="I324" s="9"/>
    </row>
    <row r="325" spans="1:9" x14ac:dyDescent="0.3">
      <c r="A325" s="9"/>
      <c r="B325" s="9"/>
      <c r="C325" s="9"/>
      <c r="D325" s="37"/>
      <c r="E325" s="37"/>
      <c r="F325" s="37"/>
      <c r="G325" s="9"/>
      <c r="H325" s="9"/>
      <c r="I325" s="9"/>
    </row>
    <row r="326" spans="1:9" x14ac:dyDescent="0.3">
      <c r="A326" s="9"/>
      <c r="B326" s="9"/>
      <c r="C326" s="9"/>
      <c r="D326" s="37"/>
      <c r="E326" s="37"/>
      <c r="F326" s="37"/>
      <c r="G326" s="9"/>
      <c r="H326" s="9"/>
      <c r="I326" s="9"/>
    </row>
    <row r="327" spans="1:9" x14ac:dyDescent="0.3">
      <c r="A327" s="9"/>
      <c r="B327" s="9"/>
      <c r="C327" s="9"/>
      <c r="D327" s="37"/>
      <c r="E327" s="37"/>
      <c r="F327" s="37"/>
      <c r="G327" s="9"/>
      <c r="H327" s="9"/>
      <c r="I327" s="9"/>
    </row>
    <row r="328" spans="1:9" x14ac:dyDescent="0.3">
      <c r="A328" s="9"/>
      <c r="B328" s="9"/>
      <c r="C328" s="9"/>
      <c r="D328" s="37"/>
      <c r="E328" s="37"/>
      <c r="F328" s="37"/>
      <c r="G328" s="9"/>
      <c r="H328" s="9"/>
      <c r="I328" s="9"/>
    </row>
    <row r="329" spans="1:9" x14ac:dyDescent="0.3">
      <c r="A329" s="9"/>
      <c r="B329" s="9"/>
      <c r="C329" s="9"/>
      <c r="D329" s="37"/>
      <c r="E329" s="37"/>
      <c r="F329" s="37"/>
      <c r="G329" s="9"/>
      <c r="H329" s="9"/>
      <c r="I329" s="9"/>
    </row>
    <row r="330" spans="1:9" x14ac:dyDescent="0.3">
      <c r="A330" s="9"/>
      <c r="B330" s="9"/>
      <c r="C330" s="9"/>
      <c r="D330" s="37"/>
      <c r="E330" s="37"/>
      <c r="F330" s="37"/>
      <c r="G330" s="9"/>
      <c r="H330" s="9"/>
      <c r="I330" s="9"/>
    </row>
    <row r="331" spans="1:9" x14ac:dyDescent="0.3">
      <c r="A331" s="9"/>
      <c r="B331" s="9"/>
      <c r="C331" s="9"/>
      <c r="D331" s="37"/>
      <c r="E331" s="37"/>
      <c r="F331" s="37"/>
      <c r="G331" s="9"/>
      <c r="H331" s="9"/>
      <c r="I331" s="9"/>
    </row>
    <row r="332" spans="1:9" x14ac:dyDescent="0.3">
      <c r="A332" s="9"/>
      <c r="B332" s="9"/>
      <c r="C332" s="9"/>
      <c r="D332" s="37"/>
      <c r="E332" s="37"/>
      <c r="F332" s="37"/>
      <c r="G332" s="9"/>
      <c r="H332" s="9"/>
      <c r="I332" s="9"/>
    </row>
    <row r="333" spans="1:9" x14ac:dyDescent="0.3">
      <c r="A333" s="9"/>
      <c r="B333" s="9"/>
      <c r="C333" s="9"/>
      <c r="D333" s="37"/>
      <c r="E333" s="37"/>
      <c r="F333" s="37"/>
      <c r="G333" s="9"/>
      <c r="H333" s="9"/>
      <c r="I333" s="9"/>
    </row>
    <row r="334" spans="1:9" x14ac:dyDescent="0.3">
      <c r="A334" s="9"/>
      <c r="B334" s="9"/>
      <c r="C334" s="9"/>
      <c r="D334" s="37"/>
      <c r="E334" s="37"/>
      <c r="F334" s="37"/>
      <c r="G334" s="9"/>
      <c r="H334" s="9"/>
      <c r="I334" s="9"/>
    </row>
    <row r="335" spans="1:9" x14ac:dyDescent="0.3">
      <c r="A335" s="9"/>
      <c r="B335" s="9"/>
      <c r="C335" s="9"/>
      <c r="D335" s="37"/>
      <c r="E335" s="37"/>
      <c r="F335" s="37"/>
      <c r="G335" s="9"/>
      <c r="H335" s="9"/>
      <c r="I335" s="9"/>
    </row>
    <row r="336" spans="1:9" x14ac:dyDescent="0.3">
      <c r="A336" s="9"/>
      <c r="B336" s="9"/>
      <c r="C336" s="9"/>
      <c r="D336" s="37"/>
      <c r="E336" s="37"/>
      <c r="F336" s="37"/>
      <c r="G336" s="9"/>
      <c r="H336" s="9"/>
      <c r="I336" s="9"/>
    </row>
    <row r="337" spans="1:9" x14ac:dyDescent="0.3">
      <c r="A337" s="9"/>
      <c r="B337" s="9"/>
      <c r="C337" s="9"/>
      <c r="D337" s="37"/>
      <c r="E337" s="37"/>
      <c r="F337" s="37"/>
      <c r="G337" s="9"/>
      <c r="H337" s="9"/>
      <c r="I337" s="9"/>
    </row>
    <row r="338" spans="1:9" x14ac:dyDescent="0.3">
      <c r="A338" s="9"/>
      <c r="B338" s="9"/>
      <c r="C338" s="9"/>
      <c r="D338" s="37"/>
      <c r="E338" s="37"/>
      <c r="F338" s="37"/>
      <c r="G338" s="9"/>
      <c r="H338" s="9"/>
      <c r="I338" s="9"/>
    </row>
    <row r="339" spans="1:9" x14ac:dyDescent="0.3">
      <c r="A339" s="9"/>
      <c r="B339" s="9"/>
      <c r="C339" s="9"/>
      <c r="D339" s="37"/>
      <c r="E339" s="37"/>
      <c r="F339" s="37"/>
      <c r="G339" s="9"/>
      <c r="H339" s="9"/>
      <c r="I339" s="9"/>
    </row>
    <row r="340" spans="1:9" x14ac:dyDescent="0.3">
      <c r="A340" s="9"/>
      <c r="B340" s="9"/>
      <c r="C340" s="9"/>
      <c r="D340" s="37"/>
      <c r="E340" s="37"/>
      <c r="F340" s="37"/>
      <c r="G340" s="9"/>
      <c r="H340" s="9"/>
      <c r="I340" s="9"/>
    </row>
    <row r="341" spans="1:9" x14ac:dyDescent="0.3">
      <c r="A341" s="9"/>
      <c r="B341" s="9"/>
      <c r="C341" s="9"/>
      <c r="D341" s="37"/>
      <c r="E341" s="37"/>
      <c r="F341" s="37"/>
      <c r="G341" s="9"/>
      <c r="H341" s="9"/>
      <c r="I341" s="9"/>
    </row>
    <row r="342" spans="1:9" x14ac:dyDescent="0.3">
      <c r="A342" s="9"/>
      <c r="B342" s="9"/>
      <c r="C342" s="9"/>
      <c r="D342" s="37"/>
      <c r="E342" s="37"/>
      <c r="F342" s="37"/>
      <c r="G342" s="9"/>
      <c r="H342" s="9"/>
      <c r="I342" s="9"/>
    </row>
    <row r="343" spans="1:9" x14ac:dyDescent="0.3">
      <c r="A343" s="9"/>
      <c r="B343" s="9"/>
      <c r="C343" s="9"/>
      <c r="D343" s="37"/>
      <c r="E343" s="37"/>
      <c r="F343" s="37"/>
      <c r="G343" s="9"/>
      <c r="H343" s="9"/>
      <c r="I343" s="9"/>
    </row>
    <row r="344" spans="1:9" x14ac:dyDescent="0.3">
      <c r="A344" s="9"/>
      <c r="B344" s="9"/>
      <c r="C344" s="9"/>
      <c r="D344" s="37"/>
      <c r="E344" s="37"/>
      <c r="F344" s="37"/>
      <c r="G344" s="9"/>
      <c r="H344" s="9"/>
      <c r="I344" s="9"/>
    </row>
    <row r="345" spans="1:9" x14ac:dyDescent="0.3">
      <c r="A345" s="9"/>
      <c r="B345" s="9"/>
      <c r="C345" s="9"/>
      <c r="D345" s="37"/>
      <c r="E345" s="37"/>
      <c r="F345" s="37"/>
      <c r="G345" s="9"/>
      <c r="H345" s="9"/>
      <c r="I345" s="9"/>
    </row>
    <row r="346" spans="1:9" x14ac:dyDescent="0.3">
      <c r="A346" s="9"/>
      <c r="B346" s="9"/>
      <c r="C346" s="9"/>
      <c r="D346" s="37"/>
      <c r="E346" s="37"/>
      <c r="F346" s="37"/>
      <c r="G346" s="9"/>
      <c r="H346" s="9"/>
      <c r="I346" s="9"/>
    </row>
    <row r="347" spans="1:9" x14ac:dyDescent="0.3">
      <c r="A347" s="9"/>
      <c r="B347" s="9"/>
      <c r="C347" s="9"/>
      <c r="D347" s="37"/>
      <c r="E347" s="37"/>
      <c r="F347" s="9"/>
      <c r="G347" s="9"/>
      <c r="H347" s="9"/>
      <c r="I347" s="9"/>
    </row>
    <row r="348" spans="1:9" x14ac:dyDescent="0.3">
      <c r="A348" s="9"/>
      <c r="B348" s="9"/>
      <c r="C348" s="9"/>
      <c r="D348" s="37"/>
      <c r="E348" s="37"/>
      <c r="F348" s="9"/>
      <c r="G348" s="9"/>
      <c r="H348" s="9"/>
      <c r="I348" s="9"/>
    </row>
    <row r="349" spans="1:9" x14ac:dyDescent="0.3">
      <c r="A349" s="9"/>
      <c r="B349" s="9"/>
      <c r="C349" s="9"/>
      <c r="D349" s="37"/>
      <c r="E349" s="37"/>
      <c r="F349" s="9"/>
      <c r="G349" s="9"/>
      <c r="H349" s="9"/>
      <c r="I349" s="9"/>
    </row>
    <row r="350" spans="1:9" x14ac:dyDescent="0.3">
      <c r="A350" s="9"/>
      <c r="B350" s="9"/>
      <c r="C350" s="9"/>
      <c r="D350" s="37"/>
      <c r="E350" s="37"/>
      <c r="F350" s="9"/>
      <c r="G350" s="9"/>
      <c r="H350" s="9"/>
      <c r="I350" s="9"/>
    </row>
    <row r="351" spans="1:9" x14ac:dyDescent="0.3">
      <c r="A351" s="9"/>
      <c r="B351" s="9"/>
      <c r="C351" s="9"/>
      <c r="D351" s="37"/>
      <c r="E351" s="37"/>
      <c r="F351" s="9"/>
      <c r="G351" s="9"/>
      <c r="H351" s="9"/>
      <c r="I351" s="9"/>
    </row>
    <row r="352" spans="1:9" x14ac:dyDescent="0.3">
      <c r="A352" s="9"/>
      <c r="B352" s="9"/>
      <c r="C352" s="9"/>
      <c r="D352" s="37"/>
      <c r="E352" s="37"/>
      <c r="F352" s="9"/>
      <c r="G352" s="9"/>
      <c r="H352" s="9"/>
      <c r="I352" s="9"/>
    </row>
    <row r="353" spans="1:9" x14ac:dyDescent="0.3">
      <c r="A353" s="9"/>
      <c r="B353" s="9"/>
      <c r="C353" s="9"/>
      <c r="D353" s="37"/>
      <c r="E353" s="37"/>
      <c r="F353" s="9"/>
      <c r="G353" s="9"/>
      <c r="H353" s="9"/>
      <c r="I353" s="9"/>
    </row>
    <row r="354" spans="1:9" x14ac:dyDescent="0.3">
      <c r="A354" s="9"/>
      <c r="B354" s="9"/>
      <c r="C354" s="9"/>
      <c r="D354" s="37"/>
      <c r="E354" s="37"/>
      <c r="F354" s="9"/>
      <c r="G354" s="9"/>
      <c r="H354" s="9"/>
      <c r="I354" s="9"/>
    </row>
    <row r="355" spans="1:9" x14ac:dyDescent="0.3">
      <c r="A355" s="9"/>
      <c r="B355" s="9"/>
      <c r="C355" s="9"/>
      <c r="D355" s="37"/>
      <c r="E355" s="37"/>
      <c r="F355" s="9"/>
      <c r="G355" s="9"/>
      <c r="H355" s="9"/>
      <c r="I355" s="9"/>
    </row>
    <row r="356" spans="1:9" x14ac:dyDescent="0.3">
      <c r="A356" s="9"/>
      <c r="B356" s="9"/>
      <c r="C356" s="9"/>
      <c r="D356" s="37"/>
      <c r="E356" s="37"/>
      <c r="F356" s="9"/>
      <c r="G356" s="9"/>
      <c r="H356" s="9"/>
      <c r="I356" s="9"/>
    </row>
    <row r="357" spans="1:9" x14ac:dyDescent="0.3">
      <c r="A357" s="9"/>
      <c r="B357" s="9"/>
      <c r="C357" s="9"/>
      <c r="D357" s="37"/>
      <c r="E357" s="37"/>
      <c r="F357" s="9"/>
      <c r="G357" s="9"/>
      <c r="H357" s="9"/>
      <c r="I357" s="9"/>
    </row>
    <row r="358" spans="1:9" x14ac:dyDescent="0.3">
      <c r="A358" s="9"/>
      <c r="B358" s="9"/>
      <c r="C358" s="9"/>
      <c r="D358" s="37"/>
      <c r="E358" s="37"/>
      <c r="F358" s="9"/>
      <c r="G358" s="9"/>
      <c r="H358" s="9"/>
      <c r="I358" s="9"/>
    </row>
    <row r="359" spans="1:9" x14ac:dyDescent="0.3">
      <c r="A359" s="9"/>
      <c r="B359" s="9"/>
      <c r="C359" s="9"/>
      <c r="D359" s="37"/>
      <c r="E359" s="37"/>
      <c r="F359" s="9"/>
      <c r="G359" s="9"/>
      <c r="H359" s="9"/>
      <c r="I359" s="9"/>
    </row>
    <row r="360" spans="1:9" x14ac:dyDescent="0.3">
      <c r="A360" s="9"/>
      <c r="B360" s="9"/>
      <c r="C360" s="9"/>
      <c r="D360" s="37"/>
      <c r="E360" s="37"/>
      <c r="F360" s="9"/>
      <c r="G360" s="9"/>
      <c r="H360" s="9"/>
      <c r="I360" s="9"/>
    </row>
    <row r="361" spans="1:9" x14ac:dyDescent="0.3">
      <c r="A361" s="9"/>
      <c r="B361" s="9"/>
      <c r="C361" s="9"/>
      <c r="D361" s="37"/>
      <c r="E361" s="37"/>
      <c r="F361" s="9"/>
      <c r="G361" s="9"/>
      <c r="H361" s="9"/>
      <c r="I361" s="9"/>
    </row>
    <row r="362" spans="1:9" x14ac:dyDescent="0.3">
      <c r="A362" s="9"/>
      <c r="B362" s="9"/>
      <c r="C362" s="9"/>
      <c r="D362" s="37"/>
      <c r="E362" s="37"/>
      <c r="F362" s="9"/>
      <c r="G362" s="9"/>
      <c r="H362" s="9"/>
      <c r="I362" s="9"/>
    </row>
    <row r="363" spans="1:9" x14ac:dyDescent="0.3">
      <c r="A363" s="9"/>
      <c r="B363" s="9"/>
      <c r="C363" s="9"/>
      <c r="D363" s="37"/>
      <c r="E363" s="37"/>
      <c r="F363" s="9"/>
      <c r="G363" s="9"/>
      <c r="H363" s="9"/>
      <c r="I363" s="9"/>
    </row>
    <row r="364" spans="1:9" x14ac:dyDescent="0.3">
      <c r="A364" s="9"/>
      <c r="B364" s="9"/>
      <c r="C364" s="9"/>
      <c r="D364" s="37"/>
      <c r="E364" s="37"/>
      <c r="F364" s="9"/>
      <c r="G364" s="9"/>
      <c r="H364" s="9"/>
      <c r="I364" s="9"/>
    </row>
    <row r="365" spans="1:9" x14ac:dyDescent="0.3">
      <c r="A365" s="9"/>
      <c r="B365" s="9"/>
      <c r="C365" s="9"/>
      <c r="D365" s="37"/>
      <c r="E365" s="37"/>
      <c r="F365" s="9"/>
      <c r="G365" s="9"/>
      <c r="H365" s="9"/>
      <c r="I365" s="9"/>
    </row>
    <row r="366" spans="1:9" x14ac:dyDescent="0.3">
      <c r="A366" s="9"/>
      <c r="B366" s="9"/>
      <c r="C366" s="9"/>
      <c r="D366" s="37"/>
      <c r="E366" s="37"/>
      <c r="F366" s="9"/>
      <c r="G366" s="9"/>
      <c r="H366" s="9"/>
      <c r="I366" s="9"/>
    </row>
    <row r="367" spans="1:9" x14ac:dyDescent="0.3">
      <c r="A367" s="9"/>
      <c r="B367" s="9"/>
      <c r="C367" s="9"/>
      <c r="D367" s="37"/>
      <c r="E367" s="37"/>
      <c r="F367" s="9"/>
      <c r="G367" s="9"/>
      <c r="H367" s="9"/>
      <c r="I367" s="9"/>
    </row>
    <row r="368" spans="1:9" x14ac:dyDescent="0.3">
      <c r="A368" s="9"/>
      <c r="B368" s="9"/>
      <c r="C368" s="9"/>
      <c r="D368" s="37"/>
      <c r="E368" s="37"/>
      <c r="F368" s="9"/>
      <c r="G368" s="9"/>
      <c r="H368" s="9"/>
      <c r="I368" s="9"/>
    </row>
    <row r="369" spans="1:9" x14ac:dyDescent="0.3">
      <c r="A369" s="9"/>
      <c r="B369" s="9"/>
      <c r="C369" s="9"/>
      <c r="D369" s="37"/>
      <c r="E369" s="37"/>
      <c r="F369" s="9"/>
      <c r="G369" s="9"/>
      <c r="H369" s="9"/>
      <c r="I369" s="9"/>
    </row>
    <row r="370" spans="1:9" x14ac:dyDescent="0.3">
      <c r="A370" s="9"/>
      <c r="B370" s="9"/>
      <c r="C370" s="9"/>
      <c r="D370" s="37"/>
      <c r="E370" s="37"/>
      <c r="F370" s="9"/>
      <c r="G370" s="9"/>
      <c r="H370" s="9"/>
      <c r="I370" s="9"/>
    </row>
    <row r="371" spans="1:9" x14ac:dyDescent="0.3">
      <c r="A371" s="9"/>
      <c r="B371" s="9"/>
      <c r="C371" s="9"/>
      <c r="D371" s="37"/>
      <c r="E371" s="37"/>
      <c r="F371" s="9"/>
      <c r="G371" s="9"/>
      <c r="H371" s="9"/>
      <c r="I371" s="9"/>
    </row>
    <row r="372" spans="1:9" x14ac:dyDescent="0.3">
      <c r="A372" s="9"/>
      <c r="B372" s="9"/>
      <c r="C372" s="9"/>
      <c r="D372" s="37"/>
      <c r="E372" s="37"/>
      <c r="F372" s="9"/>
      <c r="G372" s="9"/>
      <c r="H372" s="9"/>
      <c r="I372" s="9"/>
    </row>
    <row r="373" spans="1:9" x14ac:dyDescent="0.3">
      <c r="A373" s="9"/>
      <c r="B373" s="9"/>
      <c r="C373" s="9"/>
      <c r="D373" s="37"/>
      <c r="E373" s="37"/>
      <c r="F373" s="9"/>
      <c r="G373" s="9"/>
      <c r="H373" s="9"/>
      <c r="I373" s="9"/>
    </row>
    <row r="374" spans="1:9" x14ac:dyDescent="0.3">
      <c r="A374" s="9"/>
      <c r="B374" s="9"/>
      <c r="C374" s="9"/>
      <c r="D374" s="37"/>
      <c r="E374" s="37"/>
      <c r="F374" s="9"/>
      <c r="G374" s="9"/>
      <c r="H374" s="9"/>
      <c r="I374" s="9"/>
    </row>
    <row r="375" spans="1:9" x14ac:dyDescent="0.3">
      <c r="A375" s="9"/>
      <c r="B375" s="9"/>
      <c r="C375" s="9"/>
      <c r="D375" s="37"/>
      <c r="E375" s="37"/>
      <c r="F375" s="9"/>
      <c r="G375" s="9"/>
      <c r="H375" s="9"/>
      <c r="I375" s="9"/>
    </row>
    <row r="376" spans="1:9" x14ac:dyDescent="0.3">
      <c r="A376" s="9"/>
      <c r="B376" s="9"/>
      <c r="C376" s="9"/>
      <c r="D376" s="37"/>
      <c r="E376" s="37"/>
      <c r="F376" s="9"/>
      <c r="G376" s="9"/>
      <c r="H376" s="9"/>
      <c r="I376" s="9"/>
    </row>
    <row r="377" spans="1:9" x14ac:dyDescent="0.3">
      <c r="A377" s="9"/>
      <c r="B377" s="9"/>
      <c r="C377" s="9"/>
      <c r="D377" s="37"/>
      <c r="E377" s="37"/>
      <c r="F377" s="9"/>
      <c r="G377" s="9"/>
      <c r="H377" s="9"/>
      <c r="I377" s="9"/>
    </row>
    <row r="378" spans="1:9" x14ac:dyDescent="0.3">
      <c r="A378" s="9"/>
      <c r="B378" s="9"/>
      <c r="C378" s="9"/>
      <c r="D378" s="37"/>
      <c r="E378" s="37"/>
      <c r="F378" s="9"/>
      <c r="G378" s="9"/>
      <c r="H378" s="9"/>
      <c r="I378" s="9"/>
    </row>
    <row r="379" spans="1:9" x14ac:dyDescent="0.3">
      <c r="A379" s="9"/>
      <c r="B379" s="9"/>
      <c r="C379" s="9"/>
      <c r="D379" s="37"/>
      <c r="E379" s="37"/>
      <c r="F379" s="9"/>
      <c r="G379" s="9"/>
      <c r="H379" s="9"/>
      <c r="I379" s="9"/>
    </row>
    <row r="380" spans="1:9" x14ac:dyDescent="0.3">
      <c r="A380" s="9"/>
      <c r="B380" s="9"/>
      <c r="C380" s="9"/>
      <c r="D380" s="37"/>
      <c r="E380" s="37"/>
      <c r="F380" s="9"/>
      <c r="G380" s="9"/>
      <c r="H380" s="9"/>
      <c r="I380" s="9"/>
    </row>
    <row r="381" spans="1:9" x14ac:dyDescent="0.3">
      <c r="A381" s="9"/>
      <c r="B381" s="9"/>
      <c r="C381" s="9"/>
      <c r="D381" s="37"/>
      <c r="E381" s="37"/>
      <c r="F381" s="9"/>
      <c r="G381" s="9"/>
      <c r="H381" s="9"/>
      <c r="I381" s="9"/>
    </row>
    <row r="382" spans="1:9" x14ac:dyDescent="0.3">
      <c r="A382" s="9"/>
      <c r="B382" s="9"/>
      <c r="C382" s="9"/>
      <c r="D382" s="37"/>
      <c r="E382" s="37"/>
      <c r="F382" s="9"/>
      <c r="G382" s="9"/>
      <c r="H382" s="9"/>
      <c r="I382" s="9"/>
    </row>
    <row r="383" spans="1:9" x14ac:dyDescent="0.3">
      <c r="A383" s="9"/>
      <c r="B383" s="9"/>
      <c r="C383" s="9"/>
      <c r="D383" s="37"/>
      <c r="E383" s="37"/>
      <c r="F383" s="9"/>
      <c r="G383" s="9"/>
      <c r="H383" s="9"/>
      <c r="I383" s="9"/>
    </row>
    <row r="384" spans="1:9" x14ac:dyDescent="0.3">
      <c r="A384" s="9"/>
      <c r="B384" s="9"/>
      <c r="C384" s="9"/>
      <c r="D384" s="37"/>
      <c r="E384" s="37"/>
      <c r="F384" s="9"/>
      <c r="G384" s="9"/>
      <c r="H384" s="9"/>
      <c r="I384" s="9"/>
    </row>
    <row r="385" spans="1:9" x14ac:dyDescent="0.3">
      <c r="A385" s="9"/>
      <c r="B385" s="9"/>
      <c r="C385" s="9"/>
      <c r="D385" s="37"/>
      <c r="E385" s="37"/>
      <c r="F385" s="9"/>
      <c r="G385" s="9"/>
      <c r="H385" s="9"/>
      <c r="I385" s="9"/>
    </row>
    <row r="386" spans="1:9" x14ac:dyDescent="0.3">
      <c r="A386" s="9"/>
      <c r="B386" s="9"/>
      <c r="C386" s="9"/>
      <c r="D386" s="37"/>
      <c r="E386" s="37"/>
      <c r="F386" s="9"/>
      <c r="G386" s="9"/>
      <c r="H386" s="9"/>
      <c r="I386" s="9"/>
    </row>
    <row r="387" spans="1:9" x14ac:dyDescent="0.3">
      <c r="A387" s="9"/>
      <c r="B387" s="9"/>
      <c r="C387" s="9"/>
      <c r="D387" s="37"/>
      <c r="E387" s="37"/>
      <c r="F387" s="9"/>
      <c r="G387" s="9"/>
      <c r="H387" s="9"/>
      <c r="I387" s="9"/>
    </row>
    <row r="388" spans="1:9" x14ac:dyDescent="0.3">
      <c r="A388" s="9"/>
      <c r="B388" s="9"/>
      <c r="C388" s="9"/>
      <c r="D388" s="37"/>
      <c r="E388" s="37"/>
      <c r="F388" s="9"/>
      <c r="G388" s="9"/>
      <c r="H388" s="9"/>
      <c r="I388" s="9"/>
    </row>
    <row r="389" spans="1:9" x14ac:dyDescent="0.3">
      <c r="A389" s="9"/>
      <c r="B389" s="9"/>
      <c r="C389" s="9"/>
      <c r="D389" s="37"/>
      <c r="E389" s="37"/>
      <c r="F389" s="9"/>
      <c r="G389" s="9"/>
      <c r="H389" s="9"/>
      <c r="I389" s="9"/>
    </row>
    <row r="390" spans="1:9" x14ac:dyDescent="0.3">
      <c r="A390" s="9"/>
      <c r="B390" s="9"/>
      <c r="C390" s="9"/>
      <c r="D390" s="37"/>
      <c r="E390" s="37"/>
      <c r="F390" s="9"/>
      <c r="G390" s="9"/>
      <c r="H390" s="9"/>
      <c r="I390" s="9"/>
    </row>
    <row r="391" spans="1:9" x14ac:dyDescent="0.3">
      <c r="A391" s="9"/>
      <c r="B391" s="9"/>
      <c r="C391" s="9"/>
      <c r="D391" s="37"/>
      <c r="E391" s="37"/>
      <c r="F391" s="9"/>
      <c r="G391" s="9"/>
      <c r="H391" s="9"/>
      <c r="I391" s="9"/>
    </row>
    <row r="392" spans="1:9" x14ac:dyDescent="0.3">
      <c r="A392" s="9"/>
      <c r="B392" s="9"/>
      <c r="C392" s="9"/>
      <c r="D392" s="37"/>
      <c r="E392" s="37"/>
      <c r="F392" s="9"/>
      <c r="G392" s="9"/>
      <c r="H392" s="9"/>
      <c r="I392" s="9"/>
    </row>
    <row r="393" spans="1:9" x14ac:dyDescent="0.3">
      <c r="A393" s="9"/>
      <c r="B393" s="9"/>
      <c r="C393" s="9"/>
      <c r="D393" s="37"/>
      <c r="E393" s="37"/>
      <c r="F393" s="9"/>
      <c r="G393" s="9"/>
      <c r="H393" s="9"/>
      <c r="I393" s="9"/>
    </row>
    <row r="394" spans="1:9" x14ac:dyDescent="0.3">
      <c r="A394" s="9"/>
      <c r="B394" s="9"/>
      <c r="C394" s="9"/>
      <c r="D394" s="37"/>
      <c r="E394" s="37"/>
      <c r="F394" s="9"/>
      <c r="G394" s="9"/>
      <c r="H394" s="9"/>
      <c r="I394" s="9"/>
    </row>
    <row r="395" spans="1:9" x14ac:dyDescent="0.3">
      <c r="A395" s="9"/>
      <c r="B395" s="9"/>
      <c r="C395" s="9"/>
      <c r="D395" s="37"/>
      <c r="E395" s="37"/>
      <c r="F395" s="9"/>
      <c r="G395" s="9"/>
      <c r="H395" s="9"/>
      <c r="I395" s="9"/>
    </row>
    <row r="396" spans="1:9" x14ac:dyDescent="0.3">
      <c r="A396" s="9"/>
      <c r="B396" s="9"/>
      <c r="C396" s="9"/>
      <c r="D396" s="37"/>
      <c r="E396" s="37"/>
      <c r="F396" s="9"/>
      <c r="G396" s="9"/>
      <c r="H396" s="9"/>
      <c r="I396" s="9"/>
    </row>
    <row r="397" spans="1:9" x14ac:dyDescent="0.3">
      <c r="A397" s="9"/>
      <c r="B397" s="9"/>
      <c r="C397" s="9"/>
      <c r="D397" s="37"/>
      <c r="E397" s="37"/>
      <c r="F397" s="9"/>
      <c r="G397" s="9"/>
      <c r="H397" s="9"/>
      <c r="I397" s="9"/>
    </row>
    <row r="398" spans="1:9" x14ac:dyDescent="0.3">
      <c r="A398" s="9"/>
      <c r="B398" s="9"/>
      <c r="C398" s="9"/>
      <c r="D398" s="37"/>
      <c r="E398" s="37"/>
      <c r="F398" s="9"/>
      <c r="G398" s="9"/>
      <c r="H398" s="9"/>
      <c r="I398" s="9"/>
    </row>
    <row r="399" spans="1:9" x14ac:dyDescent="0.3">
      <c r="A399" s="9"/>
      <c r="B399" s="9"/>
      <c r="C399" s="9"/>
      <c r="D399" s="37"/>
      <c r="E399" s="37"/>
      <c r="F399" s="9"/>
      <c r="G399" s="9"/>
      <c r="H399" s="9"/>
      <c r="I399" s="9"/>
    </row>
    <row r="400" spans="1:9" x14ac:dyDescent="0.3">
      <c r="A400" s="9"/>
      <c r="B400" s="9"/>
      <c r="C400" s="9"/>
      <c r="D400" s="37"/>
      <c r="E400" s="37"/>
      <c r="F400" s="9"/>
      <c r="G400" s="9"/>
      <c r="H400" s="9"/>
      <c r="I400" s="9"/>
    </row>
    <row r="401" spans="1:9" x14ac:dyDescent="0.3">
      <c r="A401" s="9"/>
      <c r="B401" s="9"/>
      <c r="C401" s="9"/>
      <c r="D401" s="37"/>
      <c r="E401" s="37"/>
      <c r="F401" s="9"/>
      <c r="G401" s="9"/>
      <c r="H401" s="9"/>
      <c r="I401" s="9"/>
    </row>
    <row r="402" spans="1:9" x14ac:dyDescent="0.3">
      <c r="A402" s="9"/>
      <c r="B402" s="9"/>
      <c r="C402" s="9"/>
      <c r="D402" s="37"/>
      <c r="E402" s="37"/>
      <c r="F402" s="9"/>
      <c r="G402" s="9"/>
      <c r="H402" s="9"/>
      <c r="I402" s="9"/>
    </row>
    <row r="403" spans="1:9" x14ac:dyDescent="0.3">
      <c r="A403" s="9"/>
      <c r="B403" s="9"/>
      <c r="C403" s="9"/>
      <c r="D403" s="37"/>
      <c r="E403" s="37"/>
      <c r="F403" s="9"/>
      <c r="G403" s="9"/>
      <c r="H403" s="9"/>
      <c r="I403" s="9"/>
    </row>
    <row r="404" spans="1:9" x14ac:dyDescent="0.3">
      <c r="A404" s="9"/>
      <c r="B404" s="9"/>
      <c r="C404" s="9"/>
      <c r="D404" s="37"/>
      <c r="E404" s="37"/>
      <c r="F404" s="9"/>
      <c r="G404" s="9"/>
      <c r="H404" s="9"/>
      <c r="I404" s="9"/>
    </row>
    <row r="405" spans="1:9" x14ac:dyDescent="0.3">
      <c r="A405" s="9"/>
      <c r="B405" s="9"/>
      <c r="C405" s="9"/>
      <c r="D405" s="37"/>
      <c r="E405" s="37"/>
      <c r="F405" s="9"/>
      <c r="G405" s="9"/>
      <c r="H405" s="9"/>
      <c r="I405" s="9"/>
    </row>
    <row r="406" spans="1:9" x14ac:dyDescent="0.3">
      <c r="A406" s="9"/>
      <c r="B406" s="9"/>
      <c r="C406" s="9"/>
      <c r="D406" s="37"/>
      <c r="E406" s="37"/>
      <c r="F406" s="9"/>
      <c r="G406" s="9"/>
      <c r="H406" s="9"/>
      <c r="I406" s="9"/>
    </row>
    <row r="407" spans="1:9" x14ac:dyDescent="0.3">
      <c r="A407" s="9"/>
      <c r="B407" s="9"/>
      <c r="C407" s="9"/>
      <c r="D407" s="37"/>
      <c r="E407" s="37"/>
      <c r="F407" s="9"/>
      <c r="G407" s="9"/>
      <c r="H407" s="9"/>
      <c r="I407" s="9"/>
    </row>
    <row r="408" spans="1:9" x14ac:dyDescent="0.3">
      <c r="A408" s="9"/>
      <c r="B408" s="9"/>
      <c r="C408" s="9"/>
      <c r="D408" s="37"/>
      <c r="E408" s="37"/>
      <c r="F408" s="9"/>
      <c r="G408" s="9"/>
      <c r="H408" s="9"/>
      <c r="I408" s="9"/>
    </row>
    <row r="409" spans="1:9" x14ac:dyDescent="0.3">
      <c r="A409" s="9"/>
      <c r="B409" s="9"/>
      <c r="C409" s="9"/>
      <c r="D409" s="37"/>
      <c r="E409" s="37"/>
      <c r="F409" s="9"/>
      <c r="G409" s="9"/>
      <c r="H409" s="9"/>
      <c r="I409" s="9"/>
    </row>
    <row r="410" spans="1:9" x14ac:dyDescent="0.3">
      <c r="A410" s="9"/>
      <c r="B410" s="9"/>
      <c r="C410" s="9"/>
      <c r="D410" s="37"/>
      <c r="E410" s="37"/>
      <c r="F410" s="9"/>
      <c r="G410" s="9"/>
      <c r="H410" s="9"/>
      <c r="I410" s="9"/>
    </row>
    <row r="411" spans="1:9" x14ac:dyDescent="0.3">
      <c r="A411" s="9"/>
      <c r="B411" s="9"/>
      <c r="C411" s="9"/>
      <c r="D411" s="37"/>
      <c r="E411" s="37"/>
      <c r="F411" s="9"/>
      <c r="G411" s="9"/>
      <c r="H411" s="9"/>
      <c r="I411" s="9"/>
    </row>
    <row r="412" spans="1:9" x14ac:dyDescent="0.3">
      <c r="A412" s="9"/>
      <c r="B412" s="9"/>
      <c r="C412" s="9"/>
      <c r="D412" s="37"/>
      <c r="E412" s="37"/>
      <c r="F412" s="9"/>
      <c r="G412" s="9"/>
      <c r="H412" s="9"/>
      <c r="I412" s="9"/>
    </row>
  </sheetData>
  <mergeCells count="9">
    <mergeCell ref="A1:I1"/>
    <mergeCell ref="A3:B3"/>
    <mergeCell ref="C3:C4"/>
    <mergeCell ref="D3:D4"/>
    <mergeCell ref="F3:F4"/>
    <mergeCell ref="H3:H4"/>
    <mergeCell ref="I3:I4"/>
    <mergeCell ref="G3:G4"/>
    <mergeCell ref="E3:E4"/>
  </mergeCells>
  <phoneticPr fontId="5" type="noConversion"/>
  <pageMargins left="0.7" right="0.7" top="0.75" bottom="0.75" header="0.3" footer="0.3"/>
  <pageSetup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9221F-EFDE-4641-A082-D526BCDD78E5}">
  <dimension ref="A1:K412"/>
  <sheetViews>
    <sheetView zoomScale="70" zoomScaleNormal="70" workbookViewId="0">
      <pane ySplit="4" topLeftCell="A124" activePane="bottomLeft" state="frozen"/>
      <selection pane="bottomLeft" activeCell="G140" sqref="G140"/>
    </sheetView>
  </sheetViews>
  <sheetFormatPr defaultRowHeight="20.25" x14ac:dyDescent="0.3"/>
  <cols>
    <col min="1" max="2" width="20.7109375" style="1" customWidth="1"/>
    <col min="3" max="3" width="15.7109375" style="1" customWidth="1"/>
    <col min="4" max="4" width="80.7109375" style="1" customWidth="1"/>
    <col min="5" max="5" width="40.28515625" style="104" customWidth="1"/>
    <col min="6" max="6" width="31.28515625" style="104" customWidth="1"/>
    <col min="7" max="7" width="35.85546875" style="104" customWidth="1"/>
    <col min="8" max="8" width="45.7109375" style="104" customWidth="1"/>
    <col min="9" max="16384" width="9.140625" style="1"/>
  </cols>
  <sheetData>
    <row r="1" spans="1:8" ht="30" x14ac:dyDescent="0.4">
      <c r="A1" s="109" t="s">
        <v>111</v>
      </c>
      <c r="B1" s="109"/>
      <c r="C1" s="109"/>
      <c r="D1" s="109"/>
      <c r="E1" s="109"/>
      <c r="F1" s="109"/>
      <c r="G1" s="109"/>
      <c r="H1" s="109"/>
    </row>
    <row r="3" spans="1:8" x14ac:dyDescent="0.3">
      <c r="A3" s="110" t="s">
        <v>1</v>
      </c>
      <c r="B3" s="110"/>
      <c r="C3" s="110" t="s">
        <v>4</v>
      </c>
      <c r="D3" s="110"/>
      <c r="E3" s="110" t="s">
        <v>139</v>
      </c>
      <c r="F3" s="110" t="s">
        <v>1</v>
      </c>
      <c r="G3" s="110" t="s">
        <v>103</v>
      </c>
      <c r="H3" s="110" t="s">
        <v>11</v>
      </c>
    </row>
    <row r="4" spans="1:8" x14ac:dyDescent="0.3">
      <c r="A4" s="4" t="s">
        <v>2</v>
      </c>
      <c r="B4" s="4" t="s">
        <v>3</v>
      </c>
      <c r="C4" s="110"/>
      <c r="D4" s="110"/>
      <c r="E4" s="110"/>
      <c r="F4" s="110"/>
      <c r="G4" s="110"/>
      <c r="H4" s="110"/>
    </row>
    <row r="5" spans="1:8" ht="30" customHeight="1" x14ac:dyDescent="0.3">
      <c r="A5" s="7">
        <v>46204</v>
      </c>
      <c r="B5" s="8"/>
      <c r="C5" s="8"/>
      <c r="D5" s="6" t="s">
        <v>151</v>
      </c>
      <c r="E5" s="32" t="s">
        <v>152</v>
      </c>
      <c r="F5" s="29" t="s">
        <v>164</v>
      </c>
      <c r="G5" s="23">
        <v>999</v>
      </c>
      <c r="H5" s="98" t="s">
        <v>153</v>
      </c>
    </row>
    <row r="6" spans="1:8" ht="30" customHeight="1" x14ac:dyDescent="0.3">
      <c r="A6" s="7"/>
      <c r="B6" s="8"/>
      <c r="C6" s="8"/>
      <c r="D6" s="31" t="s">
        <v>154</v>
      </c>
      <c r="E6" s="7"/>
      <c r="F6" s="23"/>
      <c r="G6" s="23"/>
      <c r="H6" s="98" t="s">
        <v>155</v>
      </c>
    </row>
    <row r="7" spans="1:8" ht="30" customHeight="1" x14ac:dyDescent="0.3">
      <c r="A7" s="8"/>
      <c r="B7" s="8"/>
      <c r="C7" s="8"/>
      <c r="D7" s="6" t="s">
        <v>156</v>
      </c>
      <c r="E7" s="7" t="s">
        <v>157</v>
      </c>
      <c r="F7" s="23" t="s">
        <v>158</v>
      </c>
      <c r="G7" s="33">
        <v>120549</v>
      </c>
      <c r="H7" s="98" t="s">
        <v>159</v>
      </c>
    </row>
    <row r="8" spans="1:8" ht="30" customHeight="1" x14ac:dyDescent="0.3">
      <c r="A8" s="8"/>
      <c r="B8" s="8"/>
      <c r="C8" s="8"/>
      <c r="D8" s="6" t="s">
        <v>160</v>
      </c>
      <c r="E8" s="7" t="s">
        <v>161</v>
      </c>
      <c r="F8" s="23"/>
      <c r="G8" s="23"/>
      <c r="H8" s="98"/>
    </row>
    <row r="9" spans="1:8" ht="30" customHeight="1" x14ac:dyDescent="0.3">
      <c r="A9" s="7"/>
      <c r="B9" s="8"/>
      <c r="C9" s="8"/>
      <c r="D9" s="6"/>
      <c r="E9" s="7"/>
      <c r="F9" s="23"/>
      <c r="G9" s="23"/>
      <c r="H9" s="98"/>
    </row>
    <row r="10" spans="1:8" s="26" customFormat="1" ht="30" customHeight="1" x14ac:dyDescent="0.3">
      <c r="A10" s="14">
        <v>46235</v>
      </c>
      <c r="B10" s="15"/>
      <c r="C10" s="8"/>
      <c r="D10" s="16" t="s">
        <v>162</v>
      </c>
      <c r="E10" s="34" t="s">
        <v>152</v>
      </c>
      <c r="F10" s="35" t="s">
        <v>164</v>
      </c>
      <c r="G10" s="24">
        <v>1200</v>
      </c>
      <c r="H10" s="99" t="s">
        <v>153</v>
      </c>
    </row>
    <row r="11" spans="1:8" ht="30" customHeight="1" x14ac:dyDescent="0.3">
      <c r="A11" s="8"/>
      <c r="B11" s="8"/>
      <c r="C11" s="8"/>
      <c r="D11" s="6" t="s">
        <v>163</v>
      </c>
      <c r="E11" s="34" t="s">
        <v>152</v>
      </c>
      <c r="F11" s="35" t="s">
        <v>164</v>
      </c>
      <c r="G11" s="23">
        <v>2500</v>
      </c>
      <c r="H11" s="98" t="s">
        <v>165</v>
      </c>
    </row>
    <row r="12" spans="1:8" ht="30" customHeight="1" x14ac:dyDescent="0.3">
      <c r="A12" s="8"/>
      <c r="B12" s="8"/>
      <c r="C12" s="8"/>
      <c r="D12" s="6"/>
      <c r="E12" s="7"/>
      <c r="F12" s="23"/>
      <c r="G12" s="23"/>
      <c r="H12" s="98"/>
    </row>
    <row r="13" spans="1:8" ht="30" customHeight="1" x14ac:dyDescent="0.3">
      <c r="A13" s="7">
        <v>46266</v>
      </c>
      <c r="B13" s="8"/>
      <c r="C13" s="8"/>
      <c r="D13" s="6" t="s">
        <v>166</v>
      </c>
      <c r="E13" s="7" t="s">
        <v>167</v>
      </c>
      <c r="F13" s="23" t="s">
        <v>168</v>
      </c>
      <c r="G13" s="33">
        <v>1526403.88</v>
      </c>
      <c r="H13" s="8" t="s">
        <v>165</v>
      </c>
    </row>
    <row r="14" spans="1:8" ht="30" customHeight="1" x14ac:dyDescent="0.3">
      <c r="A14" s="8" t="s">
        <v>145</v>
      </c>
      <c r="B14" s="8"/>
      <c r="C14" s="8"/>
      <c r="D14" s="6" t="s">
        <v>299</v>
      </c>
      <c r="E14" s="32" t="s">
        <v>300</v>
      </c>
      <c r="F14" s="23"/>
      <c r="G14" s="33">
        <v>21750</v>
      </c>
      <c r="H14" s="8" t="s">
        <v>301</v>
      </c>
    </row>
    <row r="15" spans="1:8" ht="30" customHeight="1" x14ac:dyDescent="0.3">
      <c r="A15" s="8"/>
      <c r="B15" s="8"/>
      <c r="C15" s="8"/>
      <c r="D15" s="6" t="s">
        <v>277</v>
      </c>
      <c r="E15" s="23" t="s">
        <v>455</v>
      </c>
      <c r="F15" s="23" t="s">
        <v>456</v>
      </c>
      <c r="G15" s="33">
        <v>943490</v>
      </c>
      <c r="H15" s="8"/>
    </row>
    <row r="16" spans="1:8" ht="30" customHeight="1" x14ac:dyDescent="0.3">
      <c r="A16" s="8" t="s">
        <v>457</v>
      </c>
      <c r="B16" s="8"/>
      <c r="C16" s="8"/>
      <c r="D16" s="6" t="s">
        <v>487</v>
      </c>
      <c r="E16" s="7" t="s">
        <v>488</v>
      </c>
      <c r="F16" s="23" t="s">
        <v>489</v>
      </c>
      <c r="G16" s="33">
        <v>116973.61</v>
      </c>
      <c r="H16" s="8" t="s">
        <v>159</v>
      </c>
    </row>
    <row r="17" spans="1:8" ht="30" customHeight="1" x14ac:dyDescent="0.3">
      <c r="A17" s="8"/>
      <c r="B17" s="8"/>
      <c r="C17" s="8"/>
      <c r="D17" s="6" t="s">
        <v>490</v>
      </c>
      <c r="E17" s="7" t="s">
        <v>488</v>
      </c>
      <c r="F17" s="23" t="s">
        <v>491</v>
      </c>
      <c r="G17" s="33">
        <v>9462.24</v>
      </c>
      <c r="H17" s="8" t="s">
        <v>159</v>
      </c>
    </row>
    <row r="18" spans="1:8" ht="30" customHeight="1" x14ac:dyDescent="0.3">
      <c r="A18" s="8"/>
      <c r="B18" s="8"/>
      <c r="C18" s="8"/>
      <c r="D18" s="6" t="s">
        <v>496</v>
      </c>
      <c r="E18" s="7" t="s">
        <v>303</v>
      </c>
      <c r="F18" s="23"/>
      <c r="G18" s="33">
        <v>601637.28</v>
      </c>
      <c r="H18" s="100" t="s">
        <v>165</v>
      </c>
    </row>
    <row r="19" spans="1:8" ht="30" customHeight="1" x14ac:dyDescent="0.3">
      <c r="A19" s="8" t="s">
        <v>609</v>
      </c>
      <c r="B19" s="8"/>
      <c r="C19" s="8"/>
      <c r="D19" s="6" t="s">
        <v>654</v>
      </c>
      <c r="E19" s="7" t="s">
        <v>615</v>
      </c>
      <c r="F19" s="23" t="s">
        <v>616</v>
      </c>
      <c r="G19" s="33">
        <v>273000</v>
      </c>
      <c r="H19" s="8" t="s">
        <v>165</v>
      </c>
    </row>
    <row r="20" spans="1:8" ht="30" customHeight="1" x14ac:dyDescent="0.3">
      <c r="A20" s="8" t="s">
        <v>639</v>
      </c>
      <c r="B20" s="8"/>
      <c r="C20" s="8"/>
      <c r="D20" s="6" t="s">
        <v>614</v>
      </c>
      <c r="E20" s="7" t="s">
        <v>678</v>
      </c>
      <c r="F20" s="23"/>
      <c r="G20" s="33">
        <v>15750</v>
      </c>
      <c r="H20" s="8" t="s">
        <v>165</v>
      </c>
    </row>
    <row r="21" spans="1:8" ht="30" customHeight="1" x14ac:dyDescent="0.3">
      <c r="A21" s="8"/>
      <c r="B21" s="8"/>
      <c r="C21" s="8"/>
      <c r="D21" s="6" t="s">
        <v>683</v>
      </c>
      <c r="E21" s="7" t="s">
        <v>303</v>
      </c>
      <c r="F21" s="23"/>
      <c r="G21" s="33">
        <v>61729.31</v>
      </c>
      <c r="H21" s="8" t="s">
        <v>165</v>
      </c>
    </row>
    <row r="22" spans="1:8" ht="30" customHeight="1" x14ac:dyDescent="0.3">
      <c r="A22" s="8" t="s">
        <v>567</v>
      </c>
      <c r="B22" s="8"/>
      <c r="C22" s="8"/>
      <c r="D22" s="6" t="s">
        <v>36</v>
      </c>
      <c r="E22" s="7" t="s">
        <v>615</v>
      </c>
      <c r="F22" s="23"/>
      <c r="G22" s="33">
        <v>63000</v>
      </c>
      <c r="H22" s="8" t="s">
        <v>495</v>
      </c>
    </row>
    <row r="23" spans="1:8" ht="30" customHeight="1" x14ac:dyDescent="0.3">
      <c r="A23" s="7">
        <v>46083</v>
      </c>
      <c r="B23" s="8"/>
      <c r="C23" s="8"/>
      <c r="D23" s="6" t="s">
        <v>759</v>
      </c>
      <c r="E23" s="7" t="s">
        <v>303</v>
      </c>
      <c r="F23" s="23"/>
      <c r="G23" s="33">
        <v>60468</v>
      </c>
      <c r="H23" s="8" t="s">
        <v>495</v>
      </c>
    </row>
    <row r="24" spans="1:8" ht="30" customHeight="1" x14ac:dyDescent="0.3">
      <c r="A24" s="8"/>
      <c r="B24" s="8"/>
      <c r="C24" s="8"/>
      <c r="D24" s="6" t="s">
        <v>760</v>
      </c>
      <c r="E24" s="7" t="s">
        <v>488</v>
      </c>
      <c r="F24" s="23"/>
      <c r="G24" s="23"/>
      <c r="H24" s="8"/>
    </row>
    <row r="25" spans="1:8" ht="30" customHeight="1" x14ac:dyDescent="0.3">
      <c r="A25" s="7">
        <v>46297</v>
      </c>
      <c r="B25" s="8"/>
      <c r="C25" s="8"/>
      <c r="D25" s="6" t="s">
        <v>614</v>
      </c>
      <c r="E25" s="7" t="s">
        <v>488</v>
      </c>
      <c r="F25" s="23"/>
      <c r="G25" s="33">
        <v>1526403</v>
      </c>
      <c r="H25" s="8" t="s">
        <v>495</v>
      </c>
    </row>
    <row r="26" spans="1:8" ht="30" customHeight="1" x14ac:dyDescent="0.3">
      <c r="A26" s="7">
        <v>46328</v>
      </c>
      <c r="B26" s="8"/>
      <c r="C26" s="8"/>
      <c r="D26" s="6" t="s">
        <v>869</v>
      </c>
      <c r="E26" s="7" t="s">
        <v>303</v>
      </c>
      <c r="F26" s="23"/>
      <c r="G26" s="33">
        <v>204537.53</v>
      </c>
      <c r="H26" s="8"/>
    </row>
    <row r="27" spans="1:8" ht="30" customHeight="1" x14ac:dyDescent="0.3">
      <c r="A27" s="8" t="s">
        <v>795</v>
      </c>
      <c r="B27" s="8"/>
      <c r="C27" s="8"/>
      <c r="D27" s="6" t="s">
        <v>949</v>
      </c>
      <c r="E27" s="7" t="s">
        <v>488</v>
      </c>
      <c r="F27" s="23" t="s">
        <v>950</v>
      </c>
      <c r="G27" s="33">
        <v>37650</v>
      </c>
      <c r="H27" s="8" t="s">
        <v>951</v>
      </c>
    </row>
    <row r="28" spans="1:8" ht="30" customHeight="1" x14ac:dyDescent="0.3">
      <c r="A28" s="8"/>
      <c r="B28" s="8"/>
      <c r="C28" s="8"/>
      <c r="D28" s="6" t="s">
        <v>998</v>
      </c>
      <c r="E28" s="7" t="s">
        <v>488</v>
      </c>
      <c r="F28" s="23" t="s">
        <v>999</v>
      </c>
      <c r="G28" s="33" t="s">
        <v>818</v>
      </c>
      <c r="H28" s="8"/>
    </row>
    <row r="29" spans="1:8" ht="30" customHeight="1" x14ac:dyDescent="0.3">
      <c r="A29" s="8" t="s">
        <v>1115</v>
      </c>
      <c r="B29" s="8"/>
      <c r="C29" s="8"/>
      <c r="D29" s="6" t="s">
        <v>1123</v>
      </c>
      <c r="E29" s="7" t="s">
        <v>488</v>
      </c>
      <c r="F29" s="8" t="s">
        <v>1124</v>
      </c>
      <c r="G29" s="36">
        <v>25100</v>
      </c>
      <c r="H29" s="8"/>
    </row>
    <row r="30" spans="1:8" ht="30" customHeight="1" x14ac:dyDescent="0.3">
      <c r="A30" s="8" t="s">
        <v>854</v>
      </c>
      <c r="B30" s="8"/>
      <c r="C30" s="8"/>
      <c r="D30" s="6" t="s">
        <v>1125</v>
      </c>
      <c r="E30" s="7" t="s">
        <v>488</v>
      </c>
      <c r="F30" s="8" t="s">
        <v>1124</v>
      </c>
      <c r="G30" s="36">
        <v>127480</v>
      </c>
      <c r="H30" s="8"/>
    </row>
    <row r="31" spans="1:8" ht="30" customHeight="1" x14ac:dyDescent="0.3">
      <c r="A31" s="8"/>
      <c r="B31" s="8"/>
      <c r="C31" s="8"/>
      <c r="D31" s="6" t="s">
        <v>1163</v>
      </c>
      <c r="E31" s="8" t="s">
        <v>678</v>
      </c>
      <c r="F31" s="8"/>
      <c r="G31" s="36">
        <v>35941</v>
      </c>
      <c r="H31" s="8"/>
    </row>
    <row r="32" spans="1:8" ht="30" customHeight="1" x14ac:dyDescent="0.3">
      <c r="A32" s="8"/>
      <c r="B32" s="8"/>
      <c r="C32" s="8"/>
      <c r="D32" s="6" t="s">
        <v>1169</v>
      </c>
      <c r="E32" s="8" t="s">
        <v>1170</v>
      </c>
      <c r="F32" s="23" t="s">
        <v>1171</v>
      </c>
      <c r="G32" s="33">
        <v>21200</v>
      </c>
      <c r="H32" s="8" t="s">
        <v>1173</v>
      </c>
    </row>
    <row r="33" spans="1:8" ht="30" customHeight="1" x14ac:dyDescent="0.3">
      <c r="A33" s="8"/>
      <c r="B33" s="8"/>
      <c r="C33" s="8"/>
      <c r="D33" s="6" t="s">
        <v>1169</v>
      </c>
      <c r="E33" s="23" t="s">
        <v>1172</v>
      </c>
      <c r="F33" s="8" t="s">
        <v>356</v>
      </c>
      <c r="G33" s="36">
        <v>63800</v>
      </c>
      <c r="H33" s="8" t="s">
        <v>1173</v>
      </c>
    </row>
    <row r="34" spans="1:8" ht="30" customHeight="1" x14ac:dyDescent="0.3">
      <c r="A34" s="8" t="s">
        <v>1005</v>
      </c>
      <c r="B34" s="8"/>
      <c r="C34" s="8"/>
      <c r="D34" s="6" t="s">
        <v>1195</v>
      </c>
      <c r="E34" s="23" t="s">
        <v>152</v>
      </c>
      <c r="F34" s="28" t="s">
        <v>1222</v>
      </c>
      <c r="G34" s="36">
        <v>2500</v>
      </c>
      <c r="H34" s="8"/>
    </row>
    <row r="35" spans="1:8" ht="30" customHeight="1" x14ac:dyDescent="0.3">
      <c r="A35" s="8"/>
      <c r="B35" s="8"/>
      <c r="C35" s="8"/>
      <c r="D35" s="6" t="s">
        <v>48</v>
      </c>
      <c r="E35" s="23" t="s">
        <v>152</v>
      </c>
      <c r="F35" s="28" t="s">
        <v>1222</v>
      </c>
      <c r="G35" s="36">
        <v>1200</v>
      </c>
      <c r="H35" s="8"/>
    </row>
    <row r="36" spans="1:8" ht="30" customHeight="1" x14ac:dyDescent="0.3">
      <c r="A36" s="8"/>
      <c r="B36" s="8"/>
      <c r="C36" s="8"/>
      <c r="D36" s="6" t="s">
        <v>1226</v>
      </c>
      <c r="E36" s="8" t="s">
        <v>1227</v>
      </c>
      <c r="F36" s="8"/>
      <c r="G36" s="8" t="s">
        <v>1228</v>
      </c>
      <c r="H36" s="8"/>
    </row>
    <row r="37" spans="1:8" ht="30" customHeight="1" x14ac:dyDescent="0.3">
      <c r="A37" s="7">
        <v>46084</v>
      </c>
      <c r="B37" s="8"/>
      <c r="C37" s="8"/>
      <c r="D37" s="6" t="s">
        <v>1331</v>
      </c>
      <c r="E37" s="8" t="s">
        <v>488</v>
      </c>
      <c r="F37" s="8" t="s">
        <v>1332</v>
      </c>
      <c r="G37" s="36">
        <v>117190</v>
      </c>
      <c r="H37" s="8"/>
    </row>
    <row r="38" spans="1:8" ht="30" customHeight="1" x14ac:dyDescent="0.3">
      <c r="A38" s="8"/>
      <c r="B38" s="8"/>
      <c r="C38" s="8"/>
      <c r="D38" s="6" t="s">
        <v>1333</v>
      </c>
      <c r="E38" s="8" t="s">
        <v>488</v>
      </c>
      <c r="F38" s="8" t="s">
        <v>1334</v>
      </c>
      <c r="G38" s="36">
        <v>125270.36</v>
      </c>
      <c r="H38" s="8"/>
    </row>
    <row r="39" spans="1:8" ht="30" customHeight="1" x14ac:dyDescent="0.3">
      <c r="A39" s="8"/>
      <c r="B39" s="8"/>
      <c r="C39" s="8"/>
      <c r="D39" s="6" t="s">
        <v>1338</v>
      </c>
      <c r="E39" s="8" t="s">
        <v>1339</v>
      </c>
      <c r="F39" s="8"/>
      <c r="G39" s="36">
        <v>160600</v>
      </c>
      <c r="H39" s="8"/>
    </row>
    <row r="40" spans="1:8" ht="30" customHeight="1" x14ac:dyDescent="0.3">
      <c r="A40" s="7">
        <v>46268</v>
      </c>
      <c r="B40" s="8"/>
      <c r="C40" s="8"/>
      <c r="D40" s="6" t="s">
        <v>195</v>
      </c>
      <c r="E40" s="8" t="s">
        <v>152</v>
      </c>
      <c r="F40" s="8" t="s">
        <v>1462</v>
      </c>
      <c r="G40" s="36">
        <v>1998</v>
      </c>
      <c r="H40" s="8"/>
    </row>
    <row r="41" spans="1:8" ht="30" customHeight="1" x14ac:dyDescent="0.3">
      <c r="A41" s="8"/>
      <c r="B41" s="8"/>
      <c r="C41" s="8"/>
      <c r="D41" s="6" t="s">
        <v>1466</v>
      </c>
      <c r="E41" s="8" t="s">
        <v>1467</v>
      </c>
      <c r="F41" s="8" t="s">
        <v>1468</v>
      </c>
      <c r="G41" s="36">
        <v>22590</v>
      </c>
      <c r="H41" s="8"/>
    </row>
    <row r="42" spans="1:8" ht="30" customHeight="1" x14ac:dyDescent="0.3">
      <c r="A42" s="7">
        <v>46298</v>
      </c>
      <c r="B42" s="8"/>
      <c r="C42" s="8"/>
      <c r="D42" s="6" t="s">
        <v>1497</v>
      </c>
      <c r="E42" s="8" t="s">
        <v>488</v>
      </c>
      <c r="F42" s="8" t="s">
        <v>1498</v>
      </c>
      <c r="G42" s="36">
        <v>1526697</v>
      </c>
      <c r="H42" s="8"/>
    </row>
    <row r="43" spans="1:8" ht="30" customHeight="1" x14ac:dyDescent="0.3">
      <c r="A43" s="8" t="s">
        <v>1664</v>
      </c>
      <c r="B43" s="8"/>
      <c r="C43" s="8"/>
      <c r="D43" s="6" t="s">
        <v>1665</v>
      </c>
      <c r="E43" s="8" t="s">
        <v>678</v>
      </c>
      <c r="F43" s="8"/>
      <c r="G43" s="36">
        <v>11577</v>
      </c>
      <c r="H43" s="8"/>
    </row>
    <row r="44" spans="1:8" ht="30" customHeight="1" x14ac:dyDescent="0.3">
      <c r="A44" s="8"/>
      <c r="B44" s="8"/>
      <c r="C44" s="8"/>
      <c r="D44" s="6" t="s">
        <v>1765</v>
      </c>
      <c r="E44" s="23" t="s">
        <v>1666</v>
      </c>
      <c r="F44" s="8"/>
      <c r="G44" s="36">
        <v>55000</v>
      </c>
      <c r="H44" s="8"/>
    </row>
    <row r="45" spans="1:8" ht="30" customHeight="1" x14ac:dyDescent="0.3">
      <c r="A45" s="8"/>
      <c r="B45" s="8"/>
      <c r="C45" s="8"/>
      <c r="D45" s="6" t="s">
        <v>1766</v>
      </c>
      <c r="E45" s="23" t="s">
        <v>1674</v>
      </c>
      <c r="F45" s="8"/>
      <c r="G45" s="36">
        <v>71350</v>
      </c>
      <c r="H45" s="8"/>
    </row>
    <row r="46" spans="1:8" ht="30" customHeight="1" x14ac:dyDescent="0.3">
      <c r="A46" s="8" t="s">
        <v>1714</v>
      </c>
      <c r="B46" s="8"/>
      <c r="C46" s="8"/>
      <c r="D46" s="6" t="s">
        <v>1719</v>
      </c>
      <c r="E46" s="8" t="s">
        <v>303</v>
      </c>
      <c r="F46" s="8" t="s">
        <v>302</v>
      </c>
      <c r="G46" s="36">
        <v>56321.84</v>
      </c>
      <c r="H46" s="8"/>
    </row>
    <row r="47" spans="1:8" ht="30" customHeight="1" x14ac:dyDescent="0.3">
      <c r="A47" s="8" t="s">
        <v>1731</v>
      </c>
      <c r="B47" s="8"/>
      <c r="C47" s="8"/>
      <c r="D47" s="6" t="s">
        <v>1763</v>
      </c>
      <c r="E47" s="8" t="s">
        <v>1764</v>
      </c>
      <c r="F47" s="8"/>
      <c r="G47" s="36">
        <v>64510</v>
      </c>
      <c r="H47" s="8"/>
    </row>
    <row r="48" spans="1:8" ht="30" customHeight="1" x14ac:dyDescent="0.3">
      <c r="A48" s="8"/>
      <c r="B48" s="8"/>
      <c r="C48" s="8"/>
      <c r="D48" s="6" t="s">
        <v>1169</v>
      </c>
      <c r="E48" s="8" t="s">
        <v>1764</v>
      </c>
      <c r="F48" s="8" t="s">
        <v>407</v>
      </c>
      <c r="G48" s="36">
        <v>137500</v>
      </c>
      <c r="H48" s="8"/>
    </row>
    <row r="49" spans="1:8" ht="30" customHeight="1" x14ac:dyDescent="0.3">
      <c r="A49" s="8" t="s">
        <v>1818</v>
      </c>
      <c r="B49" s="8"/>
      <c r="C49" s="8"/>
      <c r="D49" s="6" t="s">
        <v>1843</v>
      </c>
      <c r="E49" s="8" t="s">
        <v>1842</v>
      </c>
      <c r="F49" s="8"/>
      <c r="G49" s="36">
        <v>3375</v>
      </c>
      <c r="H49" s="8"/>
    </row>
    <row r="50" spans="1:8" ht="30" customHeight="1" x14ac:dyDescent="0.3">
      <c r="A50" s="7">
        <v>46238</v>
      </c>
      <c r="B50" s="8"/>
      <c r="C50" s="8"/>
      <c r="D50" s="6" t="s">
        <v>17</v>
      </c>
      <c r="E50" s="23" t="s">
        <v>1886</v>
      </c>
      <c r="F50" s="8"/>
      <c r="G50" s="8"/>
      <c r="H50" s="8"/>
    </row>
    <row r="51" spans="1:8" ht="30" customHeight="1" x14ac:dyDescent="0.3">
      <c r="A51" s="8"/>
      <c r="B51" s="8"/>
      <c r="C51" s="8"/>
      <c r="D51" s="6" t="s">
        <v>195</v>
      </c>
      <c r="E51" s="23" t="s">
        <v>1886</v>
      </c>
      <c r="F51" s="8"/>
      <c r="G51" s="8"/>
      <c r="H51" s="8"/>
    </row>
    <row r="52" spans="1:8" ht="30" customHeight="1" x14ac:dyDescent="0.3">
      <c r="A52" s="8"/>
      <c r="B52" s="8"/>
      <c r="C52" s="8"/>
      <c r="D52" s="6" t="s">
        <v>42</v>
      </c>
      <c r="E52" s="23" t="s">
        <v>1886</v>
      </c>
      <c r="F52" s="8"/>
      <c r="G52" s="8"/>
      <c r="H52" s="8"/>
    </row>
    <row r="53" spans="1:8" ht="30" customHeight="1" x14ac:dyDescent="0.3">
      <c r="A53" s="8"/>
      <c r="B53" s="8"/>
      <c r="C53" s="8"/>
      <c r="D53" s="6" t="s">
        <v>42</v>
      </c>
      <c r="E53" s="8" t="s">
        <v>1887</v>
      </c>
      <c r="F53" s="8" t="s">
        <v>1818</v>
      </c>
      <c r="G53" s="8"/>
      <c r="H53" s="8"/>
    </row>
    <row r="54" spans="1:8" ht="30" customHeight="1" x14ac:dyDescent="0.3">
      <c r="A54" s="8"/>
      <c r="B54" s="8"/>
      <c r="C54" s="8"/>
      <c r="D54" s="6" t="s">
        <v>46</v>
      </c>
      <c r="E54" s="8" t="s">
        <v>152</v>
      </c>
      <c r="F54" s="101">
        <v>46054</v>
      </c>
      <c r="G54" s="36">
        <v>2500</v>
      </c>
      <c r="H54" s="8"/>
    </row>
    <row r="55" spans="1:8" ht="30" customHeight="1" x14ac:dyDescent="0.3">
      <c r="A55" s="8"/>
      <c r="B55" s="8"/>
      <c r="C55" s="8"/>
      <c r="D55" s="6" t="s">
        <v>1913</v>
      </c>
      <c r="E55" s="8" t="s">
        <v>678</v>
      </c>
      <c r="F55" s="8"/>
      <c r="G55" s="36">
        <v>24634</v>
      </c>
      <c r="H55" s="8"/>
    </row>
    <row r="56" spans="1:8" ht="30" customHeight="1" x14ac:dyDescent="0.3">
      <c r="A56" s="8"/>
      <c r="B56" s="8"/>
      <c r="C56" s="8"/>
      <c r="D56" s="6" t="s">
        <v>949</v>
      </c>
      <c r="E56" s="8" t="s">
        <v>488</v>
      </c>
      <c r="F56" s="8" t="s">
        <v>1920</v>
      </c>
      <c r="G56" s="36">
        <v>27610</v>
      </c>
      <c r="H56" s="8"/>
    </row>
    <row r="57" spans="1:8" ht="30" customHeight="1" x14ac:dyDescent="0.3">
      <c r="A57" s="8"/>
      <c r="B57" s="8"/>
      <c r="C57" s="8"/>
      <c r="D57" s="6" t="s">
        <v>85</v>
      </c>
      <c r="E57" s="8" t="s">
        <v>678</v>
      </c>
      <c r="F57" s="8"/>
      <c r="G57" s="36"/>
      <c r="H57" s="8"/>
    </row>
    <row r="58" spans="1:8" ht="30" customHeight="1" x14ac:dyDescent="0.3">
      <c r="A58" s="8"/>
      <c r="B58" s="8"/>
      <c r="C58" s="8"/>
      <c r="D58" s="6" t="s">
        <v>1922</v>
      </c>
      <c r="E58" s="23" t="s">
        <v>1923</v>
      </c>
      <c r="F58" s="8"/>
      <c r="G58" s="36">
        <v>304852.90000000002</v>
      </c>
      <c r="H58" s="8"/>
    </row>
    <row r="59" spans="1:8" ht="30" customHeight="1" x14ac:dyDescent="0.3">
      <c r="A59" s="8"/>
      <c r="B59" s="8"/>
      <c r="C59" s="8"/>
      <c r="D59" s="6" t="s">
        <v>85</v>
      </c>
      <c r="E59" s="8" t="s">
        <v>152</v>
      </c>
      <c r="F59" s="102">
        <v>46054</v>
      </c>
      <c r="G59" s="36">
        <v>1299</v>
      </c>
      <c r="H59" s="8"/>
    </row>
    <row r="60" spans="1:8" ht="30" customHeight="1" x14ac:dyDescent="0.3">
      <c r="A60" s="8"/>
      <c r="B60" s="8"/>
      <c r="C60" s="8"/>
      <c r="D60" s="6" t="s">
        <v>28</v>
      </c>
      <c r="E60" s="8" t="s">
        <v>1929</v>
      </c>
      <c r="F60" s="8"/>
      <c r="G60" s="36">
        <v>276734</v>
      </c>
      <c r="H60" s="8"/>
    </row>
    <row r="61" spans="1:8" ht="30" customHeight="1" x14ac:dyDescent="0.3">
      <c r="A61" s="7">
        <v>46299</v>
      </c>
      <c r="B61" s="8"/>
      <c r="C61" s="8"/>
      <c r="D61" s="6" t="s">
        <v>614</v>
      </c>
      <c r="E61" s="8" t="s">
        <v>488</v>
      </c>
      <c r="F61" s="8" t="s">
        <v>1978</v>
      </c>
      <c r="G61" s="36">
        <v>1526557.31</v>
      </c>
      <c r="H61" s="8"/>
    </row>
    <row r="62" spans="1:8" ht="30" customHeight="1" x14ac:dyDescent="0.3">
      <c r="A62" s="8" t="s">
        <v>2104</v>
      </c>
      <c r="B62" s="8"/>
      <c r="C62" s="8"/>
      <c r="D62" s="6" t="s">
        <v>28</v>
      </c>
      <c r="E62" s="8" t="s">
        <v>2103</v>
      </c>
      <c r="F62" s="23"/>
      <c r="G62" s="33">
        <v>276734</v>
      </c>
      <c r="H62" s="8"/>
    </row>
    <row r="63" spans="1:8" ht="30" customHeight="1" x14ac:dyDescent="0.3">
      <c r="A63" s="8" t="s">
        <v>2118</v>
      </c>
      <c r="B63" s="8"/>
      <c r="C63" s="8"/>
      <c r="D63" s="6" t="s">
        <v>2145</v>
      </c>
      <c r="E63" s="8" t="s">
        <v>2146</v>
      </c>
      <c r="F63" s="23"/>
      <c r="G63" s="36">
        <v>30150</v>
      </c>
      <c r="H63" s="8"/>
    </row>
    <row r="64" spans="1:8" ht="30" customHeight="1" x14ac:dyDescent="0.3">
      <c r="A64" s="8"/>
      <c r="B64" s="8"/>
      <c r="C64" s="8"/>
      <c r="D64" s="6" t="s">
        <v>1125</v>
      </c>
      <c r="E64" s="8" t="s">
        <v>488</v>
      </c>
      <c r="F64" s="8" t="s">
        <v>2150</v>
      </c>
      <c r="G64" s="36">
        <v>119890</v>
      </c>
      <c r="H64" s="8"/>
    </row>
    <row r="65" spans="1:8" ht="30" customHeight="1" x14ac:dyDescent="0.3">
      <c r="A65" s="8" t="s">
        <v>2185</v>
      </c>
      <c r="B65" s="8"/>
      <c r="C65" s="8"/>
      <c r="D65" s="6" t="s">
        <v>36</v>
      </c>
      <c r="E65" s="8" t="s">
        <v>488</v>
      </c>
      <c r="F65" s="8" t="s">
        <v>1978</v>
      </c>
      <c r="G65" s="36">
        <v>107938.88</v>
      </c>
      <c r="H65" s="8"/>
    </row>
    <row r="66" spans="1:8" ht="30" customHeight="1" x14ac:dyDescent="0.3">
      <c r="A66" s="8"/>
      <c r="B66" s="8"/>
      <c r="C66" s="8"/>
      <c r="D66" s="6" t="s">
        <v>2145</v>
      </c>
      <c r="E66" s="23" t="s">
        <v>2186</v>
      </c>
      <c r="F66" s="8"/>
      <c r="G66" s="36">
        <v>20400</v>
      </c>
      <c r="H66" s="8"/>
    </row>
    <row r="67" spans="1:8" ht="30" customHeight="1" x14ac:dyDescent="0.3">
      <c r="A67" s="8"/>
      <c r="B67" s="8"/>
      <c r="C67" s="8"/>
      <c r="D67" s="6" t="s">
        <v>2195</v>
      </c>
      <c r="E67" s="23" t="s">
        <v>2196</v>
      </c>
      <c r="F67" s="8"/>
      <c r="G67" s="36">
        <v>510392</v>
      </c>
      <c r="H67" s="8"/>
    </row>
    <row r="68" spans="1:8" ht="30" customHeight="1" x14ac:dyDescent="0.3">
      <c r="A68" s="8"/>
      <c r="B68" s="8"/>
      <c r="C68" s="8"/>
      <c r="D68" s="6" t="s">
        <v>2207</v>
      </c>
      <c r="E68" s="8" t="s">
        <v>2208</v>
      </c>
      <c r="F68" s="102">
        <v>46082</v>
      </c>
      <c r="G68" s="36">
        <v>2500</v>
      </c>
      <c r="H68" s="8"/>
    </row>
    <row r="69" spans="1:8" ht="30" customHeight="1" x14ac:dyDescent="0.3">
      <c r="A69" s="8"/>
      <c r="B69" s="8" t="s">
        <v>2210</v>
      </c>
      <c r="C69" s="8"/>
      <c r="D69" s="6" t="s">
        <v>2216</v>
      </c>
      <c r="E69" s="8" t="s">
        <v>678</v>
      </c>
      <c r="F69" s="8" t="s">
        <v>2230</v>
      </c>
      <c r="G69" s="36">
        <v>12634</v>
      </c>
      <c r="H69" s="8"/>
    </row>
    <row r="70" spans="1:8" ht="30" customHeight="1" x14ac:dyDescent="0.3">
      <c r="A70" s="8"/>
      <c r="B70" s="8"/>
      <c r="C70" s="8"/>
      <c r="D70" s="6" t="s">
        <v>85</v>
      </c>
      <c r="E70" s="8" t="s">
        <v>678</v>
      </c>
      <c r="F70" s="8" t="s">
        <v>2230</v>
      </c>
      <c r="G70" s="36">
        <v>12000</v>
      </c>
      <c r="H70" s="8"/>
    </row>
    <row r="71" spans="1:8" ht="30" customHeight="1" x14ac:dyDescent="0.3">
      <c r="A71" s="8"/>
      <c r="B71" s="8"/>
      <c r="C71" s="8"/>
      <c r="D71" s="6" t="s">
        <v>46</v>
      </c>
      <c r="E71" s="23" t="s">
        <v>2229</v>
      </c>
      <c r="F71" s="8"/>
      <c r="G71" s="36">
        <v>53000</v>
      </c>
      <c r="H71" s="8"/>
    </row>
    <row r="72" spans="1:8" ht="30" customHeight="1" x14ac:dyDescent="0.3">
      <c r="A72" s="8"/>
      <c r="B72" s="8" t="s">
        <v>2334</v>
      </c>
      <c r="C72" s="8"/>
      <c r="D72" s="6" t="s">
        <v>2335</v>
      </c>
      <c r="E72" s="8" t="s">
        <v>2336</v>
      </c>
      <c r="F72" s="8"/>
      <c r="G72" s="36">
        <v>161620</v>
      </c>
      <c r="H72" s="8"/>
    </row>
    <row r="73" spans="1:8" ht="30" customHeight="1" x14ac:dyDescent="0.3">
      <c r="A73" s="8"/>
      <c r="B73" s="8"/>
      <c r="C73" s="8"/>
      <c r="D73" s="6" t="s">
        <v>2337</v>
      </c>
      <c r="E73" s="8" t="s">
        <v>2336</v>
      </c>
      <c r="F73" s="23"/>
      <c r="G73" s="33">
        <v>89800</v>
      </c>
      <c r="H73" s="8"/>
    </row>
    <row r="74" spans="1:8" ht="30" customHeight="1" x14ac:dyDescent="0.3">
      <c r="A74" s="8"/>
      <c r="B74" s="8"/>
      <c r="C74" s="8"/>
      <c r="D74" s="6" t="s">
        <v>2338</v>
      </c>
      <c r="E74" s="8" t="s">
        <v>2339</v>
      </c>
      <c r="F74" s="8"/>
      <c r="G74" s="36">
        <v>8250</v>
      </c>
      <c r="H74" s="8"/>
    </row>
    <row r="75" spans="1:8" ht="30" customHeight="1" x14ac:dyDescent="0.3">
      <c r="A75" s="8"/>
      <c r="B75" s="8"/>
      <c r="C75" s="8"/>
      <c r="D75" s="6" t="s">
        <v>2340</v>
      </c>
      <c r="E75" s="8" t="s">
        <v>2341</v>
      </c>
      <c r="F75" s="23"/>
      <c r="G75" s="33">
        <v>1496110</v>
      </c>
      <c r="H75" s="8"/>
    </row>
    <row r="76" spans="1:8" ht="30" customHeight="1" x14ac:dyDescent="0.3">
      <c r="A76" s="8"/>
      <c r="B76" s="8"/>
      <c r="C76" s="8"/>
      <c r="D76" s="6" t="s">
        <v>2195</v>
      </c>
      <c r="E76" s="23" t="s">
        <v>2345</v>
      </c>
      <c r="F76" s="8"/>
      <c r="G76" s="36">
        <v>11850</v>
      </c>
      <c r="H76" s="8"/>
    </row>
    <row r="77" spans="1:8" ht="30" customHeight="1" x14ac:dyDescent="0.3">
      <c r="A77" s="8"/>
      <c r="B77" s="8"/>
      <c r="C77" s="8"/>
      <c r="D77" s="6" t="s">
        <v>2340</v>
      </c>
      <c r="E77" s="8" t="s">
        <v>2347</v>
      </c>
      <c r="F77" s="8"/>
      <c r="G77" s="36">
        <v>228570</v>
      </c>
      <c r="H77" s="8"/>
    </row>
    <row r="78" spans="1:8" ht="30" customHeight="1" x14ac:dyDescent="0.3">
      <c r="A78" s="8"/>
      <c r="B78" s="7">
        <v>46117</v>
      </c>
      <c r="C78" s="8"/>
      <c r="D78" s="6" t="s">
        <v>2382</v>
      </c>
      <c r="E78" s="8" t="s">
        <v>488</v>
      </c>
      <c r="F78" s="8" t="s">
        <v>2383</v>
      </c>
      <c r="G78" s="36">
        <v>105997</v>
      </c>
      <c r="H78" s="8"/>
    </row>
    <row r="79" spans="1:8" ht="30" customHeight="1" x14ac:dyDescent="0.3">
      <c r="A79" s="8"/>
      <c r="B79" s="8"/>
      <c r="C79" s="8"/>
      <c r="D79" s="6" t="s">
        <v>614</v>
      </c>
      <c r="E79" s="8" t="s">
        <v>2400</v>
      </c>
      <c r="F79" s="8"/>
      <c r="G79" s="36">
        <v>1240254</v>
      </c>
      <c r="H79" s="8"/>
    </row>
    <row r="80" spans="1:8" ht="30" customHeight="1" x14ac:dyDescent="0.3">
      <c r="A80" s="8"/>
      <c r="B80" s="8"/>
      <c r="C80" s="8"/>
      <c r="D80" s="6" t="s">
        <v>1123</v>
      </c>
      <c r="E80" s="8" t="s">
        <v>2433</v>
      </c>
      <c r="F80" s="8" t="s">
        <v>2434</v>
      </c>
      <c r="G80" s="36">
        <v>18860</v>
      </c>
      <c r="H80" s="8"/>
    </row>
    <row r="81" spans="1:8" ht="30" customHeight="1" x14ac:dyDescent="0.3">
      <c r="A81" s="8"/>
      <c r="B81" s="8"/>
      <c r="C81" s="8"/>
      <c r="D81" s="6" t="s">
        <v>85</v>
      </c>
      <c r="E81" s="8" t="s">
        <v>152</v>
      </c>
      <c r="F81" s="102">
        <v>46082</v>
      </c>
      <c r="G81" s="36">
        <v>1299</v>
      </c>
      <c r="H81" s="8"/>
    </row>
    <row r="82" spans="1:8" ht="30" customHeight="1" x14ac:dyDescent="0.3">
      <c r="A82" s="8"/>
      <c r="B82" s="8"/>
      <c r="C82" s="8"/>
      <c r="D82" s="6" t="s">
        <v>2450</v>
      </c>
      <c r="E82" s="8" t="s">
        <v>678</v>
      </c>
      <c r="F82" s="8" t="s">
        <v>2451</v>
      </c>
      <c r="G82" s="36">
        <v>11250</v>
      </c>
      <c r="H82" s="8"/>
    </row>
    <row r="83" spans="1:8" ht="30" customHeight="1" x14ac:dyDescent="0.3">
      <c r="A83" s="8"/>
      <c r="B83" s="8"/>
      <c r="C83" s="8"/>
      <c r="D83" s="6" t="s">
        <v>2452</v>
      </c>
      <c r="E83" s="8" t="s">
        <v>678</v>
      </c>
      <c r="F83" s="8" t="s">
        <v>2453</v>
      </c>
      <c r="G83" s="36">
        <v>1500</v>
      </c>
      <c r="H83" s="8"/>
    </row>
    <row r="84" spans="1:8" ht="30" customHeight="1" x14ac:dyDescent="0.3">
      <c r="A84" s="8"/>
      <c r="B84" s="8"/>
      <c r="C84" s="8"/>
      <c r="D84" s="6" t="s">
        <v>42</v>
      </c>
      <c r="E84" s="8" t="s">
        <v>2478</v>
      </c>
      <c r="F84" s="23" t="s">
        <v>2480</v>
      </c>
      <c r="G84" s="8" t="s">
        <v>2479</v>
      </c>
      <c r="H84" s="8"/>
    </row>
    <row r="85" spans="1:8" ht="30" customHeight="1" x14ac:dyDescent="0.3">
      <c r="A85" s="8"/>
      <c r="B85" s="7">
        <v>46331</v>
      </c>
      <c r="C85" s="8"/>
      <c r="D85" s="6" t="s">
        <v>2495</v>
      </c>
      <c r="E85" s="23" t="s">
        <v>2494</v>
      </c>
      <c r="F85" s="8"/>
      <c r="G85" s="8"/>
      <c r="H85" s="8"/>
    </row>
    <row r="86" spans="1:8" ht="30" customHeight="1" x14ac:dyDescent="0.3">
      <c r="A86" s="8"/>
      <c r="B86" s="8"/>
      <c r="C86" s="8"/>
      <c r="D86" s="6" t="s">
        <v>2195</v>
      </c>
      <c r="E86" s="23" t="s">
        <v>2498</v>
      </c>
      <c r="F86" s="36"/>
      <c r="G86" s="36">
        <v>139000</v>
      </c>
      <c r="H86" s="8"/>
    </row>
    <row r="87" spans="1:8" ht="30" customHeight="1" x14ac:dyDescent="0.3">
      <c r="A87" s="8"/>
      <c r="B87" s="8"/>
      <c r="C87" s="8"/>
      <c r="D87" s="6" t="s">
        <v>2195</v>
      </c>
      <c r="E87" s="23" t="s">
        <v>2499</v>
      </c>
      <c r="F87" s="36"/>
      <c r="G87" s="36">
        <v>735390</v>
      </c>
      <c r="H87" s="8"/>
    </row>
    <row r="88" spans="1:8" ht="30" customHeight="1" x14ac:dyDescent="0.3">
      <c r="A88" s="8"/>
      <c r="B88" s="8"/>
      <c r="C88" s="8"/>
      <c r="D88" s="6" t="s">
        <v>2502</v>
      </c>
      <c r="E88" s="23" t="s">
        <v>2503</v>
      </c>
      <c r="F88" s="8" t="s">
        <v>2504</v>
      </c>
      <c r="G88" s="36">
        <v>1800</v>
      </c>
      <c r="H88" s="8"/>
    </row>
    <row r="89" spans="1:8" ht="30" customHeight="1" x14ac:dyDescent="0.3">
      <c r="A89" s="8"/>
      <c r="B89" s="8"/>
      <c r="C89" s="8"/>
      <c r="D89" s="6" t="s">
        <v>46</v>
      </c>
      <c r="E89" s="23" t="s">
        <v>2505</v>
      </c>
      <c r="F89" s="8" t="s">
        <v>2504</v>
      </c>
      <c r="G89" s="36">
        <v>5300</v>
      </c>
      <c r="H89" s="8"/>
    </row>
    <row r="90" spans="1:8" ht="30" customHeight="1" x14ac:dyDescent="0.3">
      <c r="A90" s="8"/>
      <c r="B90" s="8"/>
      <c r="C90" s="8"/>
      <c r="D90" s="6" t="s">
        <v>46</v>
      </c>
      <c r="E90" s="8" t="s">
        <v>2516</v>
      </c>
      <c r="F90" s="8" t="s">
        <v>2517</v>
      </c>
      <c r="G90" s="36">
        <v>1527342.33</v>
      </c>
      <c r="H90" s="8"/>
    </row>
    <row r="91" spans="1:8" ht="30" customHeight="1" x14ac:dyDescent="0.3">
      <c r="A91" s="8"/>
      <c r="B91" s="8" t="s">
        <v>2571</v>
      </c>
      <c r="C91" s="8"/>
      <c r="D91" s="6" t="s">
        <v>46</v>
      </c>
      <c r="E91" s="8" t="s">
        <v>152</v>
      </c>
      <c r="F91" s="102">
        <v>46113</v>
      </c>
      <c r="G91" s="36">
        <v>2500</v>
      </c>
      <c r="H91" s="8"/>
    </row>
    <row r="92" spans="1:8" ht="30" customHeight="1" x14ac:dyDescent="0.3">
      <c r="A92" s="8"/>
      <c r="B92" s="8" t="s">
        <v>2629</v>
      </c>
      <c r="C92" s="8"/>
      <c r="D92" s="6" t="s">
        <v>195</v>
      </c>
      <c r="E92" s="8" t="s">
        <v>152</v>
      </c>
      <c r="F92" s="8" t="s">
        <v>2638</v>
      </c>
      <c r="G92" s="36">
        <v>1998</v>
      </c>
      <c r="H92" s="8"/>
    </row>
    <row r="93" spans="1:8" ht="30" customHeight="1" x14ac:dyDescent="0.3">
      <c r="A93" s="8"/>
      <c r="B93" s="8" t="s">
        <v>2681</v>
      </c>
      <c r="C93" s="8"/>
      <c r="D93" s="6" t="s">
        <v>2502</v>
      </c>
      <c r="E93" s="8" t="s">
        <v>678</v>
      </c>
      <c r="F93" s="8"/>
      <c r="G93" s="36">
        <v>7500</v>
      </c>
      <c r="H93" s="8"/>
    </row>
    <row r="94" spans="1:8" ht="30" customHeight="1" x14ac:dyDescent="0.3">
      <c r="A94" s="8"/>
      <c r="B94" s="8"/>
      <c r="C94" s="8"/>
      <c r="D94" s="6" t="s">
        <v>632</v>
      </c>
      <c r="E94" s="8" t="s">
        <v>152</v>
      </c>
      <c r="F94" s="102">
        <v>46113</v>
      </c>
      <c r="G94" s="36">
        <v>1299</v>
      </c>
      <c r="H94" s="8"/>
    </row>
    <row r="95" spans="1:8" ht="30" customHeight="1" x14ac:dyDescent="0.3">
      <c r="A95" s="8"/>
      <c r="B95" s="7">
        <v>46028</v>
      </c>
      <c r="C95" s="8"/>
      <c r="D95" s="6" t="s">
        <v>2780</v>
      </c>
      <c r="E95" s="8" t="s">
        <v>2781</v>
      </c>
      <c r="F95" s="8"/>
      <c r="G95" s="36">
        <v>252000</v>
      </c>
      <c r="H95" s="8"/>
    </row>
    <row r="96" spans="1:8" ht="30" customHeight="1" x14ac:dyDescent="0.3">
      <c r="A96" s="8"/>
      <c r="B96" s="8"/>
      <c r="C96" s="8"/>
      <c r="D96" s="6" t="s">
        <v>632</v>
      </c>
      <c r="E96" s="8" t="s">
        <v>2781</v>
      </c>
      <c r="F96" s="8"/>
      <c r="G96" s="36">
        <v>14000</v>
      </c>
      <c r="H96" s="8"/>
    </row>
    <row r="97" spans="1:11" ht="30" customHeight="1" x14ac:dyDescent="0.3">
      <c r="A97" s="8"/>
      <c r="B97" s="8"/>
      <c r="C97" s="8"/>
      <c r="D97" s="6" t="s">
        <v>36</v>
      </c>
      <c r="E97" s="8" t="s">
        <v>2781</v>
      </c>
      <c r="F97" s="8"/>
      <c r="G97" s="36">
        <v>49000</v>
      </c>
      <c r="H97" s="8"/>
      <c r="K97" s="1" t="s">
        <v>407</v>
      </c>
    </row>
    <row r="98" spans="1:11" ht="30" customHeight="1" x14ac:dyDescent="0.3">
      <c r="A98" s="8"/>
      <c r="B98" s="8"/>
      <c r="C98" s="8"/>
      <c r="D98" s="6" t="s">
        <v>1463</v>
      </c>
      <c r="E98" s="8" t="s">
        <v>2781</v>
      </c>
      <c r="F98" s="8"/>
      <c r="G98" s="36">
        <v>7000</v>
      </c>
      <c r="H98" s="8"/>
    </row>
    <row r="99" spans="1:11" ht="30" customHeight="1" x14ac:dyDescent="0.3">
      <c r="A99" s="5"/>
      <c r="B99" s="3"/>
      <c r="C99" s="8"/>
      <c r="D99" s="6" t="s">
        <v>2800</v>
      </c>
      <c r="E99" s="8" t="s">
        <v>615</v>
      </c>
      <c r="F99" s="8"/>
      <c r="G99" s="36">
        <v>7000</v>
      </c>
      <c r="H99" s="8"/>
    </row>
    <row r="100" spans="1:11" ht="30" customHeight="1" x14ac:dyDescent="0.3">
      <c r="A100" s="5"/>
      <c r="B100" s="74">
        <v>46059</v>
      </c>
      <c r="C100" s="8"/>
      <c r="D100" s="6" t="s">
        <v>2811</v>
      </c>
      <c r="E100" s="8" t="s">
        <v>2781</v>
      </c>
      <c r="F100" s="8"/>
      <c r="G100" s="36">
        <v>14000</v>
      </c>
      <c r="H100" s="8"/>
    </row>
    <row r="101" spans="1:11" ht="30" customHeight="1" x14ac:dyDescent="0.3">
      <c r="A101" s="5"/>
      <c r="B101" s="3"/>
      <c r="C101" s="8"/>
      <c r="D101" s="6" t="s">
        <v>1125</v>
      </c>
      <c r="E101" s="8" t="s">
        <v>2433</v>
      </c>
      <c r="F101" s="8" t="s">
        <v>2815</v>
      </c>
      <c r="G101" s="36">
        <v>127612.5</v>
      </c>
      <c r="H101" s="8"/>
    </row>
    <row r="102" spans="1:11" ht="30" customHeight="1" x14ac:dyDescent="0.3">
      <c r="A102" s="5"/>
      <c r="B102" s="3"/>
      <c r="C102" s="8"/>
      <c r="D102" s="6" t="s">
        <v>760</v>
      </c>
      <c r="E102" s="8" t="s">
        <v>2433</v>
      </c>
      <c r="F102" s="8" t="s">
        <v>2815</v>
      </c>
      <c r="G102" s="36">
        <v>96361.79</v>
      </c>
      <c r="H102" s="8"/>
    </row>
    <row r="103" spans="1:11" ht="30" customHeight="1" x14ac:dyDescent="0.3">
      <c r="A103" s="5"/>
      <c r="B103" s="74">
        <v>46087</v>
      </c>
      <c r="C103" s="8"/>
      <c r="D103" s="6" t="s">
        <v>2382</v>
      </c>
      <c r="E103" s="8" t="s">
        <v>678</v>
      </c>
      <c r="F103" s="102">
        <v>46143</v>
      </c>
      <c r="G103" s="36">
        <v>9700</v>
      </c>
      <c r="H103" s="8"/>
    </row>
    <row r="104" spans="1:11" ht="30" customHeight="1" x14ac:dyDescent="0.3">
      <c r="A104" s="5"/>
      <c r="B104" s="3"/>
      <c r="C104" s="8"/>
      <c r="D104" s="6" t="s">
        <v>614</v>
      </c>
      <c r="E104" s="8" t="s">
        <v>678</v>
      </c>
      <c r="F104" s="102">
        <v>46143</v>
      </c>
      <c r="G104" s="36">
        <v>26471</v>
      </c>
      <c r="H104" s="8"/>
    </row>
    <row r="105" spans="1:11" ht="30" customHeight="1" x14ac:dyDescent="0.3">
      <c r="A105" s="5"/>
      <c r="B105" s="3"/>
      <c r="C105" s="8"/>
      <c r="D105" s="6" t="s">
        <v>1123</v>
      </c>
      <c r="E105" s="8" t="s">
        <v>2433</v>
      </c>
      <c r="F105" s="8" t="s">
        <v>2868</v>
      </c>
      <c r="G105" s="36">
        <v>22900</v>
      </c>
      <c r="H105" s="8"/>
    </row>
    <row r="106" spans="1:11" ht="30" customHeight="1" x14ac:dyDescent="0.3">
      <c r="A106" s="5"/>
      <c r="B106" s="7">
        <v>46240</v>
      </c>
      <c r="C106" s="8"/>
      <c r="D106" s="6" t="s">
        <v>2893</v>
      </c>
      <c r="E106" s="8" t="s">
        <v>2433</v>
      </c>
      <c r="F106" s="8" t="s">
        <v>2894</v>
      </c>
      <c r="G106" s="36">
        <v>1527434.79</v>
      </c>
      <c r="H106" s="8"/>
    </row>
    <row r="107" spans="1:11" ht="30" customHeight="1" x14ac:dyDescent="0.3">
      <c r="A107" s="5"/>
      <c r="B107" s="74">
        <v>46301</v>
      </c>
      <c r="C107" s="8"/>
      <c r="D107" s="6" t="s">
        <v>28</v>
      </c>
      <c r="E107" s="23" t="s">
        <v>2949</v>
      </c>
      <c r="F107" s="8"/>
      <c r="G107" s="36">
        <v>49907.519999999997</v>
      </c>
      <c r="H107" s="8"/>
    </row>
    <row r="108" spans="1:11" ht="30" customHeight="1" x14ac:dyDescent="0.3">
      <c r="A108" s="5"/>
      <c r="B108" s="74">
        <v>46332</v>
      </c>
      <c r="C108" s="8"/>
      <c r="D108" s="6" t="s">
        <v>2987</v>
      </c>
      <c r="E108" s="8" t="s">
        <v>2988</v>
      </c>
      <c r="F108" s="8"/>
      <c r="G108" s="36">
        <v>933220</v>
      </c>
      <c r="H108" s="8"/>
    </row>
    <row r="109" spans="1:11" ht="30" customHeight="1" x14ac:dyDescent="0.3">
      <c r="A109" s="5"/>
      <c r="B109" s="3"/>
      <c r="C109" s="8"/>
      <c r="D109" s="6" t="s">
        <v>3049</v>
      </c>
      <c r="E109" s="8" t="s">
        <v>2433</v>
      </c>
      <c r="F109" s="8" t="s">
        <v>2815</v>
      </c>
      <c r="G109" s="36">
        <v>18362.5</v>
      </c>
      <c r="H109" s="8"/>
    </row>
    <row r="110" spans="1:11" ht="30" customHeight="1" x14ac:dyDescent="0.3">
      <c r="A110" s="5"/>
      <c r="B110" s="21" t="s">
        <v>3000</v>
      </c>
      <c r="C110" s="8"/>
      <c r="D110" s="6" t="s">
        <v>3031</v>
      </c>
      <c r="E110" s="8" t="s">
        <v>678</v>
      </c>
      <c r="F110" s="8"/>
      <c r="G110" s="103">
        <v>151575</v>
      </c>
      <c r="H110" s="8"/>
    </row>
    <row r="111" spans="1:11" ht="30" customHeight="1" x14ac:dyDescent="0.3">
      <c r="A111" s="5"/>
      <c r="B111" s="3"/>
      <c r="C111" s="8"/>
      <c r="D111" s="6" t="s">
        <v>3032</v>
      </c>
      <c r="E111" s="8" t="s">
        <v>678</v>
      </c>
      <c r="F111" s="8"/>
      <c r="G111" s="103">
        <v>151575</v>
      </c>
      <c r="H111" s="8"/>
    </row>
    <row r="112" spans="1:11" ht="30" customHeight="1" x14ac:dyDescent="0.3">
      <c r="A112" s="5"/>
      <c r="B112" s="21" t="s">
        <v>3039</v>
      </c>
      <c r="C112" s="8"/>
      <c r="D112" s="6" t="s">
        <v>1125</v>
      </c>
      <c r="E112" s="8" t="s">
        <v>2433</v>
      </c>
      <c r="F112" s="8" t="s">
        <v>3048</v>
      </c>
      <c r="G112" s="103">
        <v>151575</v>
      </c>
      <c r="H112" s="8"/>
    </row>
    <row r="113" spans="1:8" ht="30" customHeight="1" x14ac:dyDescent="0.3">
      <c r="A113" s="5"/>
      <c r="B113" s="21" t="s">
        <v>3075</v>
      </c>
      <c r="C113" s="8"/>
      <c r="D113" s="6" t="s">
        <v>3084</v>
      </c>
      <c r="E113" s="8" t="s">
        <v>2433</v>
      </c>
      <c r="F113" s="8" t="s">
        <v>3048</v>
      </c>
      <c r="G113" s="103">
        <v>151575</v>
      </c>
      <c r="H113" s="8"/>
    </row>
    <row r="114" spans="1:8" ht="30" customHeight="1" x14ac:dyDescent="0.3">
      <c r="A114" s="5"/>
      <c r="B114" s="21" t="s">
        <v>3103</v>
      </c>
      <c r="C114" s="8"/>
      <c r="D114" s="6" t="s">
        <v>2780</v>
      </c>
      <c r="E114" s="8" t="s">
        <v>152</v>
      </c>
      <c r="F114" s="8" t="s">
        <v>3111</v>
      </c>
      <c r="G114" s="103">
        <v>151575</v>
      </c>
      <c r="H114" s="8"/>
    </row>
    <row r="115" spans="1:8" ht="30" customHeight="1" x14ac:dyDescent="0.3">
      <c r="A115" s="5"/>
      <c r="B115" s="21" t="s">
        <v>3113</v>
      </c>
      <c r="C115" s="8"/>
      <c r="D115" s="6" t="s">
        <v>3123</v>
      </c>
      <c r="E115" s="23" t="s">
        <v>3124</v>
      </c>
      <c r="F115" s="8"/>
      <c r="G115" s="103">
        <v>151575</v>
      </c>
      <c r="H115" s="8"/>
    </row>
    <row r="116" spans="1:8" ht="30" customHeight="1" x14ac:dyDescent="0.3">
      <c r="A116" s="5"/>
      <c r="B116" s="3"/>
      <c r="C116" s="8"/>
      <c r="D116" s="6" t="s">
        <v>3125</v>
      </c>
      <c r="E116" s="8" t="s">
        <v>3126</v>
      </c>
      <c r="F116" s="8"/>
      <c r="G116" s="103">
        <v>151575</v>
      </c>
      <c r="H116" s="8"/>
    </row>
    <row r="117" spans="1:8" ht="30" customHeight="1" x14ac:dyDescent="0.3">
      <c r="A117" s="5"/>
      <c r="B117" s="3"/>
      <c r="C117" s="8"/>
      <c r="D117" s="6" t="s">
        <v>342</v>
      </c>
      <c r="E117" s="8" t="s">
        <v>3127</v>
      </c>
      <c r="F117" s="8" t="s">
        <v>407</v>
      </c>
      <c r="G117" s="103">
        <v>151575</v>
      </c>
      <c r="H117" s="8"/>
    </row>
    <row r="118" spans="1:8" ht="30" customHeight="1" x14ac:dyDescent="0.3">
      <c r="A118" s="5"/>
      <c r="B118" s="74">
        <v>46029</v>
      </c>
      <c r="C118" s="8"/>
      <c r="D118" s="6" t="s">
        <v>1125</v>
      </c>
      <c r="E118" s="8" t="s">
        <v>2433</v>
      </c>
      <c r="F118" s="8" t="s">
        <v>3255</v>
      </c>
      <c r="G118" s="103">
        <v>151575</v>
      </c>
      <c r="H118" s="98"/>
    </row>
    <row r="119" spans="1:8" ht="30" customHeight="1" x14ac:dyDescent="0.3">
      <c r="A119" s="5"/>
      <c r="B119" s="3"/>
      <c r="C119" s="8"/>
      <c r="D119" s="6" t="s">
        <v>3260</v>
      </c>
      <c r="E119" s="8" t="s">
        <v>2433</v>
      </c>
      <c r="F119" s="8" t="s">
        <v>3255</v>
      </c>
      <c r="G119" s="106">
        <v>105997.98</v>
      </c>
      <c r="H119" s="98"/>
    </row>
    <row r="120" spans="1:8" ht="30" customHeight="1" x14ac:dyDescent="0.3">
      <c r="A120" s="5"/>
      <c r="B120" s="74">
        <v>46180</v>
      </c>
      <c r="C120" s="8"/>
      <c r="D120" s="6" t="s">
        <v>3260</v>
      </c>
      <c r="E120" s="8" t="s">
        <v>678</v>
      </c>
      <c r="F120" s="8" t="s">
        <v>2894</v>
      </c>
      <c r="G120" s="36">
        <v>14250</v>
      </c>
      <c r="H120" s="98"/>
    </row>
    <row r="121" spans="1:8" ht="30" customHeight="1" x14ac:dyDescent="0.3">
      <c r="A121" s="5"/>
      <c r="B121" s="3"/>
      <c r="C121" s="8"/>
      <c r="D121" s="6" t="s">
        <v>3282</v>
      </c>
      <c r="E121" s="8" t="s">
        <v>678</v>
      </c>
      <c r="F121" s="8" t="s">
        <v>2894</v>
      </c>
      <c r="G121" s="36">
        <v>53732</v>
      </c>
      <c r="H121" s="98"/>
    </row>
    <row r="122" spans="1:8" ht="30" customHeight="1" x14ac:dyDescent="0.3">
      <c r="A122" s="5"/>
      <c r="B122" s="3"/>
      <c r="C122" s="8"/>
      <c r="D122" s="6" t="s">
        <v>1299</v>
      </c>
      <c r="E122" s="8" t="s">
        <v>678</v>
      </c>
      <c r="F122" s="8" t="s">
        <v>2894</v>
      </c>
      <c r="G122" s="36">
        <v>2250</v>
      </c>
      <c r="H122" s="98"/>
    </row>
    <row r="123" spans="1:8" ht="30" customHeight="1" x14ac:dyDescent="0.3">
      <c r="A123" s="5"/>
      <c r="B123" s="74">
        <v>46210</v>
      </c>
      <c r="C123" s="8"/>
      <c r="D123" s="6" t="s">
        <v>28</v>
      </c>
      <c r="E123" s="8" t="s">
        <v>2146</v>
      </c>
      <c r="F123" s="8"/>
      <c r="G123" s="36">
        <v>54907.51</v>
      </c>
      <c r="H123" s="98"/>
    </row>
    <row r="124" spans="1:8" ht="30" customHeight="1" x14ac:dyDescent="0.3">
      <c r="A124" s="5"/>
      <c r="B124" s="3"/>
      <c r="C124" s="8"/>
      <c r="D124" s="6" t="s">
        <v>85</v>
      </c>
      <c r="E124" s="8" t="s">
        <v>152</v>
      </c>
      <c r="F124" s="8" t="s">
        <v>3347</v>
      </c>
      <c r="G124" s="36">
        <v>1299</v>
      </c>
      <c r="H124" s="98"/>
    </row>
    <row r="125" spans="1:8" ht="30" customHeight="1" x14ac:dyDescent="0.3">
      <c r="A125" s="5"/>
      <c r="B125" s="74">
        <v>46241</v>
      </c>
      <c r="C125" s="8"/>
      <c r="D125" s="6" t="s">
        <v>2893</v>
      </c>
      <c r="E125" s="8" t="s">
        <v>488</v>
      </c>
      <c r="F125" s="8" t="s">
        <v>3387</v>
      </c>
      <c r="G125" s="36">
        <v>1527371.4</v>
      </c>
      <c r="H125" s="98"/>
    </row>
    <row r="126" spans="1:8" ht="30" customHeight="1" x14ac:dyDescent="0.3">
      <c r="A126" s="5"/>
      <c r="B126" s="3"/>
      <c r="C126" s="8"/>
      <c r="D126" s="6" t="s">
        <v>3389</v>
      </c>
      <c r="E126" s="8" t="s">
        <v>678</v>
      </c>
      <c r="F126" s="8"/>
      <c r="G126" s="36">
        <v>4292</v>
      </c>
      <c r="H126" s="98"/>
    </row>
    <row r="127" spans="1:8" ht="30" customHeight="1" x14ac:dyDescent="0.3">
      <c r="A127" s="5"/>
      <c r="B127" s="3" t="s">
        <v>3540</v>
      </c>
      <c r="C127" s="8"/>
      <c r="D127" s="6" t="s">
        <v>1459</v>
      </c>
      <c r="E127" s="8" t="s">
        <v>615</v>
      </c>
      <c r="F127" s="8" t="s">
        <v>3270</v>
      </c>
      <c r="G127" s="36">
        <v>7000</v>
      </c>
      <c r="H127" s="98"/>
    </row>
    <row r="128" spans="1:8" ht="30" customHeight="1" x14ac:dyDescent="0.3">
      <c r="A128" s="5"/>
      <c r="B128" s="3"/>
      <c r="C128" s="8"/>
      <c r="D128" s="6" t="s">
        <v>36</v>
      </c>
      <c r="E128" s="8" t="s">
        <v>488</v>
      </c>
      <c r="F128" s="8" t="s">
        <v>3387</v>
      </c>
      <c r="G128" s="36">
        <v>136847.45000000001</v>
      </c>
      <c r="H128" s="98"/>
    </row>
    <row r="129" spans="1:11" ht="30" customHeight="1" x14ac:dyDescent="0.3">
      <c r="A129" s="5"/>
      <c r="B129" s="3" t="s">
        <v>3563</v>
      </c>
      <c r="C129" s="8"/>
      <c r="D129" s="6" t="s">
        <v>46</v>
      </c>
      <c r="E129" s="8" t="s">
        <v>152</v>
      </c>
      <c r="F129" s="8" t="s">
        <v>2894</v>
      </c>
      <c r="G129" s="36">
        <v>2500</v>
      </c>
      <c r="H129" s="98"/>
    </row>
    <row r="130" spans="1:11" ht="30" customHeight="1" x14ac:dyDescent="0.3">
      <c r="A130" s="5"/>
      <c r="B130" s="3" t="s">
        <v>3708</v>
      </c>
      <c r="C130" s="8"/>
      <c r="D130" s="6" t="s">
        <v>28</v>
      </c>
      <c r="E130" s="8" t="s">
        <v>2146</v>
      </c>
      <c r="F130" s="8" t="s">
        <v>3718</v>
      </c>
      <c r="G130" s="36">
        <v>66837.679999999993</v>
      </c>
      <c r="H130" s="98"/>
    </row>
    <row r="131" spans="1:11" ht="30" customHeight="1" x14ac:dyDescent="0.3">
      <c r="A131" s="5"/>
      <c r="B131" s="64">
        <v>46120</v>
      </c>
      <c r="C131" s="8"/>
      <c r="D131" s="6" t="s">
        <v>29</v>
      </c>
      <c r="E131" s="8" t="s">
        <v>678</v>
      </c>
      <c r="F131" s="8" t="s">
        <v>3806</v>
      </c>
      <c r="G131" s="36">
        <v>9750</v>
      </c>
      <c r="H131" s="98"/>
    </row>
    <row r="132" spans="1:11" ht="30" customHeight="1" x14ac:dyDescent="0.3">
      <c r="A132" s="5"/>
      <c r="B132" s="21"/>
      <c r="C132" s="8"/>
      <c r="D132" s="6" t="s">
        <v>46</v>
      </c>
      <c r="E132" s="8" t="s">
        <v>678</v>
      </c>
      <c r="F132" s="8" t="s">
        <v>3806</v>
      </c>
      <c r="G132" s="36">
        <v>59454</v>
      </c>
      <c r="H132" s="98"/>
    </row>
    <row r="133" spans="1:11" ht="30" customHeight="1" x14ac:dyDescent="0.3">
      <c r="A133" s="5"/>
      <c r="B133" s="3"/>
      <c r="C133" s="8"/>
      <c r="D133" s="6" t="s">
        <v>1459</v>
      </c>
      <c r="E133" s="8" t="s">
        <v>488</v>
      </c>
      <c r="F133" s="8" t="s">
        <v>3819</v>
      </c>
      <c r="G133" s="36">
        <v>114634.16</v>
      </c>
      <c r="H133" s="98"/>
    </row>
    <row r="134" spans="1:11" ht="30" customHeight="1" x14ac:dyDescent="0.3">
      <c r="A134" s="5"/>
      <c r="B134" s="64">
        <v>46303</v>
      </c>
      <c r="C134" s="8"/>
      <c r="D134" s="6" t="s">
        <v>85</v>
      </c>
      <c r="E134" s="8" t="s">
        <v>152</v>
      </c>
      <c r="F134" s="8" t="s">
        <v>2894</v>
      </c>
      <c r="G134" s="36">
        <v>1299</v>
      </c>
      <c r="H134" s="98"/>
    </row>
    <row r="135" spans="1:11" ht="30" customHeight="1" x14ac:dyDescent="0.3">
      <c r="A135" s="5"/>
      <c r="B135" s="3"/>
      <c r="C135" s="8"/>
      <c r="D135" s="6" t="s">
        <v>3956</v>
      </c>
      <c r="E135" s="8" t="s">
        <v>678</v>
      </c>
      <c r="F135" s="8" t="s">
        <v>3806</v>
      </c>
      <c r="G135" s="36">
        <v>25969</v>
      </c>
      <c r="H135" s="98"/>
    </row>
    <row r="136" spans="1:11" ht="30" customHeight="1" x14ac:dyDescent="0.3">
      <c r="A136" s="5"/>
      <c r="B136" s="64">
        <v>46364</v>
      </c>
      <c r="C136" s="8"/>
      <c r="D136" s="6" t="s">
        <v>46</v>
      </c>
      <c r="E136" s="8" t="s">
        <v>152</v>
      </c>
      <c r="F136" s="8" t="s">
        <v>3806</v>
      </c>
      <c r="G136" s="36">
        <v>2500</v>
      </c>
      <c r="H136" s="98"/>
    </row>
    <row r="137" spans="1:11" ht="30" customHeight="1" x14ac:dyDescent="0.3">
      <c r="A137" s="5"/>
      <c r="B137" s="3" t="s">
        <v>4049</v>
      </c>
      <c r="C137" s="8"/>
      <c r="D137" s="6" t="s">
        <v>89</v>
      </c>
      <c r="E137" s="8" t="s">
        <v>2146</v>
      </c>
      <c r="F137" s="8" t="s">
        <v>4076</v>
      </c>
      <c r="G137" s="36">
        <v>100000</v>
      </c>
      <c r="H137" s="98"/>
    </row>
    <row r="138" spans="1:11" ht="30" customHeight="1" x14ac:dyDescent="0.3">
      <c r="A138" s="5"/>
      <c r="B138" s="3" t="s">
        <v>4098</v>
      </c>
      <c r="C138" s="8"/>
      <c r="D138" s="6" t="s">
        <v>4099</v>
      </c>
      <c r="E138" s="8" t="s">
        <v>488</v>
      </c>
      <c r="F138" s="8" t="s">
        <v>4100</v>
      </c>
      <c r="G138" s="8" t="s">
        <v>4101</v>
      </c>
      <c r="H138" s="98"/>
    </row>
    <row r="139" spans="1:11" ht="30" customHeight="1" x14ac:dyDescent="0.3">
      <c r="A139" s="5"/>
      <c r="B139" s="3" t="s">
        <v>4105</v>
      </c>
      <c r="C139" s="8"/>
      <c r="D139" s="6" t="s">
        <v>28</v>
      </c>
      <c r="E139" s="8" t="s">
        <v>2146</v>
      </c>
      <c r="F139" s="8" t="s">
        <v>4076</v>
      </c>
      <c r="G139" s="36">
        <v>67671.520000000004</v>
      </c>
      <c r="H139" s="98"/>
      <c r="K139" s="1" t="s">
        <v>4102</v>
      </c>
    </row>
    <row r="140" spans="1:11" ht="30" customHeight="1" x14ac:dyDescent="0.3">
      <c r="A140" s="5"/>
      <c r="B140" s="3" t="s">
        <v>4177</v>
      </c>
      <c r="C140" s="8"/>
      <c r="D140" s="6" t="s">
        <v>2340</v>
      </c>
      <c r="E140" s="23" t="s">
        <v>4200</v>
      </c>
      <c r="F140" s="8"/>
      <c r="G140" s="36">
        <v>1108037</v>
      </c>
      <c r="H140" s="98"/>
    </row>
    <row r="141" spans="1:11" ht="30" customHeight="1" x14ac:dyDescent="0.3">
      <c r="A141" s="5"/>
      <c r="B141" s="3"/>
      <c r="C141" s="8"/>
      <c r="D141" s="6"/>
      <c r="E141" s="8"/>
      <c r="F141" s="8"/>
      <c r="G141" s="8"/>
      <c r="H141" s="98"/>
    </row>
    <row r="142" spans="1:11" ht="30" customHeight="1" x14ac:dyDescent="0.3">
      <c r="A142" s="5"/>
      <c r="B142" s="3"/>
      <c r="C142" s="8"/>
      <c r="D142" s="6"/>
      <c r="E142" s="8"/>
      <c r="F142" s="8"/>
      <c r="G142" s="8"/>
      <c r="H142" s="98"/>
    </row>
    <row r="143" spans="1:11" ht="30" customHeight="1" x14ac:dyDescent="0.3">
      <c r="A143" s="5"/>
      <c r="B143" s="3"/>
      <c r="C143" s="8"/>
      <c r="D143" s="6"/>
      <c r="E143" s="8"/>
      <c r="F143" s="8"/>
      <c r="G143" s="8"/>
      <c r="H143" s="98"/>
    </row>
    <row r="144" spans="1:11" ht="30" customHeight="1" x14ac:dyDescent="0.3">
      <c r="A144" s="5"/>
      <c r="B144" s="3"/>
      <c r="C144" s="8"/>
      <c r="D144" s="6"/>
      <c r="E144" s="8"/>
      <c r="F144" s="8"/>
      <c r="G144" s="8"/>
      <c r="H144" s="98"/>
    </row>
    <row r="145" spans="1:8" ht="30" customHeight="1" x14ac:dyDescent="0.3">
      <c r="A145" s="5"/>
      <c r="B145" s="3"/>
      <c r="C145" s="8"/>
      <c r="D145" s="6"/>
      <c r="E145" s="8"/>
      <c r="F145" s="8"/>
      <c r="G145" s="8"/>
      <c r="H145" s="98"/>
    </row>
    <row r="146" spans="1:8" ht="30" customHeight="1" x14ac:dyDescent="0.3">
      <c r="A146" s="5"/>
      <c r="B146" s="3"/>
      <c r="C146" s="8"/>
      <c r="D146" s="6"/>
      <c r="E146" s="8"/>
      <c r="F146" s="8"/>
      <c r="G146" s="8"/>
      <c r="H146" s="98"/>
    </row>
    <row r="147" spans="1:8" ht="30" customHeight="1" x14ac:dyDescent="0.3">
      <c r="A147" s="5"/>
      <c r="B147" s="3"/>
      <c r="C147" s="8"/>
      <c r="D147" s="6"/>
      <c r="E147" s="8"/>
      <c r="F147" s="8"/>
      <c r="G147" s="8"/>
      <c r="H147" s="98"/>
    </row>
    <row r="148" spans="1:8" ht="30" customHeight="1" x14ac:dyDescent="0.3">
      <c r="A148" s="5"/>
      <c r="B148" s="3"/>
      <c r="C148" s="8"/>
      <c r="D148" s="6"/>
      <c r="E148" s="8"/>
      <c r="F148" s="8"/>
      <c r="G148" s="8"/>
      <c r="H148" s="98"/>
    </row>
    <row r="149" spans="1:8" ht="30" customHeight="1" x14ac:dyDescent="0.3">
      <c r="A149" s="5"/>
      <c r="B149" s="3"/>
      <c r="C149" s="8"/>
      <c r="D149" s="6"/>
      <c r="E149" s="8"/>
      <c r="F149" s="8"/>
      <c r="G149" s="8"/>
      <c r="H149" s="98"/>
    </row>
    <row r="150" spans="1:8" ht="30" customHeight="1" x14ac:dyDescent="0.3">
      <c r="A150" s="5"/>
      <c r="B150" s="3"/>
      <c r="C150" s="8"/>
      <c r="D150" s="6"/>
      <c r="E150" s="8"/>
      <c r="F150" s="8"/>
      <c r="G150" s="8"/>
      <c r="H150" s="98"/>
    </row>
    <row r="151" spans="1:8" ht="30" customHeight="1" x14ac:dyDescent="0.3">
      <c r="A151" s="5"/>
      <c r="B151" s="3"/>
      <c r="C151" s="8"/>
      <c r="D151" s="6"/>
      <c r="E151" s="8"/>
      <c r="F151" s="8"/>
      <c r="G151" s="8"/>
      <c r="H151" s="98"/>
    </row>
    <row r="152" spans="1:8" ht="30" customHeight="1" x14ac:dyDescent="0.3">
      <c r="A152" s="5"/>
      <c r="B152" s="3"/>
      <c r="C152" s="8"/>
      <c r="D152" s="6"/>
      <c r="E152" s="8"/>
      <c r="F152" s="8"/>
      <c r="G152" s="8"/>
      <c r="H152" s="98"/>
    </row>
    <row r="153" spans="1:8" ht="30" customHeight="1" x14ac:dyDescent="0.3">
      <c r="A153" s="5"/>
      <c r="B153" s="3"/>
      <c r="C153" s="8"/>
      <c r="D153" s="6"/>
      <c r="E153" s="8"/>
      <c r="F153" s="8"/>
      <c r="G153" s="8"/>
      <c r="H153" s="98"/>
    </row>
    <row r="154" spans="1:8" ht="30" customHeight="1" x14ac:dyDescent="0.3">
      <c r="A154" s="5"/>
      <c r="B154" s="3"/>
      <c r="C154" s="8"/>
      <c r="D154" s="6"/>
      <c r="E154" s="8"/>
      <c r="F154" s="8"/>
      <c r="G154" s="8"/>
      <c r="H154" s="98"/>
    </row>
    <row r="155" spans="1:8" ht="30" customHeight="1" x14ac:dyDescent="0.3">
      <c r="A155" s="5"/>
      <c r="B155" s="3"/>
      <c r="C155" s="8"/>
      <c r="D155" s="6"/>
      <c r="E155" s="8"/>
      <c r="F155" s="8"/>
      <c r="G155" s="8"/>
      <c r="H155" s="98"/>
    </row>
    <row r="156" spans="1:8" ht="30" customHeight="1" x14ac:dyDescent="0.3">
      <c r="A156" s="5"/>
      <c r="B156" s="3"/>
      <c r="C156" s="8"/>
      <c r="D156" s="6"/>
      <c r="E156" s="8"/>
      <c r="F156" s="8"/>
      <c r="G156" s="8"/>
      <c r="H156" s="98"/>
    </row>
    <row r="157" spans="1:8" ht="30" customHeight="1" x14ac:dyDescent="0.3">
      <c r="A157" s="5"/>
      <c r="B157" s="3"/>
      <c r="C157" s="8"/>
      <c r="D157" s="6"/>
      <c r="E157" s="8"/>
      <c r="F157" s="8"/>
      <c r="G157" s="8"/>
      <c r="H157" s="98"/>
    </row>
    <row r="158" spans="1:8" ht="30" customHeight="1" x14ac:dyDescent="0.3">
      <c r="A158" s="5"/>
      <c r="B158" s="3"/>
      <c r="C158" s="8"/>
      <c r="D158" s="6"/>
      <c r="E158" s="8"/>
      <c r="F158" s="8"/>
      <c r="G158" s="8"/>
      <c r="H158" s="98"/>
    </row>
    <row r="159" spans="1:8" ht="30" customHeight="1" x14ac:dyDescent="0.3">
      <c r="A159" s="5"/>
      <c r="B159" s="3"/>
      <c r="C159" s="8"/>
      <c r="D159" s="6"/>
      <c r="E159" s="8"/>
      <c r="F159" s="8"/>
      <c r="G159" s="8"/>
      <c r="H159" s="98"/>
    </row>
    <row r="160" spans="1:8" ht="30" customHeight="1" x14ac:dyDescent="0.3">
      <c r="A160" s="5"/>
      <c r="B160" s="3"/>
      <c r="C160" s="8"/>
      <c r="D160" s="6"/>
      <c r="E160" s="8"/>
      <c r="F160" s="8"/>
      <c r="G160" s="8"/>
      <c r="H160" s="98"/>
    </row>
    <row r="161" spans="1:8" ht="30" customHeight="1" x14ac:dyDescent="0.3">
      <c r="A161" s="5"/>
      <c r="B161" s="3"/>
      <c r="C161" s="8"/>
      <c r="D161" s="6"/>
      <c r="E161" s="8"/>
      <c r="F161" s="8"/>
      <c r="G161" s="8"/>
      <c r="H161" s="98"/>
    </row>
    <row r="162" spans="1:8" ht="30" customHeight="1" x14ac:dyDescent="0.3">
      <c r="A162" s="5"/>
      <c r="B162" s="3"/>
      <c r="C162" s="8"/>
      <c r="D162" s="6"/>
      <c r="E162" s="8"/>
      <c r="F162" s="8"/>
      <c r="G162" s="8"/>
      <c r="H162" s="98"/>
    </row>
    <row r="163" spans="1:8" ht="30" customHeight="1" x14ac:dyDescent="0.3">
      <c r="A163" s="5"/>
      <c r="B163" s="3"/>
      <c r="C163" s="8"/>
      <c r="D163" s="6"/>
      <c r="E163" s="8"/>
      <c r="F163" s="8"/>
      <c r="G163" s="8"/>
      <c r="H163" s="98"/>
    </row>
    <row r="164" spans="1:8" ht="30" customHeight="1" x14ac:dyDescent="0.3">
      <c r="A164" s="5"/>
      <c r="B164" s="3"/>
      <c r="C164" s="8"/>
      <c r="D164" s="6"/>
      <c r="E164" s="8"/>
      <c r="F164" s="8"/>
      <c r="G164" s="8"/>
      <c r="H164" s="98"/>
    </row>
    <row r="165" spans="1:8" ht="30" customHeight="1" x14ac:dyDescent="0.3">
      <c r="A165" s="5"/>
      <c r="B165" s="3"/>
      <c r="C165" s="8"/>
      <c r="D165" s="6"/>
      <c r="E165" s="8"/>
      <c r="F165" s="8"/>
      <c r="G165" s="8"/>
      <c r="H165" s="98"/>
    </row>
    <row r="166" spans="1:8" ht="30" customHeight="1" x14ac:dyDescent="0.3">
      <c r="A166" s="5"/>
      <c r="B166" s="3"/>
      <c r="C166" s="8"/>
      <c r="D166" s="6"/>
      <c r="E166" s="8"/>
      <c r="F166" s="8"/>
      <c r="G166" s="8"/>
      <c r="H166" s="98"/>
    </row>
    <row r="167" spans="1:8" ht="30" customHeight="1" x14ac:dyDescent="0.3">
      <c r="A167" s="5"/>
      <c r="B167" s="3"/>
      <c r="C167" s="8"/>
      <c r="D167" s="6"/>
      <c r="E167" s="8"/>
      <c r="F167" s="8"/>
      <c r="G167" s="8"/>
      <c r="H167" s="98"/>
    </row>
    <row r="168" spans="1:8" ht="30" customHeight="1" x14ac:dyDescent="0.3">
      <c r="A168" s="5"/>
      <c r="B168" s="3"/>
      <c r="C168" s="8"/>
      <c r="D168" s="6"/>
      <c r="E168" s="8"/>
      <c r="F168" s="8"/>
      <c r="G168" s="8"/>
      <c r="H168" s="98"/>
    </row>
    <row r="169" spans="1:8" ht="30" customHeight="1" x14ac:dyDescent="0.3">
      <c r="A169" s="5"/>
      <c r="B169" s="3"/>
      <c r="C169" s="8"/>
      <c r="D169" s="6"/>
      <c r="E169" s="8"/>
      <c r="F169" s="8"/>
      <c r="G169" s="8"/>
      <c r="H169" s="98"/>
    </row>
    <row r="170" spans="1:8" ht="30" customHeight="1" x14ac:dyDescent="0.3">
      <c r="A170" s="5"/>
      <c r="B170" s="3"/>
      <c r="C170" s="8"/>
      <c r="D170" s="6"/>
      <c r="E170" s="8"/>
      <c r="F170" s="8"/>
      <c r="G170" s="8"/>
      <c r="H170" s="98"/>
    </row>
    <row r="171" spans="1:8" ht="30" customHeight="1" x14ac:dyDescent="0.3">
      <c r="A171" s="5"/>
      <c r="B171" s="3"/>
      <c r="C171" s="8"/>
      <c r="D171" s="6"/>
      <c r="E171" s="8"/>
      <c r="F171" s="8"/>
      <c r="G171" s="8"/>
      <c r="H171" s="98"/>
    </row>
    <row r="172" spans="1:8" ht="30" customHeight="1" x14ac:dyDescent="0.3">
      <c r="A172" s="5"/>
      <c r="B172" s="3"/>
      <c r="C172" s="8"/>
      <c r="D172" s="6"/>
      <c r="E172" s="8"/>
      <c r="F172" s="8"/>
      <c r="G172" s="8"/>
      <c r="H172" s="98"/>
    </row>
    <row r="173" spans="1:8" ht="30" customHeight="1" x14ac:dyDescent="0.3">
      <c r="A173" s="5"/>
      <c r="B173" s="3"/>
      <c r="C173" s="10"/>
      <c r="D173" s="6"/>
      <c r="E173" s="8"/>
      <c r="F173" s="8"/>
      <c r="G173" s="8"/>
      <c r="H173" s="98"/>
    </row>
    <row r="174" spans="1:8" ht="30" customHeight="1" x14ac:dyDescent="0.3">
      <c r="A174" s="5"/>
      <c r="B174" s="3"/>
      <c r="C174" s="10"/>
      <c r="D174" s="6"/>
      <c r="E174" s="8"/>
      <c r="F174" s="8"/>
      <c r="G174" s="8"/>
      <c r="H174" s="98"/>
    </row>
    <row r="175" spans="1:8" ht="30" customHeight="1" x14ac:dyDescent="0.3">
      <c r="A175" s="5"/>
      <c r="B175" s="3"/>
      <c r="C175" s="10"/>
      <c r="D175" s="6"/>
      <c r="E175" s="8"/>
      <c r="F175" s="8"/>
      <c r="G175" s="8"/>
      <c r="H175" s="98"/>
    </row>
    <row r="176" spans="1:8" ht="30" customHeight="1" x14ac:dyDescent="0.3">
      <c r="A176" s="5"/>
      <c r="B176" s="3"/>
      <c r="C176" s="10"/>
      <c r="D176" s="6"/>
      <c r="E176" s="8"/>
      <c r="F176" s="8"/>
      <c r="G176" s="8"/>
      <c r="H176" s="98"/>
    </row>
    <row r="177" spans="1:8" ht="30" customHeight="1" x14ac:dyDescent="0.3">
      <c r="A177" s="5"/>
      <c r="B177" s="3"/>
      <c r="C177" s="10"/>
      <c r="D177" s="6"/>
      <c r="E177" s="8"/>
      <c r="F177" s="8"/>
      <c r="G177" s="8"/>
      <c r="H177" s="98"/>
    </row>
    <row r="178" spans="1:8" ht="30" customHeight="1" x14ac:dyDescent="0.3">
      <c r="A178" s="5"/>
      <c r="B178" s="3"/>
      <c r="C178" s="10"/>
      <c r="D178" s="6"/>
      <c r="E178" s="8"/>
      <c r="F178" s="8"/>
      <c r="G178" s="8"/>
      <c r="H178" s="98"/>
    </row>
    <row r="179" spans="1:8" ht="30" customHeight="1" x14ac:dyDescent="0.3">
      <c r="A179" s="5"/>
      <c r="B179" s="3"/>
      <c r="C179" s="10"/>
      <c r="D179" s="6"/>
      <c r="E179" s="8"/>
      <c r="F179" s="8"/>
      <c r="G179" s="8"/>
      <c r="H179" s="98"/>
    </row>
    <row r="180" spans="1:8" ht="30" customHeight="1" x14ac:dyDescent="0.3">
      <c r="A180" s="5"/>
      <c r="B180" s="3"/>
      <c r="C180" s="10"/>
      <c r="D180" s="6"/>
      <c r="E180" s="8"/>
      <c r="F180" s="8"/>
      <c r="G180" s="8"/>
      <c r="H180" s="98"/>
    </row>
    <row r="181" spans="1:8" ht="30" customHeight="1" x14ac:dyDescent="0.3">
      <c r="A181" s="5"/>
      <c r="B181" s="3"/>
      <c r="C181" s="9"/>
      <c r="D181" s="6"/>
      <c r="E181" s="8"/>
      <c r="F181" s="8"/>
      <c r="G181" s="8"/>
      <c r="H181" s="98"/>
    </row>
    <row r="182" spans="1:8" ht="30" customHeight="1" x14ac:dyDescent="0.3">
      <c r="A182" s="5"/>
      <c r="B182" s="3"/>
      <c r="C182" s="9"/>
      <c r="D182" s="6"/>
      <c r="E182" s="8"/>
      <c r="F182" s="8"/>
      <c r="G182" s="8"/>
      <c r="H182" s="98"/>
    </row>
    <row r="183" spans="1:8" ht="30" customHeight="1" x14ac:dyDescent="0.3">
      <c r="A183" s="5"/>
      <c r="B183" s="3"/>
      <c r="C183" s="9"/>
      <c r="D183" s="6"/>
      <c r="E183" s="8"/>
      <c r="F183" s="8"/>
      <c r="G183" s="8"/>
      <c r="H183" s="98"/>
    </row>
    <row r="184" spans="1:8" ht="30" customHeight="1" x14ac:dyDescent="0.3">
      <c r="A184" s="5"/>
      <c r="B184" s="3"/>
      <c r="C184" s="9"/>
      <c r="D184" s="6"/>
      <c r="E184" s="8"/>
      <c r="F184" s="8"/>
      <c r="G184" s="8"/>
      <c r="H184" s="98"/>
    </row>
    <row r="185" spans="1:8" ht="30" customHeight="1" x14ac:dyDescent="0.3">
      <c r="A185" s="5"/>
      <c r="B185" s="3"/>
      <c r="C185" s="9"/>
      <c r="D185" s="6"/>
      <c r="E185" s="8"/>
      <c r="F185" s="8"/>
      <c r="G185" s="8"/>
      <c r="H185" s="98"/>
    </row>
    <row r="186" spans="1:8" ht="30" customHeight="1" x14ac:dyDescent="0.3">
      <c r="A186" s="5"/>
      <c r="B186" s="3"/>
      <c r="C186" s="9"/>
      <c r="D186" s="6"/>
      <c r="E186" s="8"/>
      <c r="F186" s="8"/>
      <c r="G186" s="8"/>
      <c r="H186" s="98"/>
    </row>
    <row r="187" spans="1:8" ht="30" customHeight="1" x14ac:dyDescent="0.3">
      <c r="A187" s="5"/>
      <c r="B187" s="3"/>
      <c r="C187" s="9"/>
      <c r="D187" s="6"/>
      <c r="E187" s="8"/>
      <c r="F187" s="8"/>
      <c r="G187" s="8"/>
      <c r="H187" s="98"/>
    </row>
    <row r="188" spans="1:8" ht="30" customHeight="1" x14ac:dyDescent="0.3">
      <c r="A188" s="5"/>
      <c r="B188" s="3"/>
      <c r="C188" s="9"/>
      <c r="D188" s="6"/>
      <c r="E188" s="8"/>
      <c r="F188" s="8"/>
      <c r="G188" s="8"/>
      <c r="H188" s="98"/>
    </row>
    <row r="189" spans="1:8" ht="30" customHeight="1" x14ac:dyDescent="0.3">
      <c r="A189" s="5"/>
      <c r="B189" s="3"/>
      <c r="C189" s="9"/>
      <c r="D189" s="6"/>
      <c r="E189" s="8"/>
      <c r="F189" s="8"/>
      <c r="G189" s="8"/>
      <c r="H189" s="98"/>
    </row>
    <row r="190" spans="1:8" ht="30" customHeight="1" x14ac:dyDescent="0.3">
      <c r="A190" s="5"/>
      <c r="B190" s="3"/>
      <c r="C190" s="9"/>
      <c r="D190" s="6"/>
      <c r="E190" s="8"/>
      <c r="F190" s="8"/>
      <c r="G190" s="8"/>
      <c r="H190" s="98"/>
    </row>
    <row r="191" spans="1:8" ht="30" customHeight="1" x14ac:dyDescent="0.3">
      <c r="A191" s="5"/>
      <c r="B191" s="3"/>
      <c r="C191" s="9"/>
      <c r="D191" s="6"/>
      <c r="E191" s="8"/>
      <c r="F191" s="8"/>
      <c r="G191" s="8"/>
      <c r="H191" s="98"/>
    </row>
    <row r="192" spans="1:8" ht="30" customHeight="1" x14ac:dyDescent="0.3">
      <c r="A192" s="5"/>
      <c r="B192" s="3"/>
      <c r="C192" s="9"/>
      <c r="D192" s="6"/>
      <c r="E192" s="8"/>
      <c r="F192" s="8"/>
      <c r="G192" s="8"/>
      <c r="H192" s="98"/>
    </row>
    <row r="193" spans="1:8" ht="30" customHeight="1" x14ac:dyDescent="0.3">
      <c r="A193" s="5"/>
      <c r="B193" s="3"/>
      <c r="C193" s="9"/>
      <c r="D193" s="6"/>
      <c r="E193" s="8"/>
      <c r="F193" s="8"/>
      <c r="G193" s="8"/>
      <c r="H193" s="98"/>
    </row>
    <row r="194" spans="1:8" ht="30" customHeight="1" x14ac:dyDescent="0.3">
      <c r="A194" s="5"/>
      <c r="B194" s="3"/>
      <c r="C194" s="9"/>
      <c r="D194" s="6"/>
      <c r="E194" s="8"/>
      <c r="F194" s="8"/>
      <c r="G194" s="8"/>
      <c r="H194" s="98"/>
    </row>
    <row r="195" spans="1:8" ht="30" customHeight="1" x14ac:dyDescent="0.3">
      <c r="A195" s="5"/>
      <c r="B195" s="3"/>
      <c r="C195" s="9"/>
      <c r="D195" s="6"/>
      <c r="E195" s="8"/>
      <c r="F195" s="8"/>
      <c r="G195" s="8"/>
      <c r="H195" s="98"/>
    </row>
    <row r="196" spans="1:8" ht="30" customHeight="1" x14ac:dyDescent="0.3">
      <c r="A196" s="5"/>
      <c r="B196" s="3"/>
      <c r="C196" s="9"/>
      <c r="D196" s="6"/>
      <c r="E196" s="8"/>
      <c r="F196" s="8"/>
      <c r="G196" s="8"/>
      <c r="H196" s="98"/>
    </row>
    <row r="197" spans="1:8" ht="30" customHeight="1" x14ac:dyDescent="0.3">
      <c r="A197" s="5"/>
      <c r="B197" s="3"/>
      <c r="C197" s="9"/>
      <c r="D197" s="6"/>
      <c r="E197" s="8"/>
      <c r="F197" s="8"/>
      <c r="G197" s="8"/>
      <c r="H197" s="98"/>
    </row>
    <row r="198" spans="1:8" ht="30" customHeight="1" x14ac:dyDescent="0.3">
      <c r="A198" s="5"/>
      <c r="B198" s="3"/>
      <c r="C198" s="9"/>
      <c r="D198" s="6"/>
      <c r="E198" s="8"/>
      <c r="F198" s="8"/>
      <c r="G198" s="8"/>
      <c r="H198" s="98"/>
    </row>
    <row r="199" spans="1:8" ht="30" customHeight="1" x14ac:dyDescent="0.3">
      <c r="A199" s="5"/>
      <c r="B199" s="3"/>
      <c r="C199" s="9"/>
      <c r="D199" s="6"/>
      <c r="E199" s="8"/>
      <c r="F199" s="8"/>
      <c r="G199" s="8"/>
      <c r="H199" s="98"/>
    </row>
    <row r="200" spans="1:8" ht="30" customHeight="1" x14ac:dyDescent="0.3">
      <c r="A200" s="5"/>
      <c r="B200" s="3"/>
      <c r="C200" s="9"/>
      <c r="D200" s="6"/>
      <c r="E200" s="8"/>
      <c r="F200" s="8"/>
      <c r="G200" s="8"/>
      <c r="H200" s="98"/>
    </row>
    <row r="201" spans="1:8" ht="30" customHeight="1" x14ac:dyDescent="0.3">
      <c r="A201" s="5"/>
      <c r="B201" s="3"/>
      <c r="C201" s="9"/>
      <c r="D201" s="6"/>
      <c r="E201" s="8"/>
      <c r="F201" s="8"/>
      <c r="G201" s="8"/>
      <c r="H201" s="98"/>
    </row>
    <row r="202" spans="1:8" ht="30" customHeight="1" x14ac:dyDescent="0.3">
      <c r="A202" s="5"/>
      <c r="B202" s="3"/>
      <c r="C202" s="9"/>
      <c r="D202" s="6"/>
      <c r="E202" s="8"/>
      <c r="F202" s="8"/>
      <c r="G202" s="8"/>
      <c r="H202" s="98"/>
    </row>
    <row r="203" spans="1:8" ht="30" customHeight="1" x14ac:dyDescent="0.3">
      <c r="A203" s="5"/>
      <c r="B203" s="3"/>
      <c r="C203" s="9"/>
      <c r="D203" s="6"/>
      <c r="E203" s="8"/>
      <c r="F203" s="8"/>
      <c r="G203" s="8"/>
      <c r="H203" s="98"/>
    </row>
    <row r="204" spans="1:8" ht="30" customHeight="1" x14ac:dyDescent="0.3">
      <c r="A204" s="5"/>
      <c r="B204" s="3"/>
      <c r="C204" s="9"/>
      <c r="D204" s="6"/>
      <c r="E204" s="8"/>
      <c r="F204" s="8"/>
      <c r="G204" s="8"/>
      <c r="H204" s="98"/>
    </row>
    <row r="205" spans="1:8" ht="30" customHeight="1" x14ac:dyDescent="0.3">
      <c r="A205" s="5"/>
      <c r="B205" s="3"/>
      <c r="C205" s="9"/>
      <c r="D205" s="6"/>
      <c r="E205" s="8"/>
      <c r="F205" s="8"/>
      <c r="G205" s="8"/>
      <c r="H205" s="98"/>
    </row>
    <row r="206" spans="1:8" ht="30" customHeight="1" x14ac:dyDescent="0.3">
      <c r="A206" s="5"/>
      <c r="B206" s="3"/>
      <c r="C206" s="9"/>
      <c r="D206" s="6"/>
      <c r="E206" s="8"/>
      <c r="F206" s="8"/>
      <c r="G206" s="8"/>
      <c r="H206" s="98"/>
    </row>
    <row r="207" spans="1:8" ht="30" customHeight="1" x14ac:dyDescent="0.3">
      <c r="A207" s="5"/>
      <c r="B207" s="3"/>
      <c r="C207" s="9"/>
      <c r="D207" s="6"/>
      <c r="E207" s="8"/>
      <c r="F207" s="8"/>
      <c r="G207" s="8"/>
      <c r="H207" s="98"/>
    </row>
    <row r="208" spans="1:8" ht="30" customHeight="1" x14ac:dyDescent="0.3">
      <c r="A208" s="5"/>
      <c r="B208" s="3"/>
      <c r="C208" s="9"/>
      <c r="D208" s="6"/>
      <c r="E208" s="8"/>
      <c r="F208" s="8"/>
      <c r="G208" s="8"/>
      <c r="H208" s="98"/>
    </row>
    <row r="209" spans="1:8" ht="30" customHeight="1" x14ac:dyDescent="0.3">
      <c r="A209" s="5"/>
      <c r="B209" s="3"/>
      <c r="C209" s="9"/>
      <c r="D209" s="6"/>
      <c r="E209" s="8"/>
      <c r="F209" s="8"/>
      <c r="G209" s="8"/>
      <c r="H209" s="98"/>
    </row>
    <row r="210" spans="1:8" ht="30" customHeight="1" x14ac:dyDescent="0.3">
      <c r="A210" s="5"/>
      <c r="B210" s="3"/>
      <c r="C210" s="9"/>
      <c r="D210" s="6"/>
      <c r="E210" s="8"/>
      <c r="F210" s="8"/>
      <c r="G210" s="8"/>
      <c r="H210" s="98"/>
    </row>
    <row r="211" spans="1:8" ht="30" customHeight="1" x14ac:dyDescent="0.3">
      <c r="A211" s="5"/>
      <c r="B211" s="3"/>
      <c r="C211" s="9"/>
      <c r="D211" s="6"/>
      <c r="E211" s="8"/>
      <c r="F211" s="8"/>
      <c r="G211" s="8"/>
      <c r="H211" s="98"/>
    </row>
    <row r="212" spans="1:8" ht="30" customHeight="1" x14ac:dyDescent="0.3">
      <c r="A212" s="5"/>
      <c r="B212" s="3"/>
      <c r="C212" s="9"/>
      <c r="D212" s="6"/>
      <c r="E212" s="8"/>
      <c r="F212" s="8"/>
      <c r="G212" s="8"/>
      <c r="H212" s="98"/>
    </row>
    <row r="213" spans="1:8" ht="30" customHeight="1" x14ac:dyDescent="0.3">
      <c r="A213" s="5"/>
      <c r="B213" s="3"/>
      <c r="C213" s="9"/>
      <c r="D213" s="6"/>
      <c r="E213" s="8"/>
      <c r="F213" s="8"/>
      <c r="G213" s="8"/>
      <c r="H213" s="98"/>
    </row>
    <row r="214" spans="1:8" ht="30" customHeight="1" x14ac:dyDescent="0.3">
      <c r="A214" s="5"/>
      <c r="B214" s="3"/>
      <c r="C214" s="9"/>
      <c r="D214" s="6"/>
      <c r="E214" s="8"/>
      <c r="F214" s="8"/>
      <c r="G214" s="8"/>
      <c r="H214" s="98"/>
    </row>
    <row r="215" spans="1:8" ht="30" customHeight="1" x14ac:dyDescent="0.3">
      <c r="A215" s="5"/>
      <c r="B215" s="3"/>
      <c r="C215" s="9"/>
      <c r="D215" s="6"/>
      <c r="E215" s="8"/>
      <c r="F215" s="8"/>
      <c r="G215" s="8"/>
      <c r="H215" s="98"/>
    </row>
    <row r="216" spans="1:8" ht="30" customHeight="1" x14ac:dyDescent="0.3">
      <c r="A216" s="5"/>
      <c r="B216" s="3"/>
      <c r="C216" s="9"/>
      <c r="D216" s="6"/>
      <c r="E216" s="8"/>
      <c r="F216" s="8"/>
      <c r="G216" s="8"/>
      <c r="H216" s="98"/>
    </row>
    <row r="217" spans="1:8" ht="30" customHeight="1" x14ac:dyDescent="0.3">
      <c r="A217" s="5"/>
      <c r="B217" s="3"/>
      <c r="C217" s="9"/>
      <c r="D217" s="6"/>
      <c r="E217" s="8"/>
      <c r="F217" s="8"/>
      <c r="G217" s="8"/>
      <c r="H217" s="98"/>
    </row>
    <row r="218" spans="1:8" ht="30" customHeight="1" x14ac:dyDescent="0.3">
      <c r="A218" s="5"/>
      <c r="B218" s="3"/>
      <c r="C218" s="9"/>
      <c r="D218" s="6"/>
      <c r="E218" s="8"/>
      <c r="F218" s="8"/>
      <c r="G218" s="8"/>
      <c r="H218" s="98"/>
    </row>
    <row r="219" spans="1:8" ht="30" customHeight="1" x14ac:dyDescent="0.3">
      <c r="A219" s="5"/>
      <c r="B219" s="3"/>
      <c r="C219" s="9"/>
      <c r="D219" s="6"/>
      <c r="E219" s="8"/>
      <c r="F219" s="8"/>
      <c r="G219" s="8"/>
      <c r="H219" s="98"/>
    </row>
    <row r="220" spans="1:8" ht="30" customHeight="1" x14ac:dyDescent="0.3">
      <c r="A220" s="5"/>
      <c r="B220" s="3"/>
      <c r="C220" s="9"/>
      <c r="D220" s="6"/>
      <c r="E220" s="8"/>
      <c r="F220" s="8"/>
      <c r="G220" s="8"/>
      <c r="H220" s="98"/>
    </row>
    <row r="221" spans="1:8" ht="30" customHeight="1" x14ac:dyDescent="0.3">
      <c r="A221" s="5"/>
      <c r="B221" s="3"/>
      <c r="C221" s="9"/>
      <c r="D221" s="6"/>
      <c r="E221" s="8"/>
      <c r="F221" s="8"/>
      <c r="G221" s="8"/>
      <c r="H221" s="98"/>
    </row>
    <row r="222" spans="1:8" ht="30" customHeight="1" x14ac:dyDescent="0.3">
      <c r="A222" s="5"/>
      <c r="B222" s="3"/>
      <c r="C222" s="9"/>
      <c r="D222" s="6"/>
      <c r="E222" s="8"/>
      <c r="F222" s="8"/>
      <c r="G222" s="8"/>
      <c r="H222" s="98"/>
    </row>
    <row r="223" spans="1:8" ht="30" customHeight="1" x14ac:dyDescent="0.3">
      <c r="A223" s="5"/>
      <c r="B223" s="3"/>
      <c r="C223" s="9"/>
      <c r="D223" s="6"/>
      <c r="E223" s="8"/>
      <c r="F223" s="8"/>
      <c r="G223" s="8"/>
      <c r="H223" s="98"/>
    </row>
    <row r="224" spans="1:8" ht="30" customHeight="1" x14ac:dyDescent="0.3">
      <c r="A224" s="5"/>
      <c r="B224" s="3"/>
      <c r="C224" s="9"/>
      <c r="D224" s="6"/>
      <c r="E224" s="8"/>
      <c r="F224" s="8"/>
      <c r="G224" s="8"/>
      <c r="H224" s="98"/>
    </row>
    <row r="225" spans="1:8" ht="30" customHeight="1" x14ac:dyDescent="0.3">
      <c r="A225" s="5"/>
      <c r="B225" s="3"/>
      <c r="C225" s="9"/>
      <c r="D225" s="6"/>
      <c r="E225" s="8"/>
      <c r="F225" s="8"/>
      <c r="G225" s="8"/>
      <c r="H225" s="98"/>
    </row>
    <row r="226" spans="1:8" ht="30" customHeight="1" x14ac:dyDescent="0.3">
      <c r="A226" s="5"/>
      <c r="B226" s="3"/>
      <c r="C226" s="9"/>
      <c r="D226" s="6"/>
      <c r="E226" s="8"/>
      <c r="F226" s="8"/>
      <c r="G226" s="8"/>
      <c r="H226" s="98"/>
    </row>
    <row r="227" spans="1:8" ht="30" customHeight="1" x14ac:dyDescent="0.3">
      <c r="A227" s="5"/>
      <c r="B227" s="3"/>
      <c r="C227" s="9"/>
      <c r="D227" s="6"/>
      <c r="E227" s="8"/>
      <c r="F227" s="8"/>
      <c r="G227" s="8"/>
      <c r="H227" s="98"/>
    </row>
    <row r="228" spans="1:8" ht="30" customHeight="1" x14ac:dyDescent="0.3">
      <c r="A228" s="5"/>
      <c r="B228" s="3"/>
      <c r="C228" s="9"/>
      <c r="D228" s="6"/>
      <c r="E228" s="8"/>
      <c r="F228" s="8"/>
      <c r="G228" s="8"/>
      <c r="H228" s="98"/>
    </row>
    <row r="229" spans="1:8" ht="30" customHeight="1" x14ac:dyDescent="0.3">
      <c r="A229" s="5"/>
      <c r="B229" s="3"/>
      <c r="C229" s="9"/>
      <c r="D229" s="6"/>
      <c r="E229" s="8"/>
      <c r="F229" s="8"/>
      <c r="G229" s="8"/>
      <c r="H229" s="98"/>
    </row>
    <row r="230" spans="1:8" ht="30" customHeight="1" x14ac:dyDescent="0.3">
      <c r="A230" s="5"/>
      <c r="B230" s="3"/>
      <c r="C230" s="9"/>
      <c r="D230" s="6"/>
      <c r="E230" s="8"/>
      <c r="F230" s="8"/>
      <c r="G230" s="8"/>
      <c r="H230" s="98"/>
    </row>
    <row r="231" spans="1:8" ht="30" customHeight="1" x14ac:dyDescent="0.3">
      <c r="A231" s="5"/>
      <c r="B231" s="3"/>
      <c r="C231" s="9"/>
      <c r="D231" s="6"/>
      <c r="E231" s="8"/>
      <c r="F231" s="8"/>
      <c r="G231" s="8"/>
      <c r="H231" s="98"/>
    </row>
    <row r="232" spans="1:8" ht="30" customHeight="1" x14ac:dyDescent="0.3">
      <c r="A232" s="5"/>
      <c r="B232" s="3"/>
      <c r="C232" s="9"/>
      <c r="D232" s="6"/>
      <c r="E232" s="8"/>
      <c r="F232" s="8"/>
      <c r="G232" s="8"/>
      <c r="H232" s="98"/>
    </row>
    <row r="233" spans="1:8" ht="30" customHeight="1" x14ac:dyDescent="0.3">
      <c r="A233" s="5"/>
      <c r="B233" s="3"/>
      <c r="C233" s="9"/>
      <c r="D233" s="6"/>
      <c r="E233" s="8"/>
      <c r="F233" s="8"/>
      <c r="G233" s="8"/>
      <c r="H233" s="98"/>
    </row>
    <row r="234" spans="1:8" ht="30" customHeight="1" x14ac:dyDescent="0.3">
      <c r="A234" s="5"/>
      <c r="B234" s="3"/>
      <c r="C234" s="9"/>
      <c r="D234" s="6"/>
      <c r="E234" s="8"/>
      <c r="F234" s="8"/>
      <c r="G234" s="8"/>
      <c r="H234" s="98"/>
    </row>
    <row r="235" spans="1:8" ht="30" customHeight="1" x14ac:dyDescent="0.3">
      <c r="A235" s="5"/>
      <c r="B235" s="3"/>
      <c r="C235" s="9"/>
      <c r="D235" s="6"/>
      <c r="E235" s="8"/>
      <c r="F235" s="8"/>
      <c r="G235" s="8"/>
      <c r="H235" s="98"/>
    </row>
    <row r="236" spans="1:8" ht="30" customHeight="1" x14ac:dyDescent="0.3">
      <c r="A236" s="5"/>
      <c r="B236" s="3"/>
      <c r="C236" s="9"/>
      <c r="D236" s="6"/>
      <c r="E236" s="8"/>
      <c r="F236" s="8"/>
      <c r="G236" s="8"/>
      <c r="H236" s="98"/>
    </row>
    <row r="237" spans="1:8" ht="30" customHeight="1" x14ac:dyDescent="0.3">
      <c r="A237" s="5"/>
      <c r="B237" s="3"/>
      <c r="C237" s="9"/>
      <c r="D237" s="6"/>
      <c r="E237" s="8"/>
      <c r="F237" s="8"/>
      <c r="G237" s="8"/>
      <c r="H237" s="98"/>
    </row>
    <row r="238" spans="1:8" ht="30" customHeight="1" x14ac:dyDescent="0.3">
      <c r="A238" s="5"/>
      <c r="B238" s="3"/>
      <c r="C238" s="9"/>
      <c r="D238" s="6"/>
      <c r="E238" s="8"/>
      <c r="F238" s="8"/>
      <c r="G238" s="8"/>
      <c r="H238" s="98"/>
    </row>
    <row r="239" spans="1:8" ht="30" customHeight="1" x14ac:dyDescent="0.3">
      <c r="A239" s="5"/>
      <c r="B239" s="3"/>
      <c r="C239" s="9"/>
      <c r="D239" s="6"/>
      <c r="E239" s="8"/>
      <c r="F239" s="8"/>
      <c r="G239" s="8"/>
      <c r="H239" s="98"/>
    </row>
    <row r="240" spans="1:8" ht="30" customHeight="1" x14ac:dyDescent="0.3">
      <c r="A240" s="5"/>
      <c r="B240" s="3"/>
      <c r="C240" s="9"/>
      <c r="D240" s="6"/>
      <c r="E240" s="8"/>
      <c r="F240" s="8"/>
      <c r="G240" s="8"/>
      <c r="H240" s="98"/>
    </row>
    <row r="241" spans="1:8" ht="30" customHeight="1" x14ac:dyDescent="0.3">
      <c r="A241" s="5"/>
      <c r="B241" s="3"/>
      <c r="C241" s="9"/>
      <c r="D241" s="6"/>
      <c r="E241" s="8"/>
      <c r="F241" s="8"/>
      <c r="G241" s="8"/>
      <c r="H241" s="98"/>
    </row>
    <row r="242" spans="1:8" ht="30" customHeight="1" x14ac:dyDescent="0.3">
      <c r="A242" s="5"/>
      <c r="B242" s="3"/>
      <c r="C242" s="9"/>
      <c r="D242" s="6"/>
      <c r="E242" s="8"/>
      <c r="F242" s="8"/>
      <c r="G242" s="8"/>
      <c r="H242" s="98"/>
    </row>
    <row r="243" spans="1:8" ht="30" customHeight="1" x14ac:dyDescent="0.3">
      <c r="A243" s="5"/>
      <c r="B243" s="3"/>
      <c r="C243" s="9"/>
      <c r="D243" s="6"/>
      <c r="E243" s="8"/>
      <c r="F243" s="8"/>
      <c r="G243" s="8"/>
      <c r="H243" s="98"/>
    </row>
    <row r="244" spans="1:8" ht="30" customHeight="1" x14ac:dyDescent="0.3">
      <c r="A244" s="5"/>
      <c r="B244" s="3"/>
      <c r="C244" s="9"/>
      <c r="D244" s="6"/>
      <c r="E244" s="8"/>
      <c r="F244" s="8"/>
      <c r="G244" s="8"/>
      <c r="H244" s="98"/>
    </row>
    <row r="245" spans="1:8" ht="30" customHeight="1" x14ac:dyDescent="0.3">
      <c r="A245" s="5"/>
      <c r="B245" s="3"/>
      <c r="C245" s="9"/>
      <c r="D245" s="6"/>
      <c r="E245" s="8"/>
      <c r="F245" s="8"/>
      <c r="G245" s="8"/>
      <c r="H245" s="98"/>
    </row>
    <row r="246" spans="1:8" ht="30" customHeight="1" x14ac:dyDescent="0.3">
      <c r="A246" s="5"/>
      <c r="B246" s="3"/>
      <c r="C246" s="9"/>
      <c r="D246" s="6"/>
      <c r="E246" s="8"/>
      <c r="F246" s="8"/>
      <c r="G246" s="8"/>
      <c r="H246" s="98"/>
    </row>
    <row r="247" spans="1:8" ht="30" customHeight="1" x14ac:dyDescent="0.3">
      <c r="A247" s="5"/>
      <c r="B247" s="3"/>
      <c r="C247" s="9"/>
      <c r="D247" s="6"/>
      <c r="E247" s="8"/>
      <c r="F247" s="8"/>
      <c r="G247" s="8"/>
      <c r="H247" s="98"/>
    </row>
    <row r="248" spans="1:8" ht="30" customHeight="1" x14ac:dyDescent="0.3">
      <c r="A248" s="5"/>
      <c r="B248" s="3"/>
      <c r="C248" s="9"/>
      <c r="D248" s="6"/>
      <c r="E248" s="8"/>
      <c r="F248" s="8"/>
      <c r="G248" s="8"/>
      <c r="H248" s="98"/>
    </row>
    <row r="249" spans="1:8" ht="30" customHeight="1" x14ac:dyDescent="0.3">
      <c r="A249" s="5"/>
      <c r="B249" s="3"/>
      <c r="C249" s="9"/>
      <c r="D249" s="6"/>
      <c r="E249" s="8"/>
      <c r="F249" s="8"/>
      <c r="G249" s="8"/>
      <c r="H249" s="98"/>
    </row>
    <row r="250" spans="1:8" ht="30" customHeight="1" x14ac:dyDescent="0.3">
      <c r="A250" s="5"/>
      <c r="B250" s="3"/>
      <c r="C250" s="9"/>
      <c r="D250" s="6"/>
      <c r="E250" s="8"/>
      <c r="F250" s="8"/>
      <c r="G250" s="8"/>
      <c r="H250" s="98"/>
    </row>
    <row r="251" spans="1:8" ht="30" customHeight="1" x14ac:dyDescent="0.3">
      <c r="A251" s="5"/>
      <c r="B251" s="3"/>
      <c r="C251" s="9"/>
      <c r="D251" s="6"/>
      <c r="E251" s="8"/>
      <c r="F251" s="8"/>
      <c r="G251" s="8"/>
      <c r="H251" s="98"/>
    </row>
    <row r="252" spans="1:8" ht="30" customHeight="1" x14ac:dyDescent="0.3">
      <c r="A252" s="5"/>
      <c r="B252" s="3"/>
      <c r="C252" s="9"/>
      <c r="D252" s="6"/>
      <c r="E252" s="8"/>
      <c r="F252" s="8"/>
      <c r="G252" s="8"/>
      <c r="H252" s="98"/>
    </row>
    <row r="253" spans="1:8" ht="30" customHeight="1" x14ac:dyDescent="0.3">
      <c r="A253" s="5"/>
      <c r="B253" s="3"/>
      <c r="C253" s="9"/>
      <c r="D253" s="6"/>
      <c r="E253" s="8"/>
      <c r="F253" s="8"/>
      <c r="G253" s="8"/>
      <c r="H253" s="98"/>
    </row>
    <row r="254" spans="1:8" ht="30" customHeight="1" x14ac:dyDescent="0.3">
      <c r="A254" s="5"/>
      <c r="B254" s="3"/>
      <c r="C254" s="9"/>
      <c r="D254" s="6"/>
      <c r="E254" s="8"/>
      <c r="F254" s="8"/>
      <c r="G254" s="8"/>
      <c r="H254" s="98"/>
    </row>
    <row r="255" spans="1:8" ht="30" customHeight="1" x14ac:dyDescent="0.3">
      <c r="A255" s="5"/>
      <c r="B255" s="3"/>
      <c r="C255" s="9"/>
      <c r="D255" s="6"/>
      <c r="E255" s="8"/>
      <c r="F255" s="8"/>
      <c r="G255" s="8"/>
      <c r="H255" s="98"/>
    </row>
    <row r="256" spans="1:8" ht="30" customHeight="1" x14ac:dyDescent="0.3">
      <c r="A256" s="5"/>
      <c r="B256" s="3"/>
      <c r="C256" s="9"/>
      <c r="D256" s="6"/>
      <c r="E256" s="8"/>
      <c r="F256" s="8"/>
      <c r="G256" s="8"/>
      <c r="H256" s="98"/>
    </row>
    <row r="257" spans="1:8" ht="30" customHeight="1" x14ac:dyDescent="0.3">
      <c r="A257" s="5"/>
      <c r="B257" s="3"/>
      <c r="C257" s="9"/>
      <c r="D257" s="6"/>
      <c r="E257" s="8"/>
      <c r="F257" s="8"/>
      <c r="G257" s="8"/>
      <c r="H257" s="98"/>
    </row>
    <row r="258" spans="1:8" ht="30" customHeight="1" x14ac:dyDescent="0.3">
      <c r="A258" s="5"/>
      <c r="B258" s="3"/>
      <c r="C258" s="9"/>
      <c r="D258" s="6"/>
      <c r="E258" s="8"/>
      <c r="F258" s="8"/>
      <c r="G258" s="8"/>
      <c r="H258" s="98"/>
    </row>
    <row r="259" spans="1:8" ht="30" customHeight="1" x14ac:dyDescent="0.3">
      <c r="A259" s="5"/>
      <c r="B259" s="3"/>
      <c r="C259" s="9"/>
      <c r="D259" s="6"/>
      <c r="E259" s="8"/>
      <c r="F259" s="8"/>
      <c r="G259" s="8"/>
      <c r="H259" s="98"/>
    </row>
    <row r="260" spans="1:8" ht="30" customHeight="1" x14ac:dyDescent="0.3">
      <c r="A260" s="5"/>
      <c r="B260" s="3"/>
      <c r="C260" s="9"/>
      <c r="D260" s="6"/>
      <c r="E260" s="8"/>
      <c r="F260" s="8"/>
      <c r="G260" s="8"/>
      <c r="H260" s="98"/>
    </row>
    <row r="261" spans="1:8" ht="30" customHeight="1" x14ac:dyDescent="0.3">
      <c r="A261" s="5"/>
      <c r="B261" s="3"/>
      <c r="C261" s="9"/>
      <c r="D261" s="6"/>
      <c r="E261" s="8"/>
      <c r="F261" s="8"/>
      <c r="G261" s="8"/>
      <c r="H261" s="98"/>
    </row>
    <row r="262" spans="1:8" ht="30" customHeight="1" x14ac:dyDescent="0.3">
      <c r="A262" s="5"/>
      <c r="B262" s="3"/>
      <c r="C262" s="9"/>
      <c r="D262" s="6"/>
      <c r="E262" s="8"/>
      <c r="F262" s="8"/>
      <c r="G262" s="8"/>
      <c r="H262" s="98"/>
    </row>
    <row r="263" spans="1:8" ht="30" customHeight="1" x14ac:dyDescent="0.3">
      <c r="A263" s="5"/>
      <c r="B263" s="3"/>
      <c r="C263" s="9"/>
      <c r="D263" s="6"/>
      <c r="E263" s="8"/>
      <c r="F263" s="8"/>
      <c r="G263" s="8"/>
      <c r="H263" s="98"/>
    </row>
    <row r="264" spans="1:8" ht="30" customHeight="1" x14ac:dyDescent="0.3">
      <c r="A264" s="5"/>
      <c r="B264" s="3"/>
      <c r="C264" s="9"/>
      <c r="D264" s="6"/>
      <c r="E264" s="8"/>
      <c r="F264" s="8"/>
      <c r="G264" s="8"/>
      <c r="H264" s="98"/>
    </row>
    <row r="265" spans="1:8" ht="30" customHeight="1" x14ac:dyDescent="0.3">
      <c r="A265" s="5"/>
      <c r="B265" s="3"/>
      <c r="C265" s="9"/>
      <c r="D265" s="6"/>
      <c r="E265" s="8"/>
      <c r="F265" s="8"/>
      <c r="G265" s="8"/>
      <c r="H265" s="98"/>
    </row>
    <row r="266" spans="1:8" ht="30" customHeight="1" x14ac:dyDescent="0.3">
      <c r="A266" s="5"/>
      <c r="B266" s="3"/>
      <c r="C266" s="9"/>
      <c r="D266" s="6"/>
      <c r="E266" s="8"/>
      <c r="F266" s="8"/>
      <c r="G266" s="8"/>
      <c r="H266" s="98"/>
    </row>
    <row r="267" spans="1:8" ht="30" customHeight="1" x14ac:dyDescent="0.3">
      <c r="A267" s="5"/>
      <c r="B267" s="3"/>
      <c r="C267" s="9"/>
      <c r="D267" s="6"/>
      <c r="E267" s="8"/>
      <c r="F267" s="8"/>
      <c r="G267" s="8"/>
      <c r="H267" s="98"/>
    </row>
    <row r="268" spans="1:8" ht="30" customHeight="1" x14ac:dyDescent="0.3">
      <c r="A268" s="5"/>
      <c r="B268" s="3"/>
      <c r="C268" s="9"/>
      <c r="D268" s="6"/>
      <c r="E268" s="8"/>
      <c r="F268" s="8"/>
      <c r="G268" s="8"/>
      <c r="H268" s="98"/>
    </row>
    <row r="269" spans="1:8" ht="30" customHeight="1" x14ac:dyDescent="0.3">
      <c r="A269" s="5"/>
      <c r="B269" s="3"/>
      <c r="C269" s="9"/>
      <c r="D269" s="6"/>
      <c r="E269" s="8"/>
      <c r="F269" s="8"/>
      <c r="G269" s="8"/>
      <c r="H269" s="98"/>
    </row>
    <row r="270" spans="1:8" ht="30" customHeight="1" x14ac:dyDescent="0.3">
      <c r="A270" s="5"/>
      <c r="B270" s="3"/>
      <c r="C270" s="9"/>
      <c r="D270" s="6"/>
      <c r="E270" s="8"/>
      <c r="F270" s="8"/>
      <c r="G270" s="8"/>
      <c r="H270" s="98"/>
    </row>
    <row r="271" spans="1:8" ht="30" customHeight="1" x14ac:dyDescent="0.3">
      <c r="A271" s="5"/>
      <c r="B271" s="3"/>
      <c r="C271" s="9"/>
      <c r="D271" s="6"/>
      <c r="E271" s="8"/>
      <c r="F271" s="8"/>
      <c r="G271" s="8"/>
      <c r="H271" s="98"/>
    </row>
    <row r="272" spans="1:8" ht="30" customHeight="1" x14ac:dyDescent="0.3">
      <c r="A272" s="5"/>
      <c r="B272" s="3"/>
      <c r="C272" s="9"/>
      <c r="D272" s="6"/>
      <c r="E272" s="8"/>
      <c r="F272" s="8"/>
      <c r="G272" s="8"/>
      <c r="H272" s="98"/>
    </row>
    <row r="273" spans="1:8" ht="30" customHeight="1" x14ac:dyDescent="0.3">
      <c r="A273" s="5"/>
      <c r="B273" s="3"/>
      <c r="C273" s="9"/>
      <c r="D273" s="6"/>
      <c r="E273" s="8"/>
      <c r="F273" s="8"/>
      <c r="G273" s="8"/>
      <c r="H273" s="98"/>
    </row>
    <row r="274" spans="1:8" ht="30" customHeight="1" x14ac:dyDescent="0.3">
      <c r="A274" s="5"/>
      <c r="B274" s="3"/>
      <c r="C274" s="9"/>
      <c r="D274" s="6"/>
      <c r="E274" s="8"/>
      <c r="F274" s="8"/>
      <c r="G274" s="8"/>
      <c r="H274" s="98"/>
    </row>
    <row r="275" spans="1:8" ht="30" customHeight="1" x14ac:dyDescent="0.3">
      <c r="A275" s="2"/>
      <c r="B275" s="2"/>
      <c r="C275" s="9"/>
      <c r="D275" s="12"/>
      <c r="E275" s="10"/>
      <c r="F275" s="10"/>
      <c r="G275" s="10"/>
      <c r="H275" s="98"/>
    </row>
    <row r="276" spans="1:8" ht="30" customHeight="1" x14ac:dyDescent="0.3">
      <c r="A276" s="2"/>
      <c r="B276" s="2"/>
      <c r="C276" s="9"/>
      <c r="D276" s="12"/>
      <c r="E276" s="10"/>
      <c r="F276" s="10"/>
      <c r="G276" s="10"/>
      <c r="H276" s="98"/>
    </row>
    <row r="277" spans="1:8" ht="30" customHeight="1" x14ac:dyDescent="0.3">
      <c r="A277" s="2"/>
      <c r="B277" s="2"/>
      <c r="C277" s="9"/>
      <c r="D277" s="12"/>
      <c r="E277" s="10"/>
      <c r="F277" s="10"/>
      <c r="G277" s="10"/>
      <c r="H277" s="98"/>
    </row>
    <row r="278" spans="1:8" ht="30" customHeight="1" x14ac:dyDescent="0.3">
      <c r="A278" s="2"/>
      <c r="B278" s="2"/>
      <c r="C278" s="9"/>
      <c r="D278" s="12"/>
      <c r="E278" s="10"/>
      <c r="F278" s="10"/>
      <c r="G278" s="10"/>
      <c r="H278" s="98"/>
    </row>
    <row r="279" spans="1:8" ht="30" customHeight="1" x14ac:dyDescent="0.3">
      <c r="A279" s="2"/>
      <c r="B279" s="2"/>
      <c r="C279" s="9"/>
      <c r="D279" s="12"/>
      <c r="E279" s="10"/>
      <c r="F279" s="10"/>
      <c r="G279" s="10"/>
      <c r="H279" s="98"/>
    </row>
    <row r="280" spans="1:8" ht="30" customHeight="1" x14ac:dyDescent="0.3">
      <c r="A280" s="2"/>
      <c r="B280" s="2"/>
      <c r="C280" s="9"/>
      <c r="D280" s="12"/>
      <c r="E280" s="10"/>
      <c r="F280" s="10"/>
      <c r="G280" s="10"/>
      <c r="H280" s="98"/>
    </row>
    <row r="281" spans="1:8" ht="30" customHeight="1" x14ac:dyDescent="0.3">
      <c r="A281" s="2"/>
      <c r="B281" s="2"/>
      <c r="C281" s="9"/>
      <c r="D281" s="2"/>
      <c r="E281" s="10"/>
      <c r="F281" s="10"/>
      <c r="G281" s="10"/>
      <c r="H281" s="98"/>
    </row>
    <row r="282" spans="1:8" ht="30" customHeight="1" x14ac:dyDescent="0.3">
      <c r="A282" s="2"/>
      <c r="B282" s="2"/>
      <c r="C282" s="9"/>
      <c r="D282" s="2"/>
      <c r="E282" s="10"/>
      <c r="F282" s="10"/>
      <c r="G282" s="10"/>
      <c r="H282" s="98"/>
    </row>
    <row r="283" spans="1:8" x14ac:dyDescent="0.3">
      <c r="A283" s="9"/>
      <c r="B283" s="9"/>
      <c r="C283" s="9"/>
      <c r="D283" s="9"/>
      <c r="E283" s="98"/>
      <c r="F283" s="98"/>
      <c r="G283" s="98"/>
      <c r="H283" s="98"/>
    </row>
    <row r="284" spans="1:8" x14ac:dyDescent="0.3">
      <c r="A284" s="9"/>
      <c r="B284" s="9"/>
      <c r="C284" s="9"/>
      <c r="D284" s="9"/>
      <c r="E284" s="98"/>
      <c r="F284" s="98"/>
      <c r="G284" s="98"/>
      <c r="H284" s="98"/>
    </row>
    <row r="285" spans="1:8" x14ac:dyDescent="0.3">
      <c r="A285" s="9"/>
      <c r="B285" s="9"/>
      <c r="C285" s="9"/>
      <c r="D285" s="9"/>
      <c r="E285" s="98"/>
      <c r="F285" s="98"/>
      <c r="G285" s="98"/>
      <c r="H285" s="98"/>
    </row>
    <row r="286" spans="1:8" x14ac:dyDescent="0.3">
      <c r="A286" s="9"/>
      <c r="B286" s="9"/>
      <c r="C286" s="9"/>
      <c r="D286" s="9"/>
      <c r="E286" s="98"/>
      <c r="F286" s="98"/>
      <c r="G286" s="98"/>
      <c r="H286" s="98"/>
    </row>
    <row r="287" spans="1:8" x14ac:dyDescent="0.3">
      <c r="A287" s="9"/>
      <c r="B287" s="9"/>
      <c r="C287" s="9"/>
      <c r="D287" s="9"/>
      <c r="E287" s="98"/>
      <c r="F287" s="98"/>
      <c r="G287" s="98"/>
      <c r="H287" s="98"/>
    </row>
    <row r="288" spans="1:8" x14ac:dyDescent="0.3">
      <c r="A288" s="9"/>
      <c r="B288" s="9"/>
      <c r="C288" s="9"/>
      <c r="D288" s="9"/>
      <c r="E288" s="98"/>
      <c r="F288" s="98"/>
      <c r="G288" s="98"/>
      <c r="H288" s="98"/>
    </row>
    <row r="289" spans="1:8" x14ac:dyDescent="0.3">
      <c r="A289" s="9"/>
      <c r="B289" s="9"/>
      <c r="C289" s="9"/>
      <c r="D289" s="9"/>
      <c r="E289" s="98"/>
      <c r="F289" s="98"/>
      <c r="G289" s="98"/>
      <c r="H289" s="98"/>
    </row>
    <row r="290" spans="1:8" x14ac:dyDescent="0.3">
      <c r="A290" s="9"/>
      <c r="B290" s="9"/>
      <c r="C290" s="9"/>
      <c r="D290" s="9"/>
      <c r="E290" s="98"/>
      <c r="F290" s="98"/>
      <c r="G290" s="98"/>
      <c r="H290" s="98"/>
    </row>
    <row r="291" spans="1:8" x14ac:dyDescent="0.3">
      <c r="A291" s="9"/>
      <c r="B291" s="9"/>
      <c r="C291" s="9"/>
      <c r="D291" s="9"/>
      <c r="E291" s="98"/>
      <c r="F291" s="98"/>
      <c r="G291" s="98"/>
      <c r="H291" s="98"/>
    </row>
    <row r="292" spans="1:8" x14ac:dyDescent="0.3">
      <c r="A292" s="9"/>
      <c r="B292" s="9"/>
      <c r="C292" s="9"/>
      <c r="D292" s="9"/>
      <c r="E292" s="98"/>
      <c r="F292" s="98"/>
      <c r="G292" s="98"/>
      <c r="H292" s="98"/>
    </row>
    <row r="293" spans="1:8" x14ac:dyDescent="0.3">
      <c r="A293" s="9"/>
      <c r="B293" s="9"/>
      <c r="C293" s="9"/>
      <c r="D293" s="9"/>
      <c r="E293" s="98"/>
      <c r="F293" s="98"/>
      <c r="G293" s="98"/>
      <c r="H293" s="98"/>
    </row>
    <row r="294" spans="1:8" x14ac:dyDescent="0.3">
      <c r="A294" s="9"/>
      <c r="B294" s="9"/>
      <c r="C294" s="9"/>
      <c r="D294" s="9"/>
      <c r="E294" s="98"/>
      <c r="F294" s="98"/>
      <c r="G294" s="98"/>
      <c r="H294" s="98"/>
    </row>
    <row r="295" spans="1:8" x14ac:dyDescent="0.3">
      <c r="A295" s="9"/>
      <c r="B295" s="9"/>
      <c r="C295" s="9"/>
      <c r="D295" s="9"/>
      <c r="E295" s="98"/>
      <c r="F295" s="98"/>
      <c r="G295" s="98"/>
      <c r="H295" s="98"/>
    </row>
    <row r="296" spans="1:8" x14ac:dyDescent="0.3">
      <c r="A296" s="9"/>
      <c r="B296" s="9"/>
      <c r="C296" s="9"/>
      <c r="D296" s="9"/>
      <c r="E296" s="98"/>
      <c r="F296" s="98"/>
      <c r="G296" s="98"/>
      <c r="H296" s="98"/>
    </row>
    <row r="297" spans="1:8" x14ac:dyDescent="0.3">
      <c r="A297" s="9"/>
      <c r="B297" s="9"/>
      <c r="C297" s="9"/>
      <c r="D297" s="9"/>
      <c r="E297" s="98"/>
      <c r="F297" s="98"/>
      <c r="G297" s="98"/>
      <c r="H297" s="98"/>
    </row>
    <row r="298" spans="1:8" x14ac:dyDescent="0.3">
      <c r="A298" s="9"/>
      <c r="B298" s="9"/>
      <c r="C298" s="9"/>
      <c r="D298" s="9"/>
      <c r="E298" s="98"/>
      <c r="F298" s="98"/>
      <c r="G298" s="98"/>
      <c r="H298" s="98"/>
    </row>
    <row r="299" spans="1:8" x14ac:dyDescent="0.3">
      <c r="A299" s="9"/>
      <c r="B299" s="9"/>
      <c r="C299" s="9"/>
      <c r="D299" s="9"/>
      <c r="E299" s="98"/>
      <c r="F299" s="98"/>
      <c r="G299" s="98"/>
      <c r="H299" s="98"/>
    </row>
    <row r="300" spans="1:8" x14ac:dyDescent="0.3">
      <c r="A300" s="9"/>
      <c r="B300" s="9"/>
      <c r="C300" s="9"/>
      <c r="D300" s="9"/>
      <c r="E300" s="98"/>
      <c r="F300" s="98"/>
      <c r="G300" s="98"/>
      <c r="H300" s="98"/>
    </row>
    <row r="301" spans="1:8" x14ac:dyDescent="0.3">
      <c r="A301" s="9"/>
      <c r="B301" s="9"/>
      <c r="C301" s="9"/>
      <c r="D301" s="9"/>
      <c r="E301" s="98"/>
      <c r="F301" s="98"/>
      <c r="G301" s="98"/>
      <c r="H301" s="98"/>
    </row>
    <row r="302" spans="1:8" x14ac:dyDescent="0.3">
      <c r="A302" s="9"/>
      <c r="B302" s="9"/>
      <c r="C302" s="9"/>
      <c r="D302" s="9"/>
      <c r="E302" s="98"/>
      <c r="F302" s="98"/>
      <c r="G302" s="98"/>
      <c r="H302" s="98"/>
    </row>
    <row r="303" spans="1:8" x14ac:dyDescent="0.3">
      <c r="A303" s="9"/>
      <c r="B303" s="9"/>
      <c r="C303" s="9"/>
      <c r="D303" s="9"/>
      <c r="E303" s="98"/>
      <c r="F303" s="98"/>
      <c r="G303" s="98"/>
      <c r="H303" s="98"/>
    </row>
    <row r="304" spans="1:8" x14ac:dyDescent="0.3">
      <c r="A304" s="9"/>
      <c r="B304" s="9"/>
      <c r="C304" s="9"/>
      <c r="D304" s="9"/>
      <c r="E304" s="98"/>
      <c r="F304" s="98"/>
      <c r="G304" s="98"/>
      <c r="H304" s="98"/>
    </row>
    <row r="305" spans="1:8" x14ac:dyDescent="0.3">
      <c r="A305" s="9"/>
      <c r="B305" s="9"/>
      <c r="C305" s="9"/>
      <c r="D305" s="9"/>
      <c r="E305" s="98"/>
      <c r="F305" s="98"/>
      <c r="G305" s="98"/>
      <c r="H305" s="98"/>
    </row>
    <row r="306" spans="1:8" x14ac:dyDescent="0.3">
      <c r="A306" s="9"/>
      <c r="B306" s="9"/>
      <c r="C306" s="9"/>
      <c r="D306" s="9"/>
      <c r="E306" s="98"/>
      <c r="F306" s="98"/>
      <c r="G306" s="98"/>
      <c r="H306" s="98"/>
    </row>
    <row r="307" spans="1:8" x14ac:dyDescent="0.3">
      <c r="A307" s="9"/>
      <c r="B307" s="9"/>
      <c r="C307" s="9"/>
      <c r="D307" s="9"/>
      <c r="E307" s="98"/>
      <c r="F307" s="98"/>
      <c r="G307" s="98"/>
      <c r="H307" s="98"/>
    </row>
    <row r="308" spans="1:8" x14ac:dyDescent="0.3">
      <c r="A308" s="9"/>
      <c r="B308" s="9"/>
      <c r="C308" s="9"/>
      <c r="D308" s="9"/>
      <c r="E308" s="98"/>
      <c r="F308" s="98"/>
      <c r="G308" s="98"/>
      <c r="H308" s="98"/>
    </row>
    <row r="309" spans="1:8" x14ac:dyDescent="0.3">
      <c r="A309" s="9"/>
      <c r="B309" s="9"/>
      <c r="C309" s="9"/>
      <c r="D309" s="9"/>
      <c r="E309" s="98"/>
      <c r="F309" s="98"/>
      <c r="G309" s="98"/>
      <c r="H309" s="98"/>
    </row>
    <row r="310" spans="1:8" x14ac:dyDescent="0.3">
      <c r="A310" s="9"/>
      <c r="B310" s="9"/>
      <c r="C310" s="9"/>
      <c r="D310" s="9"/>
      <c r="E310" s="98"/>
      <c r="F310" s="98"/>
      <c r="G310" s="98"/>
      <c r="H310" s="98"/>
    </row>
    <row r="311" spans="1:8" x14ac:dyDescent="0.3">
      <c r="A311" s="9"/>
      <c r="B311" s="9"/>
      <c r="C311" s="9"/>
      <c r="D311" s="9"/>
      <c r="E311" s="98"/>
      <c r="F311" s="98"/>
      <c r="G311" s="98"/>
      <c r="H311" s="98"/>
    </row>
    <row r="312" spans="1:8" x14ac:dyDescent="0.3">
      <c r="A312" s="9"/>
      <c r="B312" s="9"/>
      <c r="C312" s="9"/>
      <c r="D312" s="9"/>
      <c r="E312" s="98"/>
      <c r="F312" s="98"/>
      <c r="G312" s="98"/>
      <c r="H312" s="98"/>
    </row>
    <row r="313" spans="1:8" x14ac:dyDescent="0.3">
      <c r="A313" s="9"/>
      <c r="B313" s="9"/>
      <c r="C313" s="9"/>
      <c r="D313" s="9"/>
      <c r="E313" s="98"/>
      <c r="F313" s="98"/>
      <c r="G313" s="98"/>
      <c r="H313" s="98"/>
    </row>
    <row r="314" spans="1:8" x14ac:dyDescent="0.3">
      <c r="A314" s="9"/>
      <c r="B314" s="9"/>
      <c r="C314" s="9"/>
      <c r="D314" s="9"/>
      <c r="E314" s="98"/>
      <c r="F314" s="98"/>
      <c r="G314" s="98"/>
      <c r="H314" s="98"/>
    </row>
    <row r="315" spans="1:8" x14ac:dyDescent="0.3">
      <c r="A315" s="9"/>
      <c r="B315" s="9"/>
      <c r="C315" s="9"/>
      <c r="D315" s="9"/>
      <c r="E315" s="98"/>
      <c r="F315" s="98"/>
      <c r="G315" s="98"/>
      <c r="H315" s="98"/>
    </row>
    <row r="316" spans="1:8" x14ac:dyDescent="0.3">
      <c r="A316" s="9"/>
      <c r="B316" s="9"/>
      <c r="C316" s="9"/>
      <c r="D316" s="9"/>
      <c r="E316" s="98"/>
      <c r="F316" s="98"/>
      <c r="G316" s="98"/>
      <c r="H316" s="98"/>
    </row>
    <row r="317" spans="1:8" x14ac:dyDescent="0.3">
      <c r="A317" s="9"/>
      <c r="B317" s="9"/>
      <c r="C317" s="9"/>
      <c r="D317" s="9"/>
      <c r="E317" s="98"/>
      <c r="F317" s="98"/>
      <c r="G317" s="98"/>
      <c r="H317" s="98"/>
    </row>
    <row r="318" spans="1:8" x14ac:dyDescent="0.3">
      <c r="A318" s="9"/>
      <c r="B318" s="9"/>
      <c r="C318" s="9"/>
      <c r="D318" s="9"/>
      <c r="E318" s="98"/>
      <c r="F318" s="98"/>
      <c r="G318" s="98"/>
      <c r="H318" s="98"/>
    </row>
    <row r="319" spans="1:8" x14ac:dyDescent="0.3">
      <c r="A319" s="9"/>
      <c r="B319" s="9"/>
      <c r="C319" s="9"/>
      <c r="D319" s="9"/>
      <c r="E319" s="98"/>
      <c r="F319" s="98"/>
      <c r="G319" s="98"/>
      <c r="H319" s="98"/>
    </row>
    <row r="320" spans="1:8" x14ac:dyDescent="0.3">
      <c r="A320" s="9"/>
      <c r="B320" s="9"/>
      <c r="C320" s="9"/>
      <c r="D320" s="9"/>
      <c r="E320" s="98"/>
      <c r="F320" s="98"/>
      <c r="G320" s="98"/>
      <c r="H320" s="98"/>
    </row>
    <row r="321" spans="1:8" x14ac:dyDescent="0.3">
      <c r="A321" s="9"/>
      <c r="B321" s="9"/>
      <c r="C321" s="9"/>
      <c r="D321" s="9"/>
      <c r="E321" s="98"/>
      <c r="F321" s="98"/>
      <c r="G321" s="98"/>
      <c r="H321" s="98"/>
    </row>
    <row r="322" spans="1:8" x14ac:dyDescent="0.3">
      <c r="A322" s="9"/>
      <c r="B322" s="9"/>
      <c r="C322" s="9"/>
      <c r="D322" s="9"/>
      <c r="E322" s="98"/>
      <c r="F322" s="98"/>
      <c r="G322" s="98"/>
      <c r="H322" s="98"/>
    </row>
    <row r="323" spans="1:8" x14ac:dyDescent="0.3">
      <c r="A323" s="9"/>
      <c r="B323" s="9"/>
      <c r="C323" s="9"/>
      <c r="D323" s="9"/>
      <c r="E323" s="98"/>
      <c r="F323" s="98"/>
      <c r="G323" s="98"/>
      <c r="H323" s="98"/>
    </row>
    <row r="324" spans="1:8" x14ac:dyDescent="0.3">
      <c r="A324" s="9"/>
      <c r="B324" s="9"/>
      <c r="C324" s="9"/>
      <c r="D324" s="9"/>
      <c r="E324" s="98"/>
      <c r="F324" s="98"/>
      <c r="G324" s="98"/>
      <c r="H324" s="98"/>
    </row>
    <row r="325" spans="1:8" x14ac:dyDescent="0.3">
      <c r="A325" s="9"/>
      <c r="B325" s="9"/>
      <c r="C325" s="9"/>
      <c r="D325" s="9"/>
      <c r="E325" s="98"/>
      <c r="F325" s="98"/>
      <c r="G325" s="98"/>
      <c r="H325" s="98"/>
    </row>
    <row r="326" spans="1:8" x14ac:dyDescent="0.3">
      <c r="A326" s="9"/>
      <c r="B326" s="9"/>
      <c r="C326" s="9"/>
      <c r="D326" s="9"/>
      <c r="E326" s="98"/>
      <c r="F326" s="98"/>
      <c r="G326" s="98"/>
      <c r="H326" s="98"/>
    </row>
    <row r="327" spans="1:8" x14ac:dyDescent="0.3">
      <c r="A327" s="9"/>
      <c r="B327" s="9"/>
      <c r="C327" s="9"/>
      <c r="D327" s="9"/>
      <c r="E327" s="98"/>
      <c r="F327" s="98"/>
      <c r="G327" s="98"/>
      <c r="H327" s="98"/>
    </row>
    <row r="328" spans="1:8" x14ac:dyDescent="0.3">
      <c r="A328" s="9"/>
      <c r="B328" s="9"/>
      <c r="C328" s="9"/>
      <c r="D328" s="9"/>
      <c r="E328" s="98"/>
      <c r="F328" s="98"/>
      <c r="G328" s="98"/>
      <c r="H328" s="98"/>
    </row>
    <row r="329" spans="1:8" x14ac:dyDescent="0.3">
      <c r="A329" s="9"/>
      <c r="B329" s="9"/>
      <c r="C329" s="9"/>
      <c r="D329" s="9"/>
      <c r="E329" s="98"/>
      <c r="F329" s="98"/>
      <c r="G329" s="98"/>
      <c r="H329" s="98"/>
    </row>
    <row r="330" spans="1:8" x14ac:dyDescent="0.3">
      <c r="A330" s="9"/>
      <c r="B330" s="9"/>
      <c r="C330" s="9"/>
      <c r="D330" s="9"/>
      <c r="E330" s="98"/>
      <c r="F330" s="98"/>
      <c r="G330" s="98"/>
      <c r="H330" s="98"/>
    </row>
    <row r="331" spans="1:8" x14ac:dyDescent="0.3">
      <c r="A331" s="9"/>
      <c r="B331" s="9"/>
      <c r="C331" s="9"/>
      <c r="D331" s="9"/>
      <c r="E331" s="98"/>
      <c r="F331" s="98"/>
      <c r="G331" s="98"/>
      <c r="H331" s="98"/>
    </row>
    <row r="332" spans="1:8" x14ac:dyDescent="0.3">
      <c r="A332" s="9"/>
      <c r="B332" s="9"/>
      <c r="C332" s="9"/>
      <c r="D332" s="9"/>
      <c r="E332" s="98"/>
      <c r="F332" s="98"/>
      <c r="G332" s="98"/>
      <c r="H332" s="98"/>
    </row>
    <row r="333" spans="1:8" x14ac:dyDescent="0.3">
      <c r="A333" s="9"/>
      <c r="B333" s="9"/>
      <c r="C333" s="9"/>
      <c r="D333" s="9"/>
      <c r="E333" s="98"/>
      <c r="F333" s="98"/>
      <c r="G333" s="98"/>
      <c r="H333" s="98"/>
    </row>
    <row r="334" spans="1:8" x14ac:dyDescent="0.3">
      <c r="A334" s="9"/>
      <c r="B334" s="9"/>
      <c r="C334" s="9"/>
      <c r="D334" s="9"/>
      <c r="E334" s="98"/>
      <c r="F334" s="98"/>
      <c r="G334" s="98"/>
      <c r="H334" s="98"/>
    </row>
    <row r="335" spans="1:8" x14ac:dyDescent="0.3">
      <c r="A335" s="9"/>
      <c r="B335" s="9"/>
      <c r="C335" s="9"/>
      <c r="D335" s="9"/>
      <c r="E335" s="98"/>
      <c r="F335" s="98"/>
      <c r="G335" s="98"/>
      <c r="H335" s="98"/>
    </row>
    <row r="336" spans="1:8" x14ac:dyDescent="0.3">
      <c r="A336" s="9"/>
      <c r="B336" s="9"/>
      <c r="C336" s="9"/>
      <c r="D336" s="9"/>
      <c r="E336" s="98"/>
      <c r="F336" s="98"/>
      <c r="G336" s="98"/>
      <c r="H336" s="98"/>
    </row>
    <row r="337" spans="1:8" x14ac:dyDescent="0.3">
      <c r="A337" s="9"/>
      <c r="B337" s="9"/>
      <c r="C337" s="9"/>
      <c r="D337" s="9"/>
      <c r="E337" s="98"/>
      <c r="F337" s="98"/>
      <c r="G337" s="98"/>
      <c r="H337" s="98"/>
    </row>
    <row r="338" spans="1:8" x14ac:dyDescent="0.3">
      <c r="A338" s="9"/>
      <c r="B338" s="9"/>
      <c r="C338" s="9"/>
      <c r="D338" s="9"/>
      <c r="E338" s="98"/>
      <c r="F338" s="98"/>
      <c r="G338" s="98"/>
      <c r="H338" s="98"/>
    </row>
    <row r="339" spans="1:8" x14ac:dyDescent="0.3">
      <c r="A339" s="9"/>
      <c r="B339" s="9"/>
      <c r="C339" s="9"/>
      <c r="D339" s="9"/>
      <c r="E339" s="98"/>
      <c r="F339" s="98"/>
      <c r="G339" s="98"/>
      <c r="H339" s="98"/>
    </row>
    <row r="340" spans="1:8" x14ac:dyDescent="0.3">
      <c r="A340" s="9"/>
      <c r="B340" s="9"/>
      <c r="C340" s="9"/>
      <c r="D340" s="9"/>
      <c r="E340" s="98"/>
      <c r="F340" s="98"/>
      <c r="G340" s="98"/>
      <c r="H340" s="98"/>
    </row>
    <row r="341" spans="1:8" x14ac:dyDescent="0.3">
      <c r="A341" s="9"/>
      <c r="B341" s="9"/>
      <c r="C341" s="9"/>
      <c r="D341" s="9"/>
      <c r="E341" s="98"/>
      <c r="F341" s="98"/>
      <c r="G341" s="98"/>
      <c r="H341" s="98"/>
    </row>
    <row r="342" spans="1:8" x14ac:dyDescent="0.3">
      <c r="A342" s="9"/>
      <c r="B342" s="9"/>
      <c r="C342" s="9"/>
      <c r="D342" s="9"/>
      <c r="E342" s="98"/>
      <c r="F342" s="98"/>
      <c r="G342" s="98"/>
      <c r="H342" s="98"/>
    </row>
    <row r="343" spans="1:8" x14ac:dyDescent="0.3">
      <c r="A343" s="9"/>
      <c r="B343" s="9"/>
      <c r="C343" s="9"/>
      <c r="D343" s="9"/>
      <c r="E343" s="98"/>
      <c r="F343" s="98"/>
      <c r="G343" s="98"/>
      <c r="H343" s="98"/>
    </row>
    <row r="344" spans="1:8" x14ac:dyDescent="0.3">
      <c r="A344" s="9"/>
      <c r="B344" s="9"/>
      <c r="C344" s="9"/>
      <c r="D344" s="9"/>
      <c r="E344" s="98"/>
      <c r="F344" s="98"/>
      <c r="G344" s="98"/>
      <c r="H344" s="98"/>
    </row>
    <row r="345" spans="1:8" x14ac:dyDescent="0.3">
      <c r="A345" s="9"/>
      <c r="B345" s="9"/>
      <c r="C345" s="9"/>
      <c r="D345" s="9"/>
      <c r="E345" s="98"/>
      <c r="F345" s="98"/>
      <c r="G345" s="98"/>
      <c r="H345" s="98"/>
    </row>
    <row r="346" spans="1:8" x14ac:dyDescent="0.3">
      <c r="A346" s="9"/>
      <c r="B346" s="9"/>
      <c r="C346" s="9"/>
      <c r="D346" s="9"/>
      <c r="E346" s="98"/>
      <c r="F346" s="98"/>
      <c r="G346" s="98"/>
      <c r="H346" s="98"/>
    </row>
    <row r="347" spans="1:8" x14ac:dyDescent="0.3">
      <c r="A347" s="9"/>
      <c r="B347" s="9"/>
      <c r="C347" s="9"/>
      <c r="D347" s="9"/>
      <c r="E347" s="98"/>
      <c r="F347" s="98"/>
      <c r="G347" s="98"/>
      <c r="H347" s="98"/>
    </row>
    <row r="348" spans="1:8" x14ac:dyDescent="0.3">
      <c r="A348" s="9"/>
      <c r="B348" s="9"/>
      <c r="C348" s="9"/>
      <c r="D348" s="9"/>
      <c r="E348" s="98"/>
      <c r="F348" s="98"/>
      <c r="G348" s="98"/>
      <c r="H348" s="98"/>
    </row>
    <row r="349" spans="1:8" x14ac:dyDescent="0.3">
      <c r="A349" s="9"/>
      <c r="B349" s="9"/>
      <c r="C349" s="9"/>
      <c r="D349" s="9"/>
      <c r="E349" s="98"/>
      <c r="F349" s="98"/>
      <c r="G349" s="98"/>
      <c r="H349" s="98"/>
    </row>
    <row r="350" spans="1:8" x14ac:dyDescent="0.3">
      <c r="A350" s="9"/>
      <c r="B350" s="9"/>
      <c r="C350" s="9"/>
      <c r="D350" s="9"/>
      <c r="E350" s="98"/>
      <c r="F350" s="98"/>
      <c r="G350" s="98"/>
      <c r="H350" s="98"/>
    </row>
    <row r="351" spans="1:8" x14ac:dyDescent="0.3">
      <c r="A351" s="9"/>
      <c r="B351" s="9"/>
      <c r="C351" s="9"/>
      <c r="D351" s="9"/>
      <c r="E351" s="98"/>
      <c r="F351" s="98"/>
      <c r="G351" s="98"/>
      <c r="H351" s="98"/>
    </row>
    <row r="352" spans="1:8" x14ac:dyDescent="0.3">
      <c r="A352" s="9"/>
      <c r="B352" s="9"/>
      <c r="C352" s="9"/>
      <c r="D352" s="9"/>
      <c r="E352" s="98"/>
      <c r="F352" s="98"/>
      <c r="G352" s="98"/>
      <c r="H352" s="98"/>
    </row>
    <row r="353" spans="1:8" x14ac:dyDescent="0.3">
      <c r="A353" s="9"/>
      <c r="B353" s="9"/>
      <c r="C353" s="9"/>
      <c r="D353" s="9"/>
      <c r="E353" s="98"/>
      <c r="F353" s="98"/>
      <c r="G353" s="98"/>
      <c r="H353" s="98"/>
    </row>
    <row r="354" spans="1:8" x14ac:dyDescent="0.3">
      <c r="A354" s="9"/>
      <c r="B354" s="9"/>
      <c r="C354" s="9"/>
      <c r="D354" s="9"/>
      <c r="E354" s="98"/>
      <c r="F354" s="98"/>
      <c r="G354" s="98"/>
      <c r="H354" s="98"/>
    </row>
    <row r="355" spans="1:8" x14ac:dyDescent="0.3">
      <c r="A355" s="9"/>
      <c r="B355" s="9"/>
      <c r="C355" s="9"/>
      <c r="D355" s="9"/>
      <c r="E355" s="98"/>
      <c r="F355" s="98"/>
      <c r="G355" s="98"/>
      <c r="H355" s="98"/>
    </row>
    <row r="356" spans="1:8" x14ac:dyDescent="0.3">
      <c r="A356" s="9"/>
      <c r="B356" s="9"/>
      <c r="C356" s="9"/>
      <c r="D356" s="9"/>
      <c r="E356" s="98"/>
      <c r="F356" s="98"/>
      <c r="G356" s="98"/>
      <c r="H356" s="98"/>
    </row>
    <row r="357" spans="1:8" x14ac:dyDescent="0.3">
      <c r="A357" s="9"/>
      <c r="B357" s="9"/>
      <c r="C357" s="9"/>
      <c r="D357" s="9"/>
      <c r="E357" s="98"/>
      <c r="F357" s="98"/>
      <c r="G357" s="98"/>
      <c r="H357" s="98"/>
    </row>
    <row r="358" spans="1:8" x14ac:dyDescent="0.3">
      <c r="A358" s="9"/>
      <c r="B358" s="9"/>
      <c r="C358" s="9"/>
      <c r="D358" s="9"/>
      <c r="E358" s="98"/>
      <c r="F358" s="98"/>
      <c r="G358" s="98"/>
      <c r="H358" s="98"/>
    </row>
    <row r="359" spans="1:8" x14ac:dyDescent="0.3">
      <c r="A359" s="9"/>
      <c r="B359" s="9"/>
      <c r="C359" s="9"/>
      <c r="D359" s="9"/>
      <c r="E359" s="98"/>
      <c r="F359" s="98"/>
      <c r="G359" s="98"/>
      <c r="H359" s="98"/>
    </row>
    <row r="360" spans="1:8" x14ac:dyDescent="0.3">
      <c r="A360" s="9"/>
      <c r="B360" s="9"/>
      <c r="C360" s="9"/>
      <c r="D360" s="9"/>
      <c r="E360" s="98"/>
      <c r="F360" s="98"/>
      <c r="G360" s="98"/>
      <c r="H360" s="98"/>
    </row>
    <row r="361" spans="1:8" x14ac:dyDescent="0.3">
      <c r="A361" s="9"/>
      <c r="B361" s="9"/>
      <c r="C361" s="9"/>
      <c r="D361" s="9"/>
      <c r="E361" s="98"/>
      <c r="F361" s="98"/>
      <c r="G361" s="98"/>
      <c r="H361" s="98"/>
    </row>
    <row r="362" spans="1:8" x14ac:dyDescent="0.3">
      <c r="A362" s="9"/>
      <c r="B362" s="9"/>
      <c r="C362" s="9"/>
      <c r="D362" s="9"/>
      <c r="E362" s="98"/>
      <c r="F362" s="98"/>
      <c r="G362" s="98"/>
      <c r="H362" s="98"/>
    </row>
    <row r="363" spans="1:8" x14ac:dyDescent="0.3">
      <c r="A363" s="9"/>
      <c r="B363" s="9"/>
      <c r="C363" s="9"/>
      <c r="D363" s="9"/>
      <c r="E363" s="98"/>
      <c r="F363" s="98"/>
      <c r="G363" s="98"/>
      <c r="H363" s="98"/>
    </row>
    <row r="364" spans="1:8" x14ac:dyDescent="0.3">
      <c r="A364" s="9"/>
      <c r="B364" s="9"/>
      <c r="C364" s="9"/>
      <c r="D364" s="9"/>
      <c r="E364" s="98"/>
      <c r="F364" s="98"/>
      <c r="G364" s="98"/>
      <c r="H364" s="98"/>
    </row>
    <row r="365" spans="1:8" x14ac:dyDescent="0.3">
      <c r="A365" s="9"/>
      <c r="B365" s="9"/>
      <c r="C365" s="9"/>
      <c r="D365" s="9"/>
      <c r="E365" s="98"/>
      <c r="F365" s="98"/>
      <c r="G365" s="98"/>
      <c r="H365" s="98"/>
    </row>
    <row r="366" spans="1:8" x14ac:dyDescent="0.3">
      <c r="A366" s="9"/>
      <c r="B366" s="9"/>
      <c r="C366" s="9"/>
      <c r="D366" s="9"/>
      <c r="E366" s="98"/>
      <c r="F366" s="98"/>
      <c r="G366" s="98"/>
      <c r="H366" s="98"/>
    </row>
    <row r="367" spans="1:8" x14ac:dyDescent="0.3">
      <c r="A367" s="9"/>
      <c r="B367" s="9"/>
      <c r="C367" s="9"/>
      <c r="D367" s="9"/>
      <c r="E367" s="98"/>
      <c r="F367" s="98"/>
      <c r="G367" s="98"/>
      <c r="H367" s="98"/>
    </row>
    <row r="368" spans="1:8" x14ac:dyDescent="0.3">
      <c r="A368" s="9"/>
      <c r="B368" s="9"/>
      <c r="C368" s="9"/>
      <c r="D368" s="9"/>
      <c r="E368" s="98"/>
      <c r="F368" s="98"/>
      <c r="G368" s="98"/>
      <c r="H368" s="98"/>
    </row>
    <row r="369" spans="1:8" x14ac:dyDescent="0.3">
      <c r="A369" s="9"/>
      <c r="B369" s="9"/>
      <c r="C369" s="9"/>
      <c r="D369" s="9"/>
      <c r="E369" s="98"/>
      <c r="F369" s="98"/>
      <c r="G369" s="98"/>
      <c r="H369" s="98"/>
    </row>
    <row r="370" spans="1:8" x14ac:dyDescent="0.3">
      <c r="A370" s="9"/>
      <c r="B370" s="9"/>
      <c r="C370" s="9"/>
      <c r="D370" s="9"/>
      <c r="E370" s="98"/>
      <c r="F370" s="98"/>
      <c r="G370" s="98"/>
      <c r="H370" s="98"/>
    </row>
    <row r="371" spans="1:8" x14ac:dyDescent="0.3">
      <c r="A371" s="9"/>
      <c r="B371" s="9"/>
      <c r="C371" s="9"/>
      <c r="D371" s="9"/>
      <c r="E371" s="98"/>
      <c r="F371" s="98"/>
      <c r="G371" s="98"/>
      <c r="H371" s="98"/>
    </row>
    <row r="372" spans="1:8" x14ac:dyDescent="0.3">
      <c r="A372" s="9"/>
      <c r="B372" s="9"/>
      <c r="C372" s="9"/>
      <c r="D372" s="9"/>
      <c r="E372" s="98"/>
      <c r="F372" s="98"/>
      <c r="G372" s="98"/>
      <c r="H372" s="98"/>
    </row>
    <row r="373" spans="1:8" x14ac:dyDescent="0.3">
      <c r="A373" s="9"/>
      <c r="B373" s="9"/>
      <c r="C373" s="9"/>
      <c r="D373" s="9"/>
      <c r="E373" s="98"/>
      <c r="F373" s="98"/>
      <c r="G373" s="98"/>
      <c r="H373" s="98"/>
    </row>
    <row r="374" spans="1:8" x14ac:dyDescent="0.3">
      <c r="A374" s="9"/>
      <c r="B374" s="9"/>
      <c r="C374" s="9"/>
      <c r="D374" s="9"/>
      <c r="E374" s="98"/>
      <c r="F374" s="98"/>
      <c r="G374" s="98"/>
      <c r="H374" s="98"/>
    </row>
    <row r="375" spans="1:8" x14ac:dyDescent="0.3">
      <c r="A375" s="9"/>
      <c r="B375" s="9"/>
      <c r="C375" s="9"/>
      <c r="D375" s="9"/>
      <c r="E375" s="98"/>
      <c r="F375" s="98"/>
      <c r="G375" s="98"/>
      <c r="H375" s="98"/>
    </row>
    <row r="376" spans="1:8" x14ac:dyDescent="0.3">
      <c r="A376" s="9"/>
      <c r="B376" s="9"/>
      <c r="C376" s="9"/>
      <c r="D376" s="9"/>
      <c r="E376" s="98"/>
      <c r="F376" s="98"/>
      <c r="G376" s="98"/>
      <c r="H376" s="98"/>
    </row>
    <row r="377" spans="1:8" x14ac:dyDescent="0.3">
      <c r="A377" s="9"/>
      <c r="B377" s="9"/>
      <c r="C377" s="9"/>
      <c r="D377" s="9"/>
      <c r="E377" s="98"/>
      <c r="F377" s="98"/>
      <c r="G377" s="98"/>
      <c r="H377" s="98"/>
    </row>
    <row r="378" spans="1:8" x14ac:dyDescent="0.3">
      <c r="A378" s="9"/>
      <c r="B378" s="9"/>
      <c r="C378" s="9"/>
      <c r="D378" s="9"/>
      <c r="E378" s="98"/>
      <c r="F378" s="98"/>
      <c r="G378" s="98"/>
      <c r="H378" s="98"/>
    </row>
    <row r="379" spans="1:8" x14ac:dyDescent="0.3">
      <c r="A379" s="9"/>
      <c r="B379" s="9"/>
      <c r="C379" s="9"/>
      <c r="D379" s="9"/>
      <c r="E379" s="98"/>
      <c r="F379" s="98"/>
      <c r="G379" s="98"/>
      <c r="H379" s="98"/>
    </row>
    <row r="380" spans="1:8" x14ac:dyDescent="0.3">
      <c r="A380" s="9"/>
      <c r="B380" s="9"/>
      <c r="C380" s="9"/>
      <c r="D380" s="9"/>
      <c r="E380" s="98"/>
      <c r="F380" s="98"/>
      <c r="G380" s="98"/>
      <c r="H380" s="98"/>
    </row>
    <row r="381" spans="1:8" x14ac:dyDescent="0.3">
      <c r="A381" s="9"/>
      <c r="B381" s="9"/>
      <c r="C381" s="9"/>
      <c r="D381" s="9"/>
      <c r="E381" s="98"/>
      <c r="F381" s="98"/>
      <c r="G381" s="98"/>
      <c r="H381" s="98"/>
    </row>
    <row r="382" spans="1:8" x14ac:dyDescent="0.3">
      <c r="A382" s="9"/>
      <c r="B382" s="9"/>
      <c r="C382" s="9"/>
      <c r="D382" s="9"/>
      <c r="E382" s="98"/>
      <c r="F382" s="98"/>
      <c r="G382" s="98"/>
      <c r="H382" s="98"/>
    </row>
    <row r="383" spans="1:8" x14ac:dyDescent="0.3">
      <c r="A383" s="9"/>
      <c r="B383" s="9"/>
      <c r="C383" s="9"/>
      <c r="D383" s="9"/>
      <c r="E383" s="98"/>
      <c r="F383" s="98"/>
      <c r="G383" s="98"/>
      <c r="H383" s="98"/>
    </row>
    <row r="384" spans="1:8" x14ac:dyDescent="0.3">
      <c r="A384" s="9"/>
      <c r="B384" s="9"/>
      <c r="C384" s="9"/>
      <c r="D384" s="9"/>
      <c r="E384" s="98"/>
      <c r="F384" s="98"/>
      <c r="G384" s="98"/>
      <c r="H384" s="98"/>
    </row>
    <row r="385" spans="1:8" x14ac:dyDescent="0.3">
      <c r="A385" s="9"/>
      <c r="B385" s="9"/>
      <c r="C385" s="9"/>
      <c r="D385" s="9"/>
      <c r="E385" s="98"/>
      <c r="F385" s="98"/>
      <c r="G385" s="98"/>
      <c r="H385" s="98"/>
    </row>
    <row r="386" spans="1:8" x14ac:dyDescent="0.3">
      <c r="A386" s="9"/>
      <c r="B386" s="9"/>
      <c r="C386" s="9"/>
      <c r="D386" s="9"/>
      <c r="E386" s="98"/>
      <c r="F386" s="98"/>
      <c r="G386" s="98"/>
      <c r="H386" s="98"/>
    </row>
    <row r="387" spans="1:8" x14ac:dyDescent="0.3">
      <c r="A387" s="9"/>
      <c r="B387" s="9"/>
      <c r="C387" s="9"/>
      <c r="D387" s="9"/>
      <c r="E387" s="98"/>
      <c r="F387" s="98"/>
      <c r="G387" s="98"/>
      <c r="H387" s="98"/>
    </row>
    <row r="388" spans="1:8" x14ac:dyDescent="0.3">
      <c r="A388" s="9"/>
      <c r="B388" s="9"/>
      <c r="C388" s="9"/>
      <c r="D388" s="9"/>
      <c r="E388" s="98"/>
      <c r="F388" s="98"/>
      <c r="G388" s="98"/>
      <c r="H388" s="98"/>
    </row>
    <row r="389" spans="1:8" x14ac:dyDescent="0.3">
      <c r="A389" s="9"/>
      <c r="B389" s="9"/>
      <c r="C389" s="9"/>
      <c r="D389" s="9"/>
      <c r="E389" s="98"/>
      <c r="F389" s="98"/>
      <c r="G389" s="98"/>
      <c r="H389" s="98"/>
    </row>
    <row r="390" spans="1:8" x14ac:dyDescent="0.3">
      <c r="A390" s="9"/>
      <c r="B390" s="9"/>
      <c r="C390" s="9"/>
      <c r="D390" s="9"/>
      <c r="E390" s="98"/>
      <c r="F390" s="98"/>
      <c r="G390" s="98"/>
      <c r="H390" s="98"/>
    </row>
    <row r="391" spans="1:8" x14ac:dyDescent="0.3">
      <c r="A391" s="9"/>
      <c r="B391" s="9"/>
      <c r="C391" s="9"/>
      <c r="D391" s="9"/>
      <c r="E391" s="98"/>
      <c r="F391" s="98"/>
      <c r="G391" s="98"/>
      <c r="H391" s="98"/>
    </row>
    <row r="392" spans="1:8" x14ac:dyDescent="0.3">
      <c r="A392" s="9"/>
      <c r="B392" s="9"/>
      <c r="C392" s="9"/>
      <c r="D392" s="9"/>
      <c r="E392" s="98"/>
      <c r="F392" s="98"/>
      <c r="G392" s="98"/>
      <c r="H392" s="98"/>
    </row>
    <row r="393" spans="1:8" x14ac:dyDescent="0.3">
      <c r="A393" s="9"/>
      <c r="B393" s="9"/>
      <c r="C393" s="9"/>
      <c r="D393" s="9"/>
      <c r="E393" s="98"/>
      <c r="F393" s="98"/>
      <c r="G393" s="98"/>
      <c r="H393" s="98"/>
    </row>
    <row r="394" spans="1:8" x14ac:dyDescent="0.3">
      <c r="A394" s="9"/>
      <c r="B394" s="9"/>
      <c r="C394" s="9"/>
      <c r="D394" s="9"/>
      <c r="E394" s="98"/>
      <c r="F394" s="98"/>
      <c r="G394" s="98"/>
      <c r="H394" s="98"/>
    </row>
    <row r="395" spans="1:8" x14ac:dyDescent="0.3">
      <c r="A395" s="9"/>
      <c r="B395" s="9"/>
      <c r="C395" s="9"/>
      <c r="D395" s="9"/>
      <c r="E395" s="98"/>
      <c r="F395" s="98"/>
      <c r="G395" s="98"/>
      <c r="H395" s="98"/>
    </row>
    <row r="396" spans="1:8" x14ac:dyDescent="0.3">
      <c r="A396" s="9"/>
      <c r="B396" s="9"/>
      <c r="C396" s="9"/>
      <c r="D396" s="9"/>
      <c r="E396" s="98"/>
      <c r="F396" s="98"/>
      <c r="G396" s="98"/>
      <c r="H396" s="98"/>
    </row>
    <row r="397" spans="1:8" x14ac:dyDescent="0.3">
      <c r="A397" s="9"/>
      <c r="B397" s="9"/>
      <c r="C397" s="9"/>
      <c r="D397" s="9"/>
      <c r="E397" s="98"/>
      <c r="F397" s="98"/>
      <c r="G397" s="98"/>
      <c r="H397" s="98"/>
    </row>
    <row r="398" spans="1:8" x14ac:dyDescent="0.3">
      <c r="A398" s="9"/>
      <c r="B398" s="9"/>
      <c r="C398" s="9"/>
      <c r="D398" s="9"/>
      <c r="E398" s="98"/>
      <c r="F398" s="98"/>
      <c r="G398" s="98"/>
      <c r="H398" s="98"/>
    </row>
    <row r="399" spans="1:8" x14ac:dyDescent="0.3">
      <c r="A399" s="9"/>
      <c r="B399" s="9"/>
      <c r="C399" s="9"/>
      <c r="D399" s="9"/>
      <c r="E399" s="98"/>
      <c r="F399" s="98"/>
      <c r="G399" s="98"/>
      <c r="H399" s="98"/>
    </row>
    <row r="400" spans="1:8" x14ac:dyDescent="0.3">
      <c r="A400" s="9"/>
      <c r="B400" s="9"/>
      <c r="C400" s="9"/>
      <c r="D400" s="9"/>
      <c r="E400" s="98"/>
      <c r="F400" s="98"/>
      <c r="G400" s="98"/>
      <c r="H400" s="98"/>
    </row>
    <row r="401" spans="1:8" x14ac:dyDescent="0.3">
      <c r="A401" s="9"/>
      <c r="B401" s="9"/>
      <c r="C401" s="9"/>
      <c r="D401" s="9"/>
      <c r="E401" s="98"/>
      <c r="F401" s="98"/>
      <c r="G401" s="98"/>
      <c r="H401" s="98"/>
    </row>
    <row r="402" spans="1:8" x14ac:dyDescent="0.3">
      <c r="A402" s="9"/>
      <c r="B402" s="9"/>
      <c r="C402" s="9"/>
      <c r="D402" s="9"/>
      <c r="E402" s="98"/>
      <c r="F402" s="98"/>
      <c r="G402" s="98"/>
      <c r="H402" s="98"/>
    </row>
    <row r="403" spans="1:8" x14ac:dyDescent="0.3">
      <c r="A403" s="9"/>
      <c r="B403" s="9"/>
      <c r="C403" s="9"/>
      <c r="D403" s="9"/>
      <c r="E403" s="98"/>
      <c r="F403" s="98"/>
      <c r="G403" s="98"/>
      <c r="H403" s="98"/>
    </row>
    <row r="404" spans="1:8" x14ac:dyDescent="0.3">
      <c r="A404" s="9"/>
      <c r="B404" s="9"/>
      <c r="C404" s="9"/>
      <c r="D404" s="9"/>
      <c r="E404" s="98"/>
      <c r="F404" s="98"/>
      <c r="G404" s="98"/>
      <c r="H404" s="98"/>
    </row>
    <row r="405" spans="1:8" x14ac:dyDescent="0.3">
      <c r="A405" s="9"/>
      <c r="B405" s="9"/>
      <c r="C405" s="9"/>
      <c r="D405" s="9"/>
      <c r="E405" s="98"/>
      <c r="F405" s="98"/>
      <c r="G405" s="98"/>
      <c r="H405" s="98"/>
    </row>
    <row r="406" spans="1:8" x14ac:dyDescent="0.3">
      <c r="A406" s="9"/>
      <c r="B406" s="9"/>
      <c r="C406" s="9"/>
      <c r="D406" s="9"/>
      <c r="E406" s="98"/>
      <c r="F406" s="98"/>
      <c r="G406" s="98"/>
      <c r="H406" s="98"/>
    </row>
    <row r="407" spans="1:8" x14ac:dyDescent="0.3">
      <c r="A407" s="9"/>
      <c r="B407" s="9"/>
      <c r="C407" s="9"/>
      <c r="D407" s="9"/>
      <c r="E407" s="98"/>
      <c r="F407" s="98"/>
      <c r="G407" s="98"/>
      <c r="H407" s="98"/>
    </row>
    <row r="408" spans="1:8" x14ac:dyDescent="0.3">
      <c r="A408" s="9"/>
      <c r="B408" s="9"/>
      <c r="C408" s="9"/>
      <c r="D408" s="9"/>
      <c r="E408" s="98"/>
      <c r="F408" s="98"/>
      <c r="G408" s="98"/>
      <c r="H408" s="98"/>
    </row>
    <row r="409" spans="1:8" x14ac:dyDescent="0.3">
      <c r="A409" s="9"/>
      <c r="B409" s="9"/>
      <c r="C409" s="9"/>
      <c r="D409" s="9"/>
      <c r="E409" s="98"/>
      <c r="F409" s="98"/>
      <c r="G409" s="98"/>
      <c r="H409" s="98"/>
    </row>
    <row r="410" spans="1:8" x14ac:dyDescent="0.3">
      <c r="A410" s="9"/>
      <c r="B410" s="9"/>
      <c r="C410" s="9"/>
      <c r="D410" s="9"/>
      <c r="E410" s="98"/>
      <c r="F410" s="98"/>
      <c r="G410" s="98"/>
      <c r="H410" s="98"/>
    </row>
    <row r="411" spans="1:8" x14ac:dyDescent="0.3">
      <c r="A411" s="9"/>
      <c r="B411" s="9"/>
      <c r="C411" s="9"/>
      <c r="D411" s="9"/>
      <c r="E411" s="98"/>
      <c r="F411" s="98"/>
      <c r="G411" s="98"/>
      <c r="H411" s="98"/>
    </row>
    <row r="412" spans="1:8" x14ac:dyDescent="0.3">
      <c r="A412" s="9"/>
      <c r="B412" s="9"/>
      <c r="C412" s="9"/>
      <c r="D412" s="9"/>
      <c r="E412" s="98"/>
      <c r="F412" s="98"/>
      <c r="G412" s="98"/>
      <c r="H412" s="98"/>
    </row>
  </sheetData>
  <mergeCells count="8">
    <mergeCell ref="A1:H1"/>
    <mergeCell ref="A3:B3"/>
    <mergeCell ref="C3:C4"/>
    <mergeCell ref="D3:D4"/>
    <mergeCell ref="E3:E4"/>
    <mergeCell ref="F3:F4"/>
    <mergeCell ref="G3:G4"/>
    <mergeCell ref="H3:H4"/>
  </mergeCells>
  <phoneticPr fontId="5" type="noConversion"/>
  <pageMargins left="0.7" right="0.7" top="0.75" bottom="0.75" header="0.3" footer="0.3"/>
  <pageSetup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5A62E-2AA7-46F4-BFCD-AD493086E95F}">
  <dimension ref="A1:H412"/>
  <sheetViews>
    <sheetView zoomScale="80" zoomScaleNormal="80" workbookViewId="0">
      <pane ySplit="4" topLeftCell="A180" activePane="bottomLeft" state="frozen"/>
      <selection pane="bottomLeft" activeCell="G193" sqref="G193"/>
    </sheetView>
  </sheetViews>
  <sheetFormatPr defaultRowHeight="20.25" x14ac:dyDescent="0.3"/>
  <cols>
    <col min="1" max="1" width="20.7109375" style="1" customWidth="1"/>
    <col min="2" max="2" width="12.85546875" style="1" customWidth="1"/>
    <col min="3" max="3" width="4.28515625" style="1" customWidth="1"/>
    <col min="4" max="4" width="96.5703125" style="1" customWidth="1"/>
    <col min="5" max="5" width="40.28515625" style="1" customWidth="1"/>
    <col min="6" max="6" width="31.28515625" style="1" customWidth="1"/>
    <col min="7" max="7" width="35.85546875" style="1" customWidth="1"/>
    <col min="8" max="8" width="45.7109375" style="1" customWidth="1"/>
    <col min="9" max="16384" width="9.140625" style="1"/>
  </cols>
  <sheetData>
    <row r="1" spans="1:8" ht="30" hidden="1" x14ac:dyDescent="0.4">
      <c r="A1" s="109" t="s">
        <v>111</v>
      </c>
      <c r="B1" s="109"/>
      <c r="C1" s="109"/>
      <c r="D1" s="109"/>
      <c r="E1" s="109"/>
      <c r="F1" s="109"/>
      <c r="G1" s="109"/>
      <c r="H1" s="109"/>
    </row>
    <row r="2" spans="1:8" hidden="1" x14ac:dyDescent="0.3"/>
    <row r="3" spans="1:8" x14ac:dyDescent="0.3">
      <c r="A3" s="110" t="s">
        <v>1</v>
      </c>
      <c r="B3" s="110"/>
      <c r="C3" s="110" t="s">
        <v>4</v>
      </c>
      <c r="D3" s="110" t="s">
        <v>139</v>
      </c>
      <c r="E3" s="111" t="s">
        <v>283</v>
      </c>
      <c r="F3" s="111" t="s">
        <v>267</v>
      </c>
      <c r="G3" s="110" t="s">
        <v>141</v>
      </c>
      <c r="H3" s="110"/>
    </row>
    <row r="4" spans="1:8" x14ac:dyDescent="0.3">
      <c r="A4" s="4" t="s">
        <v>2</v>
      </c>
      <c r="B4" s="4" t="s">
        <v>3</v>
      </c>
      <c r="C4" s="110"/>
      <c r="D4" s="110"/>
      <c r="E4" s="111"/>
      <c r="F4" s="111"/>
      <c r="G4" s="110"/>
      <c r="H4" s="110"/>
    </row>
    <row r="5" spans="1:8" ht="30" customHeight="1" x14ac:dyDescent="0.3">
      <c r="A5" s="7" t="s">
        <v>169</v>
      </c>
      <c r="B5" s="8"/>
      <c r="C5" s="8"/>
      <c r="D5" s="31" t="s">
        <v>281</v>
      </c>
      <c r="E5" s="32" t="s">
        <v>282</v>
      </c>
      <c r="F5" s="48" t="s">
        <v>287</v>
      </c>
      <c r="G5" s="23" t="s">
        <v>159</v>
      </c>
      <c r="H5" s="9"/>
    </row>
    <row r="6" spans="1:8" ht="30" customHeight="1" x14ac:dyDescent="0.3">
      <c r="A6" s="7" t="s">
        <v>284</v>
      </c>
      <c r="B6" s="8"/>
      <c r="C6" s="8"/>
      <c r="D6" s="31" t="s">
        <v>285</v>
      </c>
      <c r="E6" s="7" t="s">
        <v>286</v>
      </c>
      <c r="F6" s="48" t="s">
        <v>288</v>
      </c>
      <c r="G6" s="23" t="s">
        <v>159</v>
      </c>
      <c r="H6" s="9"/>
    </row>
    <row r="7" spans="1:8" ht="30" customHeight="1" x14ac:dyDescent="0.3">
      <c r="A7" s="8"/>
      <c r="B7" s="8"/>
      <c r="C7" s="8"/>
      <c r="D7" s="31" t="s">
        <v>289</v>
      </c>
      <c r="E7" s="7" t="s">
        <v>290</v>
      </c>
      <c r="F7" s="48" t="s">
        <v>291</v>
      </c>
      <c r="G7" s="33" t="s">
        <v>292</v>
      </c>
      <c r="H7" s="9"/>
    </row>
    <row r="8" spans="1:8" ht="30" customHeight="1" x14ac:dyDescent="0.3">
      <c r="A8" s="8" t="s">
        <v>293</v>
      </c>
      <c r="B8" s="8"/>
      <c r="C8" s="8"/>
      <c r="D8" s="31" t="s">
        <v>294</v>
      </c>
      <c r="E8" s="7" t="s">
        <v>295</v>
      </c>
      <c r="F8" s="32">
        <v>46027</v>
      </c>
      <c r="G8" s="23" t="s">
        <v>296</v>
      </c>
      <c r="H8" s="9"/>
    </row>
    <row r="9" spans="1:8" ht="30" customHeight="1" x14ac:dyDescent="0.3">
      <c r="A9" s="8" t="s">
        <v>177</v>
      </c>
      <c r="B9" s="8"/>
      <c r="C9" s="8"/>
      <c r="D9" s="31" t="s">
        <v>297</v>
      </c>
      <c r="E9" s="32" t="s">
        <v>298</v>
      </c>
      <c r="F9" s="23"/>
      <c r="G9" s="23"/>
      <c r="H9" s="9"/>
    </row>
    <row r="10" spans="1:8" s="26" customFormat="1" ht="30" customHeight="1" x14ac:dyDescent="0.3">
      <c r="A10" s="14" t="s">
        <v>324</v>
      </c>
      <c r="B10" s="15"/>
      <c r="C10" s="8"/>
      <c r="D10" s="49" t="s">
        <v>325</v>
      </c>
      <c r="E10" s="34" t="s">
        <v>326</v>
      </c>
      <c r="F10" s="35"/>
      <c r="G10" s="24" t="s">
        <v>327</v>
      </c>
      <c r="H10" s="20"/>
    </row>
    <row r="11" spans="1:8" ht="30" customHeight="1" x14ac:dyDescent="0.3">
      <c r="A11" s="8" t="s">
        <v>381</v>
      </c>
      <c r="B11" s="8"/>
      <c r="C11" s="8"/>
      <c r="D11" s="31" t="s">
        <v>382</v>
      </c>
      <c r="E11" s="34" t="s">
        <v>383</v>
      </c>
      <c r="F11" s="35"/>
      <c r="G11" s="23" t="s">
        <v>384</v>
      </c>
      <c r="H11" s="9"/>
    </row>
    <row r="12" spans="1:8" ht="30" customHeight="1" x14ac:dyDescent="0.3">
      <c r="A12" s="8"/>
      <c r="B12" s="8"/>
      <c r="C12" s="8"/>
      <c r="D12" s="31" t="s">
        <v>385</v>
      </c>
      <c r="E12" s="7" t="s">
        <v>386</v>
      </c>
      <c r="F12" s="23"/>
      <c r="G12" s="23" t="s">
        <v>153</v>
      </c>
      <c r="H12" s="9"/>
    </row>
    <row r="13" spans="1:8" ht="30" customHeight="1" x14ac:dyDescent="0.3">
      <c r="A13" s="7"/>
      <c r="B13" s="8"/>
      <c r="C13" s="8"/>
      <c r="D13" s="31" t="s">
        <v>402</v>
      </c>
      <c r="E13" s="7" t="s">
        <v>403</v>
      </c>
      <c r="F13" s="23"/>
      <c r="G13" s="33" t="s">
        <v>165</v>
      </c>
      <c r="H13" s="9"/>
    </row>
    <row r="14" spans="1:8" ht="30" customHeight="1" x14ac:dyDescent="0.3">
      <c r="A14" s="8"/>
      <c r="B14" s="8"/>
      <c r="C14" s="8"/>
      <c r="D14" s="31" t="s">
        <v>404</v>
      </c>
      <c r="E14" s="7" t="s">
        <v>405</v>
      </c>
      <c r="F14" s="23"/>
      <c r="G14" s="33" t="s">
        <v>165</v>
      </c>
      <c r="H14" s="9"/>
    </row>
    <row r="15" spans="1:8" ht="30" customHeight="1" x14ac:dyDescent="0.3">
      <c r="A15" s="23" t="s">
        <v>492</v>
      </c>
      <c r="B15" s="8"/>
      <c r="C15" s="8"/>
      <c r="D15" s="31" t="s">
        <v>493</v>
      </c>
      <c r="E15" s="32" t="s">
        <v>494</v>
      </c>
      <c r="F15" s="23"/>
      <c r="G15" s="23" t="s">
        <v>495</v>
      </c>
      <c r="H15" s="9"/>
    </row>
    <row r="16" spans="1:8" ht="30" customHeight="1" x14ac:dyDescent="0.3">
      <c r="A16" s="8"/>
      <c r="B16" s="8"/>
      <c r="C16" s="8"/>
      <c r="D16" s="31" t="s">
        <v>497</v>
      </c>
      <c r="E16" s="7" t="s">
        <v>498</v>
      </c>
      <c r="F16" s="23"/>
      <c r="G16" s="23" t="s">
        <v>495</v>
      </c>
      <c r="H16" s="9"/>
    </row>
    <row r="17" spans="1:8" ht="30" customHeight="1" x14ac:dyDescent="0.3">
      <c r="A17" s="8"/>
      <c r="B17" s="8"/>
      <c r="C17" s="8"/>
      <c r="D17" s="31" t="s">
        <v>499</v>
      </c>
      <c r="E17" s="32" t="s">
        <v>383</v>
      </c>
      <c r="F17" s="23"/>
      <c r="G17" s="23" t="s">
        <v>495</v>
      </c>
      <c r="H17" s="9"/>
    </row>
    <row r="18" spans="1:8" ht="30" customHeight="1" x14ac:dyDescent="0.3">
      <c r="A18" s="8"/>
      <c r="B18" s="8"/>
      <c r="C18" s="8"/>
      <c r="D18" s="6" t="s">
        <v>500</v>
      </c>
      <c r="E18" s="32" t="s">
        <v>498</v>
      </c>
      <c r="F18" s="23"/>
      <c r="G18" s="23" t="s">
        <v>495</v>
      </c>
      <c r="H18" s="9"/>
    </row>
    <row r="19" spans="1:8" ht="30" customHeight="1" x14ac:dyDescent="0.3">
      <c r="A19" s="8" t="s">
        <v>514</v>
      </c>
      <c r="B19" s="8"/>
      <c r="C19" s="8"/>
      <c r="D19" s="31" t="s">
        <v>515</v>
      </c>
      <c r="E19" s="7" t="s">
        <v>516</v>
      </c>
      <c r="F19" s="23"/>
      <c r="G19" s="23" t="s">
        <v>495</v>
      </c>
      <c r="H19" s="9"/>
    </row>
    <row r="20" spans="1:8" ht="30" customHeight="1" x14ac:dyDescent="0.3">
      <c r="A20" s="8"/>
      <c r="B20" s="8"/>
      <c r="C20" s="8"/>
      <c r="D20" s="31" t="s">
        <v>527</v>
      </c>
      <c r="E20" s="32" t="s">
        <v>528</v>
      </c>
      <c r="F20" s="23"/>
      <c r="G20" s="23" t="s">
        <v>495</v>
      </c>
      <c r="H20" s="9"/>
    </row>
    <row r="21" spans="1:8" ht="30" customHeight="1" x14ac:dyDescent="0.3">
      <c r="A21" s="8"/>
      <c r="B21" s="8"/>
      <c r="C21" s="8"/>
      <c r="D21" s="6" t="s">
        <v>533</v>
      </c>
      <c r="E21" s="7" t="s">
        <v>534</v>
      </c>
      <c r="F21" s="23"/>
      <c r="G21" s="23" t="s">
        <v>495</v>
      </c>
      <c r="H21" s="9"/>
    </row>
    <row r="22" spans="1:8" ht="30" customHeight="1" x14ac:dyDescent="0.3">
      <c r="A22" s="8"/>
      <c r="B22" s="8"/>
      <c r="C22" s="8"/>
      <c r="D22" s="6" t="s">
        <v>535</v>
      </c>
      <c r="E22" s="7" t="s">
        <v>536</v>
      </c>
      <c r="F22" s="23"/>
      <c r="G22" s="23" t="s">
        <v>495</v>
      </c>
      <c r="H22" s="9"/>
    </row>
    <row r="23" spans="1:8" ht="30" customHeight="1" x14ac:dyDescent="0.3">
      <c r="A23" s="8"/>
      <c r="B23" s="8"/>
      <c r="C23" s="8"/>
      <c r="D23" s="6" t="s">
        <v>537</v>
      </c>
      <c r="E23" s="7" t="s">
        <v>538</v>
      </c>
      <c r="F23" s="23"/>
      <c r="G23" s="23" t="s">
        <v>495</v>
      </c>
      <c r="H23" s="9"/>
    </row>
    <row r="24" spans="1:8" ht="30" customHeight="1" x14ac:dyDescent="0.3">
      <c r="A24" s="8"/>
      <c r="B24" s="8"/>
      <c r="C24" s="8"/>
      <c r="D24" s="6"/>
      <c r="E24" s="7"/>
      <c r="F24" s="23"/>
      <c r="G24" s="23"/>
      <c r="H24" s="9"/>
    </row>
    <row r="25" spans="1:8" ht="30" customHeight="1" x14ac:dyDescent="0.3">
      <c r="A25" s="8" t="s">
        <v>547</v>
      </c>
      <c r="B25" s="8"/>
      <c r="C25" s="8"/>
      <c r="D25" s="31" t="s">
        <v>548</v>
      </c>
      <c r="E25" s="7"/>
      <c r="F25" s="23"/>
      <c r="G25" s="23" t="s">
        <v>495</v>
      </c>
      <c r="H25" s="9"/>
    </row>
    <row r="26" spans="1:8" ht="30" customHeight="1" x14ac:dyDescent="0.3">
      <c r="A26" s="8"/>
      <c r="B26" s="8"/>
      <c r="C26" s="8"/>
      <c r="D26" s="31" t="s">
        <v>552</v>
      </c>
      <c r="E26" s="32" t="s">
        <v>553</v>
      </c>
      <c r="F26" s="23"/>
      <c r="G26" s="23" t="s">
        <v>495</v>
      </c>
      <c r="H26" s="9"/>
    </row>
    <row r="27" spans="1:8" ht="30" customHeight="1" x14ac:dyDescent="0.3">
      <c r="A27" s="8"/>
      <c r="B27" s="8"/>
      <c r="C27" s="8"/>
      <c r="D27" s="6" t="s">
        <v>586</v>
      </c>
      <c r="E27" s="7" t="s">
        <v>587</v>
      </c>
      <c r="F27" s="23"/>
      <c r="G27" s="23" t="s">
        <v>495</v>
      </c>
      <c r="H27" s="9"/>
    </row>
    <row r="28" spans="1:8" ht="30" customHeight="1" x14ac:dyDescent="0.3">
      <c r="A28" s="8"/>
      <c r="B28" s="8"/>
      <c r="C28" s="8"/>
      <c r="D28" s="31" t="s">
        <v>588</v>
      </c>
      <c r="E28" s="7" t="s">
        <v>383</v>
      </c>
      <c r="F28" s="23"/>
      <c r="G28" s="23" t="s">
        <v>495</v>
      </c>
      <c r="H28" s="9"/>
    </row>
    <row r="29" spans="1:8" ht="30" customHeight="1" x14ac:dyDescent="0.3">
      <c r="A29" s="8"/>
      <c r="B29" s="8"/>
      <c r="C29" s="8"/>
      <c r="D29" s="31" t="s">
        <v>589</v>
      </c>
      <c r="E29" s="7"/>
      <c r="F29" s="21"/>
      <c r="G29" s="21"/>
      <c r="H29" s="9"/>
    </row>
    <row r="30" spans="1:8" ht="30" customHeight="1" x14ac:dyDescent="0.3">
      <c r="A30" s="8"/>
      <c r="B30" s="8"/>
      <c r="C30" s="8"/>
      <c r="D30" s="31" t="s">
        <v>590</v>
      </c>
      <c r="E30" s="7" t="s">
        <v>591</v>
      </c>
      <c r="F30" s="21"/>
      <c r="G30" s="21" t="s">
        <v>495</v>
      </c>
      <c r="H30" s="9"/>
    </row>
    <row r="31" spans="1:8" ht="30" customHeight="1" x14ac:dyDescent="0.3">
      <c r="A31" s="8" t="s">
        <v>621</v>
      </c>
      <c r="B31" s="8"/>
      <c r="C31" s="8"/>
      <c r="D31" s="31" t="s">
        <v>664</v>
      </c>
      <c r="E31" s="7" t="s">
        <v>587</v>
      </c>
      <c r="F31" s="21"/>
      <c r="G31" s="21" t="s">
        <v>495</v>
      </c>
      <c r="H31" s="9"/>
    </row>
    <row r="32" spans="1:8" ht="30" customHeight="1" x14ac:dyDescent="0.3">
      <c r="A32" s="8" t="s">
        <v>663</v>
      </c>
      <c r="B32" s="8"/>
      <c r="C32" s="8"/>
      <c r="D32" s="31" t="s">
        <v>684</v>
      </c>
      <c r="E32" s="8" t="s">
        <v>685</v>
      </c>
      <c r="F32" s="25"/>
      <c r="G32" s="25" t="s">
        <v>495</v>
      </c>
      <c r="H32" s="9"/>
    </row>
    <row r="33" spans="1:8" ht="30" customHeight="1" x14ac:dyDescent="0.3">
      <c r="A33" s="8" t="s">
        <v>763</v>
      </c>
      <c r="B33" s="8"/>
      <c r="C33" s="8"/>
      <c r="D33" s="31" t="s">
        <v>764</v>
      </c>
      <c r="E33" s="8"/>
      <c r="F33" s="21"/>
      <c r="G33" s="25" t="s">
        <v>495</v>
      </c>
      <c r="H33" s="9"/>
    </row>
    <row r="34" spans="1:8" ht="30" customHeight="1" x14ac:dyDescent="0.3">
      <c r="A34" s="8" t="s">
        <v>807</v>
      </c>
      <c r="B34" s="8"/>
      <c r="C34" s="8"/>
      <c r="D34" s="31" t="s">
        <v>821</v>
      </c>
      <c r="E34" s="8" t="s">
        <v>383</v>
      </c>
      <c r="F34" s="21"/>
      <c r="G34" s="21"/>
      <c r="H34" s="9"/>
    </row>
    <row r="35" spans="1:8" ht="30" customHeight="1" x14ac:dyDescent="0.3">
      <c r="A35" s="8"/>
      <c r="B35" s="8"/>
      <c r="C35" s="8"/>
      <c r="D35" s="31" t="s">
        <v>829</v>
      </c>
      <c r="E35" s="8" t="s">
        <v>2803</v>
      </c>
      <c r="F35" s="21"/>
      <c r="G35" s="21"/>
      <c r="H35" s="9"/>
    </row>
    <row r="36" spans="1:8" ht="30" customHeight="1" x14ac:dyDescent="0.3">
      <c r="A36" s="8" t="s">
        <v>856</v>
      </c>
      <c r="B36" s="8"/>
      <c r="C36" s="8"/>
      <c r="D36" s="31" t="s">
        <v>865</v>
      </c>
      <c r="E36" s="8" t="s">
        <v>866</v>
      </c>
      <c r="F36" s="21"/>
      <c r="G36" s="21"/>
      <c r="H36" s="9"/>
    </row>
    <row r="37" spans="1:8" ht="30" customHeight="1" x14ac:dyDescent="0.3">
      <c r="A37" s="8" t="s">
        <v>890</v>
      </c>
      <c r="B37" s="8"/>
      <c r="C37" s="8"/>
      <c r="D37" s="31" t="s">
        <v>891</v>
      </c>
      <c r="E37" s="8" t="s">
        <v>892</v>
      </c>
      <c r="F37" s="21"/>
      <c r="G37" s="21"/>
      <c r="H37" s="9"/>
    </row>
    <row r="38" spans="1:8" ht="30" customHeight="1" x14ac:dyDescent="0.3">
      <c r="A38" s="8" t="s">
        <v>983</v>
      </c>
      <c r="B38" s="8"/>
      <c r="C38" s="8"/>
      <c r="D38" s="31" t="s">
        <v>984</v>
      </c>
      <c r="E38" s="8" t="s">
        <v>985</v>
      </c>
      <c r="F38" s="21"/>
      <c r="G38" s="21"/>
      <c r="H38" s="9"/>
    </row>
    <row r="39" spans="1:8" ht="30" customHeight="1" x14ac:dyDescent="0.3">
      <c r="A39" s="8" t="s">
        <v>1015</v>
      </c>
      <c r="B39" s="8"/>
      <c r="C39" s="8"/>
      <c r="D39" s="31" t="s">
        <v>1016</v>
      </c>
      <c r="E39" s="8" t="s">
        <v>1017</v>
      </c>
      <c r="F39" s="21"/>
      <c r="G39" s="21"/>
      <c r="H39" s="9"/>
    </row>
    <row r="40" spans="1:8" ht="30" customHeight="1" x14ac:dyDescent="0.3">
      <c r="A40" s="8"/>
      <c r="B40" s="8"/>
      <c r="C40" s="8"/>
      <c r="D40" s="31" t="s">
        <v>1018</v>
      </c>
      <c r="E40" s="8" t="s">
        <v>1017</v>
      </c>
      <c r="F40" s="21"/>
      <c r="G40" s="21"/>
      <c r="H40" s="9"/>
    </row>
    <row r="41" spans="1:8" ht="30" customHeight="1" x14ac:dyDescent="0.3">
      <c r="A41" s="8"/>
      <c r="B41" s="8"/>
      <c r="C41" s="8"/>
      <c r="D41" s="31" t="s">
        <v>1031</v>
      </c>
      <c r="E41" s="8" t="s">
        <v>1032</v>
      </c>
      <c r="F41" s="21"/>
      <c r="G41" s="21"/>
      <c r="H41" s="9"/>
    </row>
    <row r="42" spans="1:8" ht="30" customHeight="1" x14ac:dyDescent="0.3">
      <c r="A42" s="8"/>
      <c r="B42" s="8"/>
      <c r="C42" s="8"/>
      <c r="D42" s="31" t="s">
        <v>1049</v>
      </c>
      <c r="E42" s="23" t="s">
        <v>1050</v>
      </c>
      <c r="F42" s="21"/>
      <c r="G42" s="21"/>
      <c r="H42" s="9"/>
    </row>
    <row r="43" spans="1:8" ht="30" customHeight="1" x14ac:dyDescent="0.3">
      <c r="A43" s="8" t="s">
        <v>1134</v>
      </c>
      <c r="B43" s="8"/>
      <c r="C43" s="8"/>
      <c r="D43" s="31" t="s">
        <v>1135</v>
      </c>
      <c r="E43" s="23" t="s">
        <v>1136</v>
      </c>
      <c r="F43" s="21"/>
      <c r="G43" s="21"/>
      <c r="H43" s="9"/>
    </row>
    <row r="44" spans="1:8" ht="30" customHeight="1" x14ac:dyDescent="0.3">
      <c r="A44" s="8"/>
      <c r="B44" s="8"/>
      <c r="C44" s="8"/>
      <c r="D44" s="31" t="s">
        <v>1143</v>
      </c>
      <c r="E44" s="8" t="s">
        <v>383</v>
      </c>
      <c r="F44" s="21"/>
      <c r="G44" s="21"/>
      <c r="H44" s="9"/>
    </row>
    <row r="45" spans="1:8" ht="30" customHeight="1" x14ac:dyDescent="0.3">
      <c r="A45" s="8"/>
      <c r="B45" s="8"/>
      <c r="C45" s="8"/>
      <c r="D45" s="31" t="s">
        <v>1158</v>
      </c>
      <c r="E45" s="8" t="s">
        <v>1159</v>
      </c>
      <c r="F45" s="21"/>
      <c r="G45" s="21"/>
      <c r="H45" s="9"/>
    </row>
    <row r="46" spans="1:8" ht="30" customHeight="1" x14ac:dyDescent="0.3">
      <c r="A46" s="8"/>
      <c r="B46" s="8"/>
      <c r="C46" s="8"/>
      <c r="D46" s="31" t="s">
        <v>1160</v>
      </c>
      <c r="E46" s="8" t="s">
        <v>383</v>
      </c>
      <c r="F46" s="21"/>
      <c r="G46" s="21"/>
      <c r="H46" s="9"/>
    </row>
    <row r="47" spans="1:8" ht="30" customHeight="1" x14ac:dyDescent="0.3">
      <c r="A47" s="8" t="s">
        <v>1179</v>
      </c>
      <c r="B47" s="8"/>
      <c r="C47" s="8"/>
      <c r="D47" s="31" t="s">
        <v>1180</v>
      </c>
      <c r="E47" s="8" t="s">
        <v>1181</v>
      </c>
      <c r="F47" s="21"/>
      <c r="G47" s="21"/>
      <c r="H47" s="9"/>
    </row>
    <row r="48" spans="1:8" ht="30" customHeight="1" x14ac:dyDescent="0.3">
      <c r="A48" s="8"/>
      <c r="B48" s="8"/>
      <c r="C48" s="8"/>
      <c r="D48" s="6" t="s">
        <v>1206</v>
      </c>
      <c r="E48" s="8" t="s">
        <v>1207</v>
      </c>
      <c r="F48" s="21"/>
      <c r="G48" s="21"/>
      <c r="H48" s="9"/>
    </row>
    <row r="49" spans="1:8" ht="30" customHeight="1" x14ac:dyDescent="0.3">
      <c r="A49" s="8" t="s">
        <v>1219</v>
      </c>
      <c r="B49" s="8"/>
      <c r="C49" s="8"/>
      <c r="D49" s="31" t="s">
        <v>1220</v>
      </c>
      <c r="E49" s="8" t="s">
        <v>1221</v>
      </c>
      <c r="F49" s="21"/>
      <c r="G49" s="21"/>
      <c r="H49" s="9"/>
    </row>
    <row r="50" spans="1:8" ht="30" customHeight="1" x14ac:dyDescent="0.3">
      <c r="A50" s="8" t="s">
        <v>1268</v>
      </c>
      <c r="B50" s="8"/>
      <c r="C50" s="8"/>
      <c r="D50" s="6" t="s">
        <v>1269</v>
      </c>
      <c r="E50" s="8" t="s">
        <v>383</v>
      </c>
      <c r="F50" s="21"/>
      <c r="G50" s="21"/>
      <c r="H50" s="9"/>
    </row>
    <row r="51" spans="1:8" ht="30" customHeight="1" x14ac:dyDescent="0.3">
      <c r="A51" s="8" t="s">
        <v>1268</v>
      </c>
      <c r="B51" s="8"/>
      <c r="C51" s="8"/>
      <c r="D51" s="6" t="s">
        <v>1282</v>
      </c>
      <c r="E51" s="8"/>
      <c r="F51" s="21"/>
      <c r="G51" s="21"/>
      <c r="H51" s="9"/>
    </row>
    <row r="52" spans="1:8" ht="30" customHeight="1" x14ac:dyDescent="0.3">
      <c r="A52" s="8" t="s">
        <v>1268</v>
      </c>
      <c r="B52" s="8"/>
      <c r="C52" s="8"/>
      <c r="D52" s="6" t="s">
        <v>1287</v>
      </c>
      <c r="E52" s="8" t="s">
        <v>1221</v>
      </c>
      <c r="F52" s="21"/>
      <c r="G52" s="21"/>
      <c r="H52" s="9"/>
    </row>
    <row r="53" spans="1:8" ht="30" customHeight="1" x14ac:dyDescent="0.3">
      <c r="A53" s="8" t="s">
        <v>1268</v>
      </c>
      <c r="B53" s="8"/>
      <c r="C53" s="8"/>
      <c r="D53" s="6" t="s">
        <v>1288</v>
      </c>
      <c r="E53" s="8" t="s">
        <v>1289</v>
      </c>
      <c r="F53" s="21"/>
      <c r="G53" s="21"/>
      <c r="H53" s="9"/>
    </row>
    <row r="54" spans="1:8" ht="30" customHeight="1" x14ac:dyDescent="0.3">
      <c r="A54" s="8" t="s">
        <v>1373</v>
      </c>
      <c r="B54" s="8"/>
      <c r="C54" s="8"/>
      <c r="D54" s="6" t="s">
        <v>1374</v>
      </c>
      <c r="E54" s="8"/>
      <c r="F54" s="21"/>
      <c r="G54" s="21"/>
      <c r="H54" s="9"/>
    </row>
    <row r="55" spans="1:8" ht="30" customHeight="1" x14ac:dyDescent="0.3">
      <c r="A55" s="8"/>
      <c r="B55" s="8"/>
      <c r="C55" s="8"/>
      <c r="D55" s="31" t="s">
        <v>1412</v>
      </c>
      <c r="E55" s="8" t="s">
        <v>830</v>
      </c>
      <c r="F55" s="21"/>
      <c r="G55" s="21"/>
      <c r="H55" s="9"/>
    </row>
    <row r="56" spans="1:8" ht="30" customHeight="1" x14ac:dyDescent="0.3">
      <c r="A56" s="8" t="s">
        <v>1475</v>
      </c>
      <c r="B56" s="8"/>
      <c r="C56" s="8"/>
      <c r="D56" s="31" t="s">
        <v>1476</v>
      </c>
      <c r="E56" s="8" t="s">
        <v>1477</v>
      </c>
      <c r="F56" s="21"/>
      <c r="G56" s="21"/>
      <c r="H56" s="9"/>
    </row>
    <row r="57" spans="1:8" ht="30" customHeight="1" x14ac:dyDescent="0.3">
      <c r="A57" s="8" t="s">
        <v>1401</v>
      </c>
      <c r="B57" s="8"/>
      <c r="C57" s="8"/>
      <c r="D57" s="31" t="s">
        <v>1523</v>
      </c>
      <c r="E57" s="8" t="s">
        <v>383</v>
      </c>
      <c r="F57" s="21"/>
      <c r="G57" s="21"/>
      <c r="H57" s="9"/>
    </row>
    <row r="58" spans="1:8" ht="30" customHeight="1" x14ac:dyDescent="0.3">
      <c r="A58" s="8" t="s">
        <v>1525</v>
      </c>
      <c r="B58" s="8"/>
      <c r="C58" s="8"/>
      <c r="D58" s="6" t="s">
        <v>1527</v>
      </c>
      <c r="E58" s="8" t="s">
        <v>1526</v>
      </c>
      <c r="F58" s="21"/>
      <c r="G58" s="21"/>
      <c r="H58" s="9"/>
    </row>
    <row r="59" spans="1:8" ht="30" customHeight="1" x14ac:dyDescent="0.3">
      <c r="A59" s="8" t="s">
        <v>1525</v>
      </c>
      <c r="B59" s="8"/>
      <c r="C59" s="8"/>
      <c r="D59" s="6" t="s">
        <v>1541</v>
      </c>
      <c r="E59" s="8" t="s">
        <v>830</v>
      </c>
      <c r="F59" s="21"/>
      <c r="G59" s="21"/>
      <c r="H59" s="9"/>
    </row>
    <row r="60" spans="1:8" ht="30" customHeight="1" x14ac:dyDescent="0.3">
      <c r="A60" s="8" t="s">
        <v>1525</v>
      </c>
      <c r="B60" s="8"/>
      <c r="C60" s="8"/>
      <c r="D60" s="6" t="s">
        <v>1542</v>
      </c>
      <c r="E60" s="8" t="s">
        <v>830</v>
      </c>
      <c r="F60" s="21"/>
      <c r="G60" s="21"/>
      <c r="H60" s="9"/>
    </row>
    <row r="61" spans="1:8" ht="30" customHeight="1" x14ac:dyDescent="0.3">
      <c r="A61" s="8" t="s">
        <v>1547</v>
      </c>
      <c r="B61" s="8"/>
      <c r="C61" s="8"/>
      <c r="D61" s="31" t="s">
        <v>1548</v>
      </c>
      <c r="E61" s="8" t="s">
        <v>1549</v>
      </c>
      <c r="F61" s="21"/>
      <c r="G61" s="21"/>
      <c r="H61" s="9"/>
    </row>
    <row r="62" spans="1:8" ht="30" customHeight="1" x14ac:dyDescent="0.3">
      <c r="A62" s="8"/>
      <c r="B62" s="8"/>
      <c r="C62" s="8"/>
      <c r="D62" s="31" t="s">
        <v>1550</v>
      </c>
      <c r="E62" s="8" t="s">
        <v>383</v>
      </c>
      <c r="F62" s="25"/>
      <c r="G62" s="25"/>
      <c r="H62" s="9"/>
    </row>
    <row r="63" spans="1:8" ht="30" customHeight="1" x14ac:dyDescent="0.3">
      <c r="A63" s="8"/>
      <c r="B63" s="8"/>
      <c r="C63" s="8"/>
      <c r="D63" s="31" t="s">
        <v>1577</v>
      </c>
      <c r="E63" s="8" t="s">
        <v>403</v>
      </c>
      <c r="F63" s="25"/>
      <c r="G63" s="25"/>
      <c r="H63" s="9"/>
    </row>
    <row r="64" spans="1:8" ht="30" customHeight="1" x14ac:dyDescent="0.3">
      <c r="A64" s="8"/>
      <c r="B64" s="8"/>
      <c r="C64" s="8"/>
      <c r="D64" s="6" t="s">
        <v>1586</v>
      </c>
      <c r="E64" s="8" t="s">
        <v>830</v>
      </c>
      <c r="F64" s="21"/>
      <c r="G64" s="21"/>
      <c r="H64" s="9"/>
    </row>
    <row r="65" spans="1:8" ht="30" customHeight="1" x14ac:dyDescent="0.3">
      <c r="A65" s="8" t="s">
        <v>1623</v>
      </c>
      <c r="B65" s="8"/>
      <c r="C65" s="8"/>
      <c r="D65" s="31" t="s">
        <v>1690</v>
      </c>
      <c r="E65" s="8" t="s">
        <v>407</v>
      </c>
      <c r="F65" s="21"/>
      <c r="G65" s="21"/>
      <c r="H65" s="9"/>
    </row>
    <row r="66" spans="1:8" ht="30" customHeight="1" x14ac:dyDescent="0.3">
      <c r="A66" s="8" t="s">
        <v>1724</v>
      </c>
      <c r="B66" s="8"/>
      <c r="C66" s="8"/>
      <c r="D66" s="31" t="s">
        <v>1728</v>
      </c>
      <c r="E66" s="8" t="s">
        <v>1729</v>
      </c>
      <c r="F66" s="21"/>
      <c r="G66" s="21"/>
      <c r="H66" s="9"/>
    </row>
    <row r="67" spans="1:8" ht="30" customHeight="1" x14ac:dyDescent="0.3">
      <c r="A67" s="8" t="s">
        <v>1571</v>
      </c>
      <c r="B67" s="8"/>
      <c r="C67" s="8"/>
      <c r="D67" s="31" t="s">
        <v>1747</v>
      </c>
      <c r="E67" s="23" t="s">
        <v>1748</v>
      </c>
      <c r="F67" s="21"/>
      <c r="G67" s="21"/>
      <c r="H67" s="9"/>
    </row>
    <row r="68" spans="1:8" ht="30" customHeight="1" x14ac:dyDescent="0.3">
      <c r="A68" s="8" t="s">
        <v>1744</v>
      </c>
      <c r="B68" s="8"/>
      <c r="C68" s="8"/>
      <c r="D68" s="31" t="s">
        <v>1800</v>
      </c>
      <c r="E68" s="8" t="s">
        <v>386</v>
      </c>
      <c r="F68" s="21"/>
      <c r="G68" s="21"/>
      <c r="H68" s="9"/>
    </row>
    <row r="69" spans="1:8" ht="30" customHeight="1" x14ac:dyDescent="0.3">
      <c r="A69" s="8"/>
      <c r="B69" s="8"/>
      <c r="C69" s="8"/>
      <c r="D69" s="31" t="s">
        <v>1807</v>
      </c>
      <c r="E69" s="8" t="s">
        <v>386</v>
      </c>
      <c r="F69" s="21"/>
      <c r="G69" s="21"/>
      <c r="H69" s="9"/>
    </row>
    <row r="70" spans="1:8" ht="30" customHeight="1" x14ac:dyDescent="0.3">
      <c r="A70" s="8"/>
      <c r="B70" s="8"/>
      <c r="C70" s="8"/>
      <c r="D70" s="31" t="s">
        <v>1817</v>
      </c>
      <c r="E70" s="23" t="s">
        <v>407</v>
      </c>
      <c r="F70" s="21"/>
      <c r="G70" s="21"/>
      <c r="H70" s="9"/>
    </row>
    <row r="71" spans="1:8" ht="30" customHeight="1" x14ac:dyDescent="0.3">
      <c r="A71" s="8" t="s">
        <v>1744</v>
      </c>
      <c r="B71" s="8"/>
      <c r="C71" s="8"/>
      <c r="D71" s="31" t="s">
        <v>1836</v>
      </c>
      <c r="E71" s="8" t="s">
        <v>1289</v>
      </c>
      <c r="F71" s="21"/>
      <c r="G71" s="21"/>
      <c r="H71" s="9"/>
    </row>
    <row r="72" spans="1:8" ht="30" customHeight="1" x14ac:dyDescent="0.3">
      <c r="A72" s="8" t="s">
        <v>1744</v>
      </c>
      <c r="B72" s="8"/>
      <c r="C72" s="8"/>
      <c r="D72" s="31" t="s">
        <v>1837</v>
      </c>
      <c r="E72" s="23" t="s">
        <v>1838</v>
      </c>
      <c r="F72" s="21"/>
      <c r="G72" s="21"/>
      <c r="H72" s="9"/>
    </row>
    <row r="73" spans="1:8" ht="30" customHeight="1" x14ac:dyDescent="0.3">
      <c r="A73" s="8" t="s">
        <v>1449</v>
      </c>
      <c r="B73" s="8"/>
      <c r="C73" s="8"/>
      <c r="D73" s="31" t="s">
        <v>1845</v>
      </c>
      <c r="E73" s="23" t="s">
        <v>1846</v>
      </c>
      <c r="F73" s="25"/>
      <c r="G73" s="25"/>
      <c r="H73" s="9"/>
    </row>
    <row r="74" spans="1:8" ht="30" customHeight="1" x14ac:dyDescent="0.3">
      <c r="A74" s="8" t="s">
        <v>1808</v>
      </c>
      <c r="B74" s="8"/>
      <c r="C74" s="8"/>
      <c r="D74" s="31" t="s">
        <v>1850</v>
      </c>
      <c r="E74" s="8" t="s">
        <v>830</v>
      </c>
      <c r="F74" s="21"/>
      <c r="G74" s="21"/>
      <c r="H74" s="9"/>
    </row>
    <row r="75" spans="1:8" ht="30" customHeight="1" x14ac:dyDescent="0.3">
      <c r="A75" s="8" t="s">
        <v>1884</v>
      </c>
      <c r="B75" s="8"/>
      <c r="C75" s="8"/>
      <c r="D75" s="31" t="s">
        <v>1888</v>
      </c>
      <c r="E75" s="8" t="s">
        <v>386</v>
      </c>
      <c r="F75" s="25"/>
      <c r="G75" s="25"/>
      <c r="H75" s="9"/>
    </row>
    <row r="76" spans="1:8" ht="30" customHeight="1" x14ac:dyDescent="0.3">
      <c r="A76" s="8"/>
      <c r="B76" s="8"/>
      <c r="C76" s="8"/>
      <c r="D76" s="31" t="s">
        <v>1921</v>
      </c>
      <c r="E76" s="8" t="s">
        <v>685</v>
      </c>
      <c r="F76" s="21"/>
      <c r="G76" s="21"/>
      <c r="H76" s="9"/>
    </row>
    <row r="77" spans="1:8" ht="30" customHeight="1" x14ac:dyDescent="0.3">
      <c r="A77" s="8"/>
      <c r="B77" s="8"/>
      <c r="C77" s="8"/>
      <c r="D77" s="6" t="s">
        <v>1939</v>
      </c>
      <c r="E77" s="8" t="s">
        <v>1940</v>
      </c>
      <c r="F77" s="21"/>
      <c r="G77" s="21"/>
      <c r="H77" s="9"/>
    </row>
    <row r="78" spans="1:8" ht="30" customHeight="1" x14ac:dyDescent="0.3">
      <c r="A78" s="8" t="s">
        <v>1983</v>
      </c>
      <c r="B78" s="8"/>
      <c r="C78" s="8"/>
      <c r="D78" s="6" t="s">
        <v>1990</v>
      </c>
      <c r="E78" s="23" t="s">
        <v>1846</v>
      </c>
      <c r="F78" s="21"/>
      <c r="G78" s="21"/>
      <c r="H78" s="9"/>
    </row>
    <row r="79" spans="1:8" ht="30" customHeight="1" x14ac:dyDescent="0.3">
      <c r="A79" s="8" t="s">
        <v>2008</v>
      </c>
      <c r="B79" s="8"/>
      <c r="C79" s="8"/>
      <c r="D79" s="31" t="s">
        <v>2065</v>
      </c>
      <c r="E79" s="8" t="s">
        <v>1477</v>
      </c>
      <c r="F79" s="21" t="s">
        <v>2066</v>
      </c>
      <c r="G79" s="21"/>
      <c r="H79" s="9"/>
    </row>
    <row r="80" spans="1:8" ht="30" customHeight="1" x14ac:dyDescent="0.3">
      <c r="A80" s="8"/>
      <c r="B80" s="8"/>
      <c r="C80" s="8"/>
      <c r="D80" s="31" t="s">
        <v>2083</v>
      </c>
      <c r="E80" s="8" t="s">
        <v>403</v>
      </c>
      <c r="F80" s="21"/>
      <c r="G80" s="21"/>
      <c r="H80" s="9"/>
    </row>
    <row r="81" spans="1:8" ht="30" customHeight="1" x14ac:dyDescent="0.3">
      <c r="A81" s="8"/>
      <c r="B81" s="8"/>
      <c r="C81" s="8"/>
      <c r="D81" s="6" t="s">
        <v>2091</v>
      </c>
      <c r="E81" s="8" t="s">
        <v>403</v>
      </c>
      <c r="F81" s="21"/>
      <c r="G81" s="21"/>
      <c r="H81" s="9"/>
    </row>
    <row r="82" spans="1:8" ht="30" customHeight="1" x14ac:dyDescent="0.3">
      <c r="A82" s="8"/>
      <c r="B82" s="8"/>
      <c r="C82" s="8"/>
      <c r="D82" s="31" t="s">
        <v>2100</v>
      </c>
      <c r="E82" s="23" t="s">
        <v>1846</v>
      </c>
      <c r="F82" s="21"/>
      <c r="G82" s="21"/>
      <c r="H82" s="9"/>
    </row>
    <row r="83" spans="1:8" ht="30" customHeight="1" x14ac:dyDescent="0.3">
      <c r="A83" s="8" t="s">
        <v>1980</v>
      </c>
      <c r="B83" s="8"/>
      <c r="C83" s="8"/>
      <c r="D83" s="31" t="s">
        <v>2112</v>
      </c>
      <c r="E83" s="8" t="s">
        <v>1017</v>
      </c>
      <c r="F83" s="21"/>
      <c r="G83" s="21"/>
      <c r="H83" s="9"/>
    </row>
    <row r="84" spans="1:8" ht="30" customHeight="1" x14ac:dyDescent="0.3">
      <c r="A84" s="8"/>
      <c r="B84" s="8"/>
      <c r="C84" s="8"/>
      <c r="D84" s="31" t="s">
        <v>2113</v>
      </c>
      <c r="E84" s="8" t="s">
        <v>830</v>
      </c>
      <c r="F84" s="21"/>
      <c r="G84" s="21"/>
      <c r="H84" s="9"/>
    </row>
    <row r="85" spans="1:8" ht="30" customHeight="1" x14ac:dyDescent="0.3">
      <c r="A85" s="8" t="s">
        <v>2011</v>
      </c>
      <c r="B85" s="8"/>
      <c r="C85" s="8"/>
      <c r="D85" s="31" t="s">
        <v>2119</v>
      </c>
      <c r="E85" s="23" t="s">
        <v>2120</v>
      </c>
      <c r="F85" s="21" t="s">
        <v>407</v>
      </c>
      <c r="G85" s="21"/>
      <c r="H85" s="9"/>
    </row>
    <row r="86" spans="1:8" ht="30" customHeight="1" x14ac:dyDescent="0.3">
      <c r="A86" s="8"/>
      <c r="B86" s="8"/>
      <c r="C86" s="8"/>
      <c r="D86" s="6" t="s">
        <v>2121</v>
      </c>
      <c r="E86" s="8" t="s">
        <v>830</v>
      </c>
      <c r="F86" s="21"/>
      <c r="G86" s="21"/>
      <c r="H86" s="9"/>
    </row>
    <row r="87" spans="1:8" ht="30" customHeight="1" x14ac:dyDescent="0.3">
      <c r="A87" s="8"/>
      <c r="B87" s="8"/>
      <c r="C87" s="8"/>
      <c r="D87" s="6" t="s">
        <v>2141</v>
      </c>
      <c r="E87" s="8" t="s">
        <v>2142</v>
      </c>
      <c r="F87" s="21"/>
      <c r="G87" s="21"/>
      <c r="H87" s="9"/>
    </row>
    <row r="88" spans="1:8" ht="30" customHeight="1" x14ac:dyDescent="0.3">
      <c r="A88" s="8"/>
      <c r="B88" s="8"/>
      <c r="C88" s="8"/>
      <c r="D88" s="31" t="s">
        <v>2143</v>
      </c>
      <c r="E88" s="8" t="s">
        <v>2144</v>
      </c>
      <c r="F88" s="21"/>
      <c r="G88" s="21"/>
      <c r="H88" s="9"/>
    </row>
    <row r="89" spans="1:8" ht="30" customHeight="1" x14ac:dyDescent="0.3">
      <c r="A89" s="8"/>
      <c r="B89" s="8"/>
      <c r="C89" s="8"/>
      <c r="D89" s="31" t="s">
        <v>2152</v>
      </c>
      <c r="E89" s="8" t="s">
        <v>2151</v>
      </c>
      <c r="F89" s="21"/>
      <c r="G89" s="21"/>
      <c r="H89" s="9"/>
    </row>
    <row r="90" spans="1:8" ht="30" customHeight="1" x14ac:dyDescent="0.3">
      <c r="A90" s="8" t="s">
        <v>2161</v>
      </c>
      <c r="B90" s="8"/>
      <c r="C90" s="8"/>
      <c r="D90" s="31" t="s">
        <v>2162</v>
      </c>
      <c r="E90" s="8" t="s">
        <v>1159</v>
      </c>
      <c r="F90" s="21"/>
      <c r="G90" s="21"/>
      <c r="H90" s="9"/>
    </row>
    <row r="91" spans="1:8" ht="30" customHeight="1" x14ac:dyDescent="0.3">
      <c r="A91" s="8"/>
      <c r="B91" s="8"/>
      <c r="C91" s="8"/>
      <c r="D91" s="31" t="s">
        <v>2163</v>
      </c>
      <c r="E91" s="8" t="s">
        <v>2164</v>
      </c>
      <c r="F91" s="21"/>
      <c r="G91" s="21"/>
      <c r="H91" s="9"/>
    </row>
    <row r="92" spans="1:8" ht="30" customHeight="1" x14ac:dyDescent="0.3">
      <c r="A92" s="8" t="s">
        <v>2081</v>
      </c>
      <c r="B92" s="8"/>
      <c r="C92" s="8"/>
      <c r="D92" s="31" t="s">
        <v>2214</v>
      </c>
      <c r="E92" s="8" t="s">
        <v>830</v>
      </c>
      <c r="F92" s="21"/>
      <c r="G92" s="21"/>
      <c r="H92" s="9"/>
    </row>
    <row r="93" spans="1:8" ht="30" customHeight="1" x14ac:dyDescent="0.3">
      <c r="A93" s="8"/>
      <c r="B93" s="8"/>
      <c r="C93" s="8"/>
      <c r="D93" s="31" t="s">
        <v>2215</v>
      </c>
      <c r="E93" s="8" t="s">
        <v>1197</v>
      </c>
      <c r="F93" s="21"/>
      <c r="G93" s="21"/>
      <c r="H93" s="9"/>
    </row>
    <row r="94" spans="1:8" ht="30" customHeight="1" x14ac:dyDescent="0.3">
      <c r="A94" s="8"/>
      <c r="B94" s="8"/>
      <c r="C94" s="8"/>
      <c r="D94" s="31" t="s">
        <v>2226</v>
      </c>
      <c r="E94" s="8" t="s">
        <v>1197</v>
      </c>
      <c r="F94" s="21"/>
      <c r="G94" s="21"/>
      <c r="H94" s="9"/>
    </row>
    <row r="95" spans="1:8" ht="30" customHeight="1" x14ac:dyDescent="0.3">
      <c r="A95" s="8"/>
      <c r="B95" s="8"/>
      <c r="C95" s="8"/>
      <c r="D95" s="31" t="s">
        <v>2237</v>
      </c>
      <c r="E95" s="8"/>
      <c r="F95" s="21"/>
      <c r="G95" s="21"/>
      <c r="H95" s="9"/>
    </row>
    <row r="96" spans="1:8" ht="30" customHeight="1" x14ac:dyDescent="0.3">
      <c r="A96" s="8" t="s">
        <v>2007</v>
      </c>
      <c r="B96" s="8"/>
      <c r="C96" s="8"/>
      <c r="D96" s="31" t="s">
        <v>2312</v>
      </c>
      <c r="E96" s="8" t="s">
        <v>2313</v>
      </c>
      <c r="F96" s="25" t="s">
        <v>2314</v>
      </c>
      <c r="G96" s="21"/>
      <c r="H96" s="9"/>
    </row>
    <row r="97" spans="1:8" ht="30" customHeight="1" x14ac:dyDescent="0.3">
      <c r="A97" s="8" t="s">
        <v>2009</v>
      </c>
      <c r="B97" s="8"/>
      <c r="C97" s="8"/>
      <c r="D97" s="31" t="s">
        <v>2346</v>
      </c>
      <c r="E97" s="8" t="s">
        <v>383</v>
      </c>
      <c r="F97" s="21" t="s">
        <v>2344</v>
      </c>
      <c r="G97" s="21"/>
      <c r="H97" s="9"/>
    </row>
    <row r="98" spans="1:8" ht="30" customHeight="1" x14ac:dyDescent="0.3">
      <c r="A98" s="8"/>
      <c r="B98" s="8"/>
      <c r="C98" s="8"/>
      <c r="D98" s="6" t="s">
        <v>2348</v>
      </c>
      <c r="E98" s="8" t="s">
        <v>2349</v>
      </c>
      <c r="F98" s="21" t="s">
        <v>2066</v>
      </c>
      <c r="G98" s="21"/>
      <c r="H98" s="9"/>
    </row>
    <row r="99" spans="1:8" ht="30" customHeight="1" x14ac:dyDescent="0.3">
      <c r="A99" s="8" t="s">
        <v>2386</v>
      </c>
      <c r="B99" s="3"/>
      <c r="C99" s="8"/>
      <c r="D99" s="31" t="s">
        <v>2436</v>
      </c>
      <c r="E99" s="8" t="s">
        <v>2437</v>
      </c>
      <c r="F99" s="21" t="s">
        <v>2438</v>
      </c>
      <c r="G99" s="21"/>
      <c r="H99" s="9"/>
    </row>
    <row r="100" spans="1:8" ht="30" customHeight="1" x14ac:dyDescent="0.3">
      <c r="A100" s="5"/>
      <c r="B100" s="3"/>
      <c r="C100" s="8"/>
      <c r="D100" s="31" t="s">
        <v>2444</v>
      </c>
      <c r="E100" s="8" t="s">
        <v>2445</v>
      </c>
      <c r="F100" s="21"/>
      <c r="G100" s="21"/>
      <c r="H100" s="9"/>
    </row>
    <row r="101" spans="1:8" ht="30" customHeight="1" x14ac:dyDescent="0.3">
      <c r="A101" s="5"/>
      <c r="B101" s="3"/>
      <c r="C101" s="8"/>
      <c r="D101" s="31" t="s">
        <v>2446</v>
      </c>
      <c r="E101" s="8" t="s">
        <v>2447</v>
      </c>
      <c r="F101" s="21" t="s">
        <v>2448</v>
      </c>
      <c r="G101" s="21"/>
      <c r="H101" s="9"/>
    </row>
    <row r="102" spans="1:8" ht="30" customHeight="1" x14ac:dyDescent="0.3">
      <c r="A102" s="5" t="s">
        <v>2304</v>
      </c>
      <c r="B102" s="3"/>
      <c r="C102" s="8"/>
      <c r="D102" s="31" t="s">
        <v>2462</v>
      </c>
      <c r="E102" s="8" t="s">
        <v>1940</v>
      </c>
      <c r="F102" s="21"/>
      <c r="G102" s="21"/>
      <c r="H102" s="9"/>
    </row>
    <row r="103" spans="1:8" ht="30" customHeight="1" x14ac:dyDescent="0.3">
      <c r="A103" s="5"/>
      <c r="B103" s="3"/>
      <c r="C103" s="8"/>
      <c r="D103" s="31" t="s">
        <v>2464</v>
      </c>
      <c r="E103" s="8" t="s">
        <v>1477</v>
      </c>
      <c r="F103" s="21"/>
      <c r="G103" s="21"/>
      <c r="H103" s="9"/>
    </row>
    <row r="104" spans="1:8" ht="30" customHeight="1" x14ac:dyDescent="0.3">
      <c r="A104" s="5"/>
      <c r="B104" s="3"/>
      <c r="C104" s="8"/>
      <c r="D104" s="31" t="s">
        <v>2481</v>
      </c>
      <c r="E104" s="23" t="s">
        <v>2482</v>
      </c>
      <c r="F104" s="21"/>
      <c r="G104" s="21"/>
      <c r="H104" s="9"/>
    </row>
    <row r="105" spans="1:8" ht="30" customHeight="1" x14ac:dyDescent="0.3">
      <c r="A105" s="5" t="s">
        <v>2526</v>
      </c>
      <c r="B105" s="3"/>
      <c r="C105" s="8"/>
      <c r="D105" s="31" t="s">
        <v>2541</v>
      </c>
      <c r="E105" s="8"/>
      <c r="F105" s="21"/>
      <c r="G105" s="21"/>
      <c r="H105" s="9"/>
    </row>
    <row r="106" spans="1:8" ht="30" customHeight="1" x14ac:dyDescent="0.3">
      <c r="A106" s="5"/>
      <c r="B106" s="3"/>
      <c r="C106" s="8"/>
      <c r="D106" s="31" t="s">
        <v>2542</v>
      </c>
      <c r="E106" s="8" t="s">
        <v>2445</v>
      </c>
      <c r="F106" s="21"/>
      <c r="G106" s="21"/>
      <c r="H106" s="9"/>
    </row>
    <row r="107" spans="1:8" ht="30" customHeight="1" x14ac:dyDescent="0.3">
      <c r="A107" s="5"/>
      <c r="B107" s="3"/>
      <c r="C107" s="8"/>
      <c r="D107" s="31" t="s">
        <v>2565</v>
      </c>
      <c r="E107" s="8" t="s">
        <v>383</v>
      </c>
      <c r="F107" s="21"/>
      <c r="G107" s="21"/>
      <c r="H107" s="9"/>
    </row>
    <row r="108" spans="1:8" ht="30" customHeight="1" x14ac:dyDescent="0.3">
      <c r="A108" s="5" t="s">
        <v>2552</v>
      </c>
      <c r="B108" s="17"/>
      <c r="C108" s="8"/>
      <c r="D108" s="17" t="s">
        <v>2595</v>
      </c>
      <c r="E108" s="8" t="s">
        <v>2596</v>
      </c>
      <c r="F108" s="21"/>
      <c r="G108" s="21"/>
      <c r="H108" s="9"/>
    </row>
    <row r="109" spans="1:8" ht="30" customHeight="1" x14ac:dyDescent="0.3">
      <c r="A109" s="5"/>
      <c r="B109" s="3"/>
      <c r="C109" s="8"/>
      <c r="D109" s="31" t="s">
        <v>2597</v>
      </c>
      <c r="E109" s="8" t="s">
        <v>2598</v>
      </c>
      <c r="F109" s="21"/>
      <c r="G109" s="21"/>
      <c r="H109" s="9"/>
    </row>
    <row r="110" spans="1:8" ht="30" customHeight="1" x14ac:dyDescent="0.3">
      <c r="A110" s="5" t="s">
        <v>2518</v>
      </c>
      <c r="B110" s="3"/>
      <c r="C110" s="8"/>
      <c r="D110" s="31" t="s">
        <v>2643</v>
      </c>
      <c r="E110" s="8" t="s">
        <v>1940</v>
      </c>
      <c r="F110" s="21"/>
      <c r="G110" s="21"/>
      <c r="H110" s="9"/>
    </row>
    <row r="111" spans="1:8" ht="30" customHeight="1" x14ac:dyDescent="0.3">
      <c r="A111" s="5"/>
      <c r="B111" s="3"/>
      <c r="C111" s="8"/>
      <c r="D111" s="31" t="s">
        <v>2675</v>
      </c>
      <c r="E111" s="8" t="s">
        <v>2164</v>
      </c>
      <c r="F111" s="21"/>
      <c r="G111" s="21"/>
      <c r="H111" s="9"/>
    </row>
    <row r="112" spans="1:8" ht="30" customHeight="1" x14ac:dyDescent="0.3">
      <c r="A112" s="5" t="s">
        <v>2771</v>
      </c>
      <c r="B112" s="3"/>
      <c r="C112" s="8"/>
      <c r="D112" s="31" t="s">
        <v>2804</v>
      </c>
      <c r="E112" s="8" t="s">
        <v>383</v>
      </c>
      <c r="F112" s="21"/>
      <c r="G112" s="21"/>
      <c r="H112" s="9"/>
    </row>
    <row r="113" spans="1:8" ht="30" customHeight="1" x14ac:dyDescent="0.3">
      <c r="A113" s="5" t="s">
        <v>2710</v>
      </c>
      <c r="B113" s="3"/>
      <c r="C113" s="8"/>
      <c r="D113" s="31" t="s">
        <v>2827</v>
      </c>
      <c r="E113" s="8" t="s">
        <v>2803</v>
      </c>
      <c r="F113" s="21"/>
      <c r="G113" s="21"/>
      <c r="H113" s="9"/>
    </row>
    <row r="114" spans="1:8" ht="30" customHeight="1" x14ac:dyDescent="0.3">
      <c r="A114" s="5" t="s">
        <v>2847</v>
      </c>
      <c r="B114" s="3"/>
      <c r="C114" s="8"/>
      <c r="D114" s="31" t="s">
        <v>2860</v>
      </c>
      <c r="E114" s="8" t="s">
        <v>1595</v>
      </c>
      <c r="F114" s="21"/>
      <c r="G114" s="21"/>
      <c r="H114" s="9"/>
    </row>
    <row r="115" spans="1:8" ht="30" customHeight="1" x14ac:dyDescent="0.3">
      <c r="A115" s="5"/>
      <c r="B115" s="3"/>
      <c r="C115" s="8"/>
      <c r="D115" s="31" t="s">
        <v>2865</v>
      </c>
      <c r="E115" s="8" t="s">
        <v>591</v>
      </c>
      <c r="F115" s="21"/>
      <c r="G115" s="21"/>
      <c r="H115" s="9"/>
    </row>
    <row r="116" spans="1:8" ht="30" customHeight="1" x14ac:dyDescent="0.3">
      <c r="A116" s="5" t="s">
        <v>2801</v>
      </c>
      <c r="B116" s="3"/>
      <c r="C116" s="8"/>
      <c r="D116" s="31" t="s">
        <v>2891</v>
      </c>
      <c r="E116" s="23" t="s">
        <v>2892</v>
      </c>
      <c r="F116" s="21"/>
      <c r="G116" s="21"/>
      <c r="H116" s="9"/>
    </row>
    <row r="117" spans="1:8" ht="30" customHeight="1" x14ac:dyDescent="0.3">
      <c r="A117" s="5"/>
      <c r="B117" s="3"/>
      <c r="C117" s="8"/>
      <c r="D117" s="63" t="s">
        <v>2904</v>
      </c>
      <c r="E117" s="8" t="s">
        <v>383</v>
      </c>
      <c r="F117" s="21"/>
      <c r="G117" s="21"/>
      <c r="H117" s="9"/>
    </row>
    <row r="118" spans="1:8" ht="30" customHeight="1" x14ac:dyDescent="0.3">
      <c r="A118" s="5"/>
      <c r="B118" s="3"/>
      <c r="C118" s="8"/>
      <c r="D118" s="31" t="s">
        <v>2918</v>
      </c>
      <c r="E118" s="8" t="s">
        <v>383</v>
      </c>
      <c r="F118" s="21"/>
      <c r="G118" s="21"/>
      <c r="H118" s="9"/>
    </row>
    <row r="119" spans="1:8" ht="30" customHeight="1" x14ac:dyDescent="0.3">
      <c r="A119" s="5"/>
      <c r="B119" s="3"/>
      <c r="C119" s="8"/>
      <c r="D119" s="31" t="s">
        <v>2922</v>
      </c>
      <c r="E119" s="23" t="s">
        <v>2923</v>
      </c>
      <c r="F119" s="21"/>
      <c r="G119" s="21"/>
      <c r="H119" s="9"/>
    </row>
    <row r="120" spans="1:8" ht="30" customHeight="1" x14ac:dyDescent="0.3">
      <c r="A120" s="5" t="s">
        <v>2799</v>
      </c>
      <c r="B120" s="3"/>
      <c r="C120" s="8"/>
      <c r="D120" s="31" t="s">
        <v>2935</v>
      </c>
      <c r="E120" s="23" t="s">
        <v>2936</v>
      </c>
      <c r="F120" s="21"/>
      <c r="G120" s="21"/>
      <c r="H120" s="9"/>
    </row>
    <row r="121" spans="1:8" ht="30" customHeight="1" x14ac:dyDescent="0.3">
      <c r="A121" s="5" t="s">
        <v>2887</v>
      </c>
      <c r="B121" s="3"/>
      <c r="C121" s="8"/>
      <c r="D121" s="31" t="s">
        <v>2947</v>
      </c>
      <c r="E121" s="8" t="s">
        <v>383</v>
      </c>
      <c r="F121" s="21"/>
      <c r="G121" s="21"/>
      <c r="H121" s="9"/>
    </row>
    <row r="122" spans="1:8" ht="30" customHeight="1" x14ac:dyDescent="0.3">
      <c r="A122" s="5"/>
      <c r="B122" s="3"/>
      <c r="C122" s="8"/>
      <c r="D122" s="31" t="s">
        <v>2953</v>
      </c>
      <c r="E122" s="23" t="s">
        <v>2954</v>
      </c>
      <c r="F122" s="21"/>
      <c r="G122" s="21"/>
      <c r="H122" s="9"/>
    </row>
    <row r="123" spans="1:8" ht="30" customHeight="1" x14ac:dyDescent="0.3">
      <c r="A123" s="5" t="s">
        <v>2874</v>
      </c>
      <c r="B123" s="3"/>
      <c r="C123" s="8"/>
      <c r="D123" s="31" t="s">
        <v>2989</v>
      </c>
      <c r="E123" s="23" t="s">
        <v>2990</v>
      </c>
      <c r="F123" s="21"/>
      <c r="G123" s="21"/>
      <c r="H123" s="9"/>
    </row>
    <row r="124" spans="1:8" ht="30" customHeight="1" x14ac:dyDescent="0.3">
      <c r="A124" s="5"/>
      <c r="B124" s="3"/>
      <c r="C124" s="8"/>
      <c r="D124" s="6" t="s">
        <v>2993</v>
      </c>
      <c r="E124" s="23" t="s">
        <v>2954</v>
      </c>
      <c r="F124" s="21"/>
      <c r="G124" s="21"/>
      <c r="H124" s="9"/>
    </row>
    <row r="125" spans="1:8" ht="30" customHeight="1" x14ac:dyDescent="0.3">
      <c r="A125" s="5"/>
      <c r="B125" s="3"/>
      <c r="C125" s="8"/>
      <c r="D125" s="31" t="s">
        <v>2994</v>
      </c>
      <c r="E125" s="23" t="s">
        <v>2995</v>
      </c>
      <c r="F125" s="21"/>
      <c r="G125" s="21"/>
      <c r="H125" s="9"/>
    </row>
    <row r="126" spans="1:8" ht="30" customHeight="1" x14ac:dyDescent="0.3">
      <c r="A126" s="5" t="s">
        <v>2796</v>
      </c>
      <c r="B126" s="3"/>
      <c r="C126" s="8"/>
      <c r="D126" s="31" t="s">
        <v>3018</v>
      </c>
      <c r="E126" s="8" t="s">
        <v>383</v>
      </c>
      <c r="F126" s="21"/>
      <c r="G126" s="21"/>
      <c r="H126" s="9"/>
    </row>
    <row r="127" spans="1:8" ht="30" customHeight="1" x14ac:dyDescent="0.3">
      <c r="A127" s="5"/>
      <c r="B127" s="3"/>
      <c r="C127" s="8"/>
      <c r="D127" s="31" t="s">
        <v>3019</v>
      </c>
      <c r="E127" s="23" t="s">
        <v>3020</v>
      </c>
      <c r="F127" s="21"/>
      <c r="G127" s="21"/>
      <c r="H127" s="9"/>
    </row>
    <row r="128" spans="1:8" ht="30" customHeight="1" x14ac:dyDescent="0.3">
      <c r="A128" s="5"/>
      <c r="B128" s="3"/>
      <c r="C128" s="8"/>
      <c r="D128" s="31" t="s">
        <v>3021</v>
      </c>
      <c r="E128" s="8" t="s">
        <v>383</v>
      </c>
      <c r="F128" s="21"/>
      <c r="G128" s="21"/>
      <c r="H128" s="9"/>
    </row>
    <row r="129" spans="1:8" ht="30" customHeight="1" x14ac:dyDescent="0.3">
      <c r="A129" s="5" t="s">
        <v>2909</v>
      </c>
      <c r="B129" s="3"/>
      <c r="C129" s="8"/>
      <c r="D129" s="31" t="s">
        <v>3066</v>
      </c>
      <c r="E129" s="8" t="s">
        <v>1017</v>
      </c>
      <c r="F129" s="21"/>
      <c r="G129" s="21"/>
      <c r="H129" s="9"/>
    </row>
    <row r="130" spans="1:8" ht="30" customHeight="1" x14ac:dyDescent="0.3">
      <c r="A130" s="5"/>
      <c r="B130" s="3"/>
      <c r="C130" s="8"/>
      <c r="D130" s="6" t="s">
        <v>3095</v>
      </c>
      <c r="E130" s="8"/>
      <c r="F130" s="21"/>
      <c r="G130" s="21"/>
      <c r="H130" s="9"/>
    </row>
    <row r="131" spans="1:8" ht="30" customHeight="1" x14ac:dyDescent="0.3">
      <c r="A131" s="5"/>
      <c r="B131" s="3"/>
      <c r="C131" s="8"/>
      <c r="D131" s="31" t="s">
        <v>3096</v>
      </c>
      <c r="E131" s="8" t="s">
        <v>3097</v>
      </c>
      <c r="F131" s="21"/>
      <c r="G131" s="21"/>
      <c r="H131" s="9"/>
    </row>
    <row r="132" spans="1:8" ht="30" customHeight="1" x14ac:dyDescent="0.3">
      <c r="A132" s="5" t="s">
        <v>3144</v>
      </c>
      <c r="B132" s="3"/>
      <c r="C132" s="8"/>
      <c r="D132" s="31" t="s">
        <v>3145</v>
      </c>
      <c r="E132" s="23" t="s">
        <v>3146</v>
      </c>
      <c r="F132" s="21"/>
      <c r="G132" s="21"/>
      <c r="H132" s="9"/>
    </row>
    <row r="133" spans="1:8" ht="30" customHeight="1" x14ac:dyDescent="0.3">
      <c r="A133" s="5"/>
      <c r="B133" s="3"/>
      <c r="C133" s="8"/>
      <c r="D133" s="31" t="s">
        <v>3155</v>
      </c>
      <c r="E133" s="8" t="s">
        <v>383</v>
      </c>
      <c r="F133" s="21" t="s">
        <v>3156</v>
      </c>
      <c r="G133" s="21"/>
      <c r="H133" s="9"/>
    </row>
    <row r="134" spans="1:8" ht="30" customHeight="1" x14ac:dyDescent="0.3">
      <c r="A134" s="5" t="s">
        <v>3121</v>
      </c>
      <c r="B134" s="3"/>
      <c r="C134" s="8"/>
      <c r="D134" s="31" t="s">
        <v>3186</v>
      </c>
      <c r="E134" s="23" t="s">
        <v>3187</v>
      </c>
      <c r="F134" s="21"/>
      <c r="G134" s="21"/>
      <c r="H134" s="9"/>
    </row>
    <row r="135" spans="1:8" ht="30" customHeight="1" x14ac:dyDescent="0.3">
      <c r="A135" s="5"/>
      <c r="B135" s="3"/>
      <c r="C135" s="8"/>
      <c r="D135" s="31" t="s">
        <v>3193</v>
      </c>
      <c r="E135" s="8" t="s">
        <v>3194</v>
      </c>
      <c r="F135" s="21"/>
      <c r="G135" s="21"/>
      <c r="H135" s="9"/>
    </row>
    <row r="136" spans="1:8" ht="30" customHeight="1" x14ac:dyDescent="0.3">
      <c r="A136" s="5"/>
      <c r="B136" s="3"/>
      <c r="C136" s="8"/>
      <c r="D136" s="31" t="s">
        <v>3221</v>
      </c>
      <c r="E136" s="23" t="s">
        <v>3220</v>
      </c>
      <c r="F136" s="21"/>
      <c r="G136" s="21"/>
      <c r="H136" s="9"/>
    </row>
    <row r="137" spans="1:8" ht="30" customHeight="1" x14ac:dyDescent="0.3">
      <c r="A137" s="5" t="s">
        <v>3034</v>
      </c>
      <c r="B137" s="3"/>
      <c r="C137" s="8"/>
      <c r="D137" s="6" t="s">
        <v>3243</v>
      </c>
      <c r="E137" s="8"/>
      <c r="F137" s="21"/>
      <c r="G137" s="21"/>
      <c r="H137" s="9"/>
    </row>
    <row r="138" spans="1:8" ht="30" customHeight="1" x14ac:dyDescent="0.3">
      <c r="A138" s="5" t="s">
        <v>3241</v>
      </c>
      <c r="B138" s="3"/>
      <c r="C138" s="8"/>
      <c r="D138" s="31" t="s">
        <v>3262</v>
      </c>
      <c r="E138" s="23" t="s">
        <v>3263</v>
      </c>
      <c r="F138" s="21"/>
      <c r="G138" s="21"/>
      <c r="H138" s="9"/>
    </row>
    <row r="139" spans="1:8" ht="30" customHeight="1" x14ac:dyDescent="0.3">
      <c r="A139" s="5" t="s">
        <v>3297</v>
      </c>
      <c r="B139" s="3"/>
      <c r="C139" s="8"/>
      <c r="D139" s="31" t="s">
        <v>3298</v>
      </c>
      <c r="E139" s="8" t="s">
        <v>3299</v>
      </c>
      <c r="F139" s="21"/>
      <c r="G139" s="21"/>
      <c r="H139" s="9"/>
    </row>
    <row r="140" spans="1:8" ht="30" customHeight="1" x14ac:dyDescent="0.3">
      <c r="A140" s="5"/>
      <c r="B140" s="3"/>
      <c r="C140" s="8"/>
      <c r="D140" s="31" t="s">
        <v>3318</v>
      </c>
      <c r="E140" s="8" t="s">
        <v>3319</v>
      </c>
      <c r="F140" s="21"/>
      <c r="G140" s="21"/>
      <c r="H140" s="9"/>
    </row>
    <row r="141" spans="1:8" ht="30" customHeight="1" x14ac:dyDescent="0.3">
      <c r="A141" s="5"/>
      <c r="B141" s="3"/>
      <c r="C141" s="8"/>
      <c r="D141" s="31" t="s">
        <v>3320</v>
      </c>
      <c r="E141" s="23" t="s">
        <v>3321</v>
      </c>
      <c r="F141" s="21"/>
      <c r="G141" s="21"/>
      <c r="H141" s="9"/>
    </row>
    <row r="142" spans="1:8" ht="30" customHeight="1" x14ac:dyDescent="0.3">
      <c r="A142" s="5"/>
      <c r="B142" s="3"/>
      <c r="C142" s="8"/>
      <c r="D142" s="31" t="s">
        <v>3322</v>
      </c>
      <c r="E142" s="23" t="s">
        <v>3323</v>
      </c>
      <c r="F142" s="21"/>
      <c r="G142" s="21"/>
      <c r="H142" s="9"/>
    </row>
    <row r="143" spans="1:8" ht="30" customHeight="1" x14ac:dyDescent="0.3">
      <c r="A143" s="5" t="s">
        <v>3184</v>
      </c>
      <c r="B143" s="3"/>
      <c r="C143" s="8"/>
      <c r="D143" s="31" t="s">
        <v>3332</v>
      </c>
      <c r="E143" s="23" t="s">
        <v>3333</v>
      </c>
      <c r="F143" s="21"/>
      <c r="G143" s="21"/>
      <c r="H143" s="9"/>
    </row>
    <row r="144" spans="1:8" ht="30" customHeight="1" x14ac:dyDescent="0.3">
      <c r="A144" s="5"/>
      <c r="B144" s="3"/>
      <c r="C144" s="8"/>
      <c r="D144" s="31" t="s">
        <v>3343</v>
      </c>
      <c r="E144" s="23" t="s">
        <v>3344</v>
      </c>
      <c r="F144" s="21"/>
      <c r="G144" s="21"/>
      <c r="H144" s="9"/>
    </row>
    <row r="145" spans="1:8" ht="30" customHeight="1" x14ac:dyDescent="0.3">
      <c r="A145" s="5"/>
      <c r="B145" s="3"/>
      <c r="C145" s="8"/>
      <c r="D145" s="31" t="s">
        <v>3345</v>
      </c>
      <c r="E145" s="8" t="s">
        <v>3346</v>
      </c>
      <c r="F145" s="21"/>
      <c r="G145" s="21"/>
      <c r="H145" s="9"/>
    </row>
    <row r="146" spans="1:8" ht="30" customHeight="1" x14ac:dyDescent="0.3">
      <c r="A146" s="5"/>
      <c r="B146" s="3"/>
      <c r="C146" s="8"/>
      <c r="D146" s="31" t="s">
        <v>3349</v>
      </c>
      <c r="E146" s="8" t="s">
        <v>383</v>
      </c>
      <c r="F146" s="21"/>
      <c r="G146" s="21"/>
      <c r="H146" s="9"/>
    </row>
    <row r="147" spans="1:8" ht="30" customHeight="1" x14ac:dyDescent="0.3">
      <c r="A147" s="5" t="s">
        <v>3189</v>
      </c>
      <c r="B147" s="3"/>
      <c r="C147" s="8"/>
      <c r="D147" s="31" t="s">
        <v>3364</v>
      </c>
      <c r="E147" s="23" t="s">
        <v>2803</v>
      </c>
      <c r="F147" s="21"/>
      <c r="G147" s="21"/>
      <c r="H147" s="9"/>
    </row>
    <row r="148" spans="1:8" ht="30" customHeight="1" x14ac:dyDescent="0.3">
      <c r="A148" s="5"/>
      <c r="B148" s="3"/>
      <c r="C148" s="8"/>
      <c r="D148" s="31" t="s">
        <v>3382</v>
      </c>
      <c r="E148" s="23" t="s">
        <v>2803</v>
      </c>
      <c r="F148" s="21"/>
      <c r="G148" s="21"/>
      <c r="H148" s="9"/>
    </row>
    <row r="149" spans="1:8" ht="30" customHeight="1" x14ac:dyDescent="0.3">
      <c r="A149" s="5"/>
      <c r="B149" s="3"/>
      <c r="C149" s="8"/>
      <c r="D149" s="31" t="s">
        <v>3388</v>
      </c>
      <c r="E149" s="8"/>
      <c r="F149" s="21"/>
      <c r="G149" s="21"/>
      <c r="H149" s="9"/>
    </row>
    <row r="150" spans="1:8" ht="30" customHeight="1" x14ac:dyDescent="0.3">
      <c r="A150" s="5" t="s">
        <v>3354</v>
      </c>
      <c r="B150" s="3"/>
      <c r="C150" s="8"/>
      <c r="D150" s="31" t="s">
        <v>3408</v>
      </c>
      <c r="E150" s="8" t="s">
        <v>3409</v>
      </c>
      <c r="F150" s="21"/>
      <c r="G150" s="21"/>
      <c r="H150" s="9"/>
    </row>
    <row r="151" spans="1:8" ht="30" customHeight="1" x14ac:dyDescent="0.3">
      <c r="A151" s="5"/>
      <c r="B151" s="3"/>
      <c r="C151" s="8"/>
      <c r="D151" s="31" t="s">
        <v>3410</v>
      </c>
      <c r="E151" s="8" t="s">
        <v>3409</v>
      </c>
      <c r="F151" s="21"/>
      <c r="G151" s="21"/>
      <c r="H151" s="9"/>
    </row>
    <row r="152" spans="1:8" ht="30" customHeight="1" x14ac:dyDescent="0.3">
      <c r="A152" s="5"/>
      <c r="B152" s="3"/>
      <c r="C152" s="8"/>
      <c r="D152" s="31" t="s">
        <v>3418</v>
      </c>
      <c r="E152" s="8" t="s">
        <v>1595</v>
      </c>
      <c r="F152" s="3"/>
      <c r="G152" s="3"/>
      <c r="H152" s="9"/>
    </row>
    <row r="153" spans="1:8" ht="30" customHeight="1" x14ac:dyDescent="0.3">
      <c r="A153" s="5"/>
      <c r="B153" s="3"/>
      <c r="C153" s="8"/>
      <c r="D153" s="6" t="s">
        <v>3419</v>
      </c>
      <c r="E153" s="23" t="s">
        <v>3321</v>
      </c>
      <c r="F153" s="3"/>
      <c r="G153" s="3"/>
      <c r="H153" s="9"/>
    </row>
    <row r="154" spans="1:8" ht="30" customHeight="1" x14ac:dyDescent="0.3">
      <c r="A154" s="5"/>
      <c r="B154" s="3"/>
      <c r="C154" s="8"/>
      <c r="D154" s="31" t="s">
        <v>3425</v>
      </c>
      <c r="E154" s="23" t="s">
        <v>3321</v>
      </c>
      <c r="F154" s="3"/>
      <c r="G154" s="3"/>
      <c r="H154" s="9"/>
    </row>
    <row r="155" spans="1:8" ht="30" customHeight="1" x14ac:dyDescent="0.3">
      <c r="A155" s="5" t="s">
        <v>3163</v>
      </c>
      <c r="B155" s="3"/>
      <c r="C155" s="8"/>
      <c r="D155" s="6" t="s">
        <v>3474</v>
      </c>
      <c r="E155" s="8" t="s">
        <v>407</v>
      </c>
      <c r="F155" s="3"/>
      <c r="G155" s="3"/>
      <c r="H155" s="9"/>
    </row>
    <row r="156" spans="1:8" ht="30" customHeight="1" x14ac:dyDescent="0.3">
      <c r="A156" s="5" t="s">
        <v>3296</v>
      </c>
      <c r="B156" s="3"/>
      <c r="C156" s="8"/>
      <c r="D156" s="31" t="s">
        <v>3515</v>
      </c>
      <c r="E156" s="8" t="s">
        <v>383</v>
      </c>
      <c r="F156" s="3"/>
      <c r="G156" s="3"/>
      <c r="H156" s="9"/>
    </row>
    <row r="157" spans="1:8" ht="30" customHeight="1" x14ac:dyDescent="0.3">
      <c r="A157" s="5"/>
      <c r="B157" s="3"/>
      <c r="C157" s="8"/>
      <c r="D157" s="31" t="s">
        <v>3538</v>
      </c>
      <c r="E157" s="23" t="s">
        <v>3539</v>
      </c>
      <c r="F157" s="3"/>
      <c r="G157" s="3"/>
      <c r="H157" s="9"/>
    </row>
    <row r="158" spans="1:8" ht="30" customHeight="1" x14ac:dyDescent="0.3">
      <c r="A158" s="5" t="s">
        <v>3270</v>
      </c>
      <c r="B158" s="3"/>
      <c r="C158" s="8"/>
      <c r="D158" s="31" t="s">
        <v>3543</v>
      </c>
      <c r="E158" s="8" t="s">
        <v>3544</v>
      </c>
      <c r="F158" s="3"/>
      <c r="G158" s="3"/>
      <c r="H158" s="9"/>
    </row>
    <row r="159" spans="1:8" ht="30" customHeight="1" x14ac:dyDescent="0.3">
      <c r="A159" s="5"/>
      <c r="B159" s="3"/>
      <c r="C159" s="8"/>
      <c r="D159" s="31" t="s">
        <v>3545</v>
      </c>
      <c r="E159" s="8" t="s">
        <v>3194</v>
      </c>
      <c r="F159" s="3"/>
      <c r="G159" s="3"/>
      <c r="H159" s="9"/>
    </row>
    <row r="160" spans="1:8" ht="30" customHeight="1" x14ac:dyDescent="0.3">
      <c r="A160" s="5"/>
      <c r="B160" s="3"/>
      <c r="C160" s="8"/>
      <c r="D160" s="31" t="s">
        <v>3546</v>
      </c>
      <c r="E160" s="23" t="s">
        <v>383</v>
      </c>
      <c r="F160" s="3" t="s">
        <v>2066</v>
      </c>
      <c r="G160" s="3"/>
      <c r="H160" s="9"/>
    </row>
    <row r="161" spans="1:8" ht="30" customHeight="1" x14ac:dyDescent="0.3">
      <c r="A161" s="5"/>
      <c r="B161" s="3"/>
      <c r="C161" s="8"/>
      <c r="D161" s="31" t="s">
        <v>3554</v>
      </c>
      <c r="E161" s="8" t="s">
        <v>3555</v>
      </c>
      <c r="F161" s="3"/>
      <c r="G161" s="3"/>
      <c r="H161" s="9"/>
    </row>
    <row r="162" spans="1:8" ht="30" customHeight="1" x14ac:dyDescent="0.3">
      <c r="A162" s="5"/>
      <c r="B162" s="3"/>
      <c r="C162" s="8"/>
      <c r="D162" s="6" t="s">
        <v>3559</v>
      </c>
      <c r="E162" s="31" t="s">
        <v>3560</v>
      </c>
      <c r="F162" s="3"/>
      <c r="G162" s="3"/>
      <c r="H162" s="9"/>
    </row>
    <row r="163" spans="1:8" ht="30" customHeight="1" x14ac:dyDescent="0.3">
      <c r="A163" s="5"/>
      <c r="B163" s="3"/>
      <c r="C163" s="8"/>
      <c r="D163" s="6" t="s">
        <v>3561</v>
      </c>
      <c r="E163" s="8" t="s">
        <v>383</v>
      </c>
      <c r="F163" s="3"/>
      <c r="G163" s="3"/>
      <c r="H163" s="9"/>
    </row>
    <row r="164" spans="1:8" ht="30" customHeight="1" x14ac:dyDescent="0.3">
      <c r="A164" s="5" t="s">
        <v>3563</v>
      </c>
      <c r="B164" s="3"/>
      <c r="C164" s="8"/>
      <c r="D164" s="31" t="s">
        <v>3564</v>
      </c>
      <c r="E164" s="23" t="s">
        <v>3565</v>
      </c>
      <c r="F164" s="3"/>
      <c r="G164" s="3"/>
      <c r="H164" s="9"/>
    </row>
    <row r="165" spans="1:8" ht="30" customHeight="1" x14ac:dyDescent="0.3">
      <c r="A165" s="5"/>
      <c r="B165" s="3"/>
      <c r="C165" s="8"/>
      <c r="D165" s="31" t="s">
        <v>3621</v>
      </c>
      <c r="E165" s="8" t="s">
        <v>685</v>
      </c>
      <c r="F165" s="3"/>
      <c r="G165" s="3"/>
      <c r="H165" s="9"/>
    </row>
    <row r="166" spans="1:8" ht="30" customHeight="1" x14ac:dyDescent="0.3">
      <c r="A166" s="5"/>
      <c r="B166" s="3"/>
      <c r="C166" s="8"/>
      <c r="D166" s="31" t="s">
        <v>3622</v>
      </c>
      <c r="E166" s="8" t="s">
        <v>3544</v>
      </c>
      <c r="F166" s="3"/>
      <c r="G166" s="3"/>
      <c r="H166" s="9"/>
    </row>
    <row r="167" spans="1:8" ht="30" customHeight="1" x14ac:dyDescent="0.3">
      <c r="A167" s="5" t="s">
        <v>3651</v>
      </c>
      <c r="B167" s="3"/>
      <c r="C167" s="8"/>
      <c r="D167" s="31" t="s">
        <v>3652</v>
      </c>
      <c r="E167" s="8" t="s">
        <v>383</v>
      </c>
      <c r="F167" s="3"/>
      <c r="G167" s="3"/>
      <c r="H167" s="9"/>
    </row>
    <row r="168" spans="1:8" ht="30" customHeight="1" x14ac:dyDescent="0.3">
      <c r="A168" s="5"/>
      <c r="B168" s="3"/>
      <c r="C168" s="8"/>
      <c r="D168" s="31" t="s">
        <v>3663</v>
      </c>
      <c r="E168" s="8" t="s">
        <v>3664</v>
      </c>
      <c r="F168" s="3"/>
      <c r="G168" s="3"/>
      <c r="H168" s="9"/>
    </row>
    <row r="169" spans="1:8" ht="30" customHeight="1" x14ac:dyDescent="0.3">
      <c r="A169" s="5"/>
      <c r="B169" s="3"/>
      <c r="C169" s="8"/>
      <c r="D169" s="6" t="s">
        <v>3684</v>
      </c>
      <c r="E169" s="8" t="s">
        <v>3685</v>
      </c>
      <c r="F169" s="3"/>
      <c r="G169" s="3"/>
      <c r="H169" s="9"/>
    </row>
    <row r="170" spans="1:8" ht="30" customHeight="1" x14ac:dyDescent="0.3">
      <c r="A170" s="5"/>
      <c r="B170" s="3"/>
      <c r="C170" s="8"/>
      <c r="D170" s="31" t="s">
        <v>3694</v>
      </c>
      <c r="E170" s="23" t="s">
        <v>2954</v>
      </c>
      <c r="F170" s="3"/>
      <c r="G170" s="3"/>
      <c r="H170" s="9"/>
    </row>
    <row r="171" spans="1:8" ht="30" customHeight="1" x14ac:dyDescent="0.3">
      <c r="A171" s="5"/>
      <c r="B171" s="3"/>
      <c r="C171" s="8"/>
      <c r="D171" s="6" t="s">
        <v>3697</v>
      </c>
      <c r="E171" s="8" t="s">
        <v>921</v>
      </c>
      <c r="F171" s="3"/>
      <c r="G171" s="3"/>
      <c r="H171" s="9"/>
    </row>
    <row r="172" spans="1:8" ht="30" customHeight="1" x14ac:dyDescent="0.3">
      <c r="A172" s="5"/>
      <c r="B172" s="3"/>
      <c r="C172" s="8"/>
      <c r="D172" s="6" t="s">
        <v>3698</v>
      </c>
      <c r="E172" s="8" t="s">
        <v>921</v>
      </c>
      <c r="F172" s="3"/>
      <c r="G172" s="3"/>
      <c r="H172" s="9"/>
    </row>
    <row r="173" spans="1:8" ht="30" customHeight="1" x14ac:dyDescent="0.3">
      <c r="A173" s="5" t="s">
        <v>3708</v>
      </c>
      <c r="B173" s="3"/>
      <c r="C173" s="10"/>
      <c r="D173" s="31" t="s">
        <v>3719</v>
      </c>
      <c r="E173" s="8" t="s">
        <v>3720</v>
      </c>
      <c r="F173" s="3"/>
      <c r="G173" s="3"/>
      <c r="H173" s="9"/>
    </row>
    <row r="174" spans="1:8" ht="30" customHeight="1" x14ac:dyDescent="0.3">
      <c r="A174" s="64">
        <v>46120</v>
      </c>
      <c r="B174" s="3"/>
      <c r="C174" s="10"/>
      <c r="D174" s="31" t="s">
        <v>3807</v>
      </c>
      <c r="E174" s="23" t="s">
        <v>2990</v>
      </c>
      <c r="F174" s="3"/>
      <c r="G174" s="3"/>
      <c r="H174" s="9"/>
    </row>
    <row r="175" spans="1:8" ht="30" customHeight="1" x14ac:dyDescent="0.3">
      <c r="A175" s="5"/>
      <c r="B175" s="3"/>
      <c r="C175" s="10"/>
      <c r="D175" s="6" t="s">
        <v>3813</v>
      </c>
      <c r="E175" s="23" t="s">
        <v>3814</v>
      </c>
      <c r="F175" s="3"/>
      <c r="G175" s="3"/>
      <c r="H175" s="9"/>
    </row>
    <row r="176" spans="1:8" ht="30" customHeight="1" x14ac:dyDescent="0.3">
      <c r="A176" s="5"/>
      <c r="B176" s="3"/>
      <c r="C176" s="10"/>
      <c r="D176" s="6" t="s">
        <v>3815</v>
      </c>
      <c r="E176" s="8" t="s">
        <v>3816</v>
      </c>
      <c r="F176" s="3"/>
      <c r="G176" s="3"/>
      <c r="H176" s="9"/>
    </row>
    <row r="177" spans="1:8" ht="30" customHeight="1" x14ac:dyDescent="0.3">
      <c r="A177" s="5"/>
      <c r="B177" s="3"/>
      <c r="C177" s="10"/>
      <c r="D177" s="31" t="s">
        <v>3820</v>
      </c>
      <c r="E177" s="8" t="s">
        <v>383</v>
      </c>
      <c r="F177" s="3"/>
      <c r="G177" s="3"/>
      <c r="H177" s="9"/>
    </row>
    <row r="178" spans="1:8" ht="30" customHeight="1" x14ac:dyDescent="0.3">
      <c r="A178" s="5"/>
      <c r="B178" s="3"/>
      <c r="C178" s="10"/>
      <c r="D178" s="31" t="s">
        <v>3826</v>
      </c>
      <c r="E178" s="8" t="s">
        <v>3827</v>
      </c>
      <c r="F178" s="3"/>
      <c r="G178" s="3"/>
      <c r="H178" s="9"/>
    </row>
    <row r="179" spans="1:8" ht="30" customHeight="1" x14ac:dyDescent="0.3">
      <c r="A179" s="64">
        <v>46150</v>
      </c>
      <c r="B179" s="3"/>
      <c r="C179" s="10"/>
      <c r="D179" s="31" t="s">
        <v>3857</v>
      </c>
      <c r="E179" s="8" t="s">
        <v>383</v>
      </c>
      <c r="F179" s="3"/>
      <c r="G179" s="3"/>
      <c r="H179" s="9"/>
    </row>
    <row r="180" spans="1:8" ht="30" customHeight="1" x14ac:dyDescent="0.3">
      <c r="A180" s="5"/>
      <c r="B180" s="3"/>
      <c r="C180" s="10"/>
      <c r="D180" s="31" t="s">
        <v>3858</v>
      </c>
      <c r="E180" s="8" t="s">
        <v>3346</v>
      </c>
      <c r="F180" s="3"/>
      <c r="G180" s="3"/>
      <c r="H180" s="9"/>
    </row>
    <row r="181" spans="1:8" ht="30" customHeight="1" x14ac:dyDescent="0.3">
      <c r="A181" s="5"/>
      <c r="B181" s="3"/>
      <c r="C181" s="9"/>
      <c r="D181" s="31" t="s">
        <v>3859</v>
      </c>
      <c r="E181" s="8" t="s">
        <v>866</v>
      </c>
      <c r="F181" s="3"/>
      <c r="G181" s="3"/>
      <c r="H181" s="9"/>
    </row>
    <row r="182" spans="1:8" ht="30" customHeight="1" x14ac:dyDescent="0.3">
      <c r="A182" s="5"/>
      <c r="B182" s="3"/>
      <c r="C182" s="9"/>
      <c r="D182" s="31" t="s">
        <v>3860</v>
      </c>
      <c r="E182" s="8" t="s">
        <v>3861</v>
      </c>
      <c r="F182" s="3"/>
      <c r="G182" s="3"/>
      <c r="H182" s="9"/>
    </row>
    <row r="183" spans="1:8" ht="30" customHeight="1" x14ac:dyDescent="0.3">
      <c r="A183" s="5"/>
      <c r="B183" s="3"/>
      <c r="C183" s="9"/>
      <c r="D183" s="31" t="s">
        <v>3866</v>
      </c>
      <c r="E183" s="8"/>
      <c r="F183" s="3"/>
      <c r="G183" s="3"/>
      <c r="H183" s="9"/>
    </row>
    <row r="184" spans="1:8" ht="30" customHeight="1" x14ac:dyDescent="0.3">
      <c r="A184" s="64">
        <v>46181</v>
      </c>
      <c r="B184" s="3"/>
      <c r="C184" s="9"/>
      <c r="D184" s="6" t="s">
        <v>3870</v>
      </c>
      <c r="E184" s="8" t="s">
        <v>4047</v>
      </c>
      <c r="F184" s="3"/>
      <c r="G184" s="3"/>
      <c r="H184" s="9"/>
    </row>
    <row r="185" spans="1:8" ht="30" customHeight="1" x14ac:dyDescent="0.3">
      <c r="A185" s="64">
        <v>46303</v>
      </c>
      <c r="B185" s="3"/>
      <c r="C185" s="9"/>
      <c r="D185" s="31" t="s">
        <v>3926</v>
      </c>
      <c r="E185" s="8" t="s">
        <v>3346</v>
      </c>
      <c r="F185" s="3"/>
      <c r="G185" s="3"/>
      <c r="H185" s="9"/>
    </row>
    <row r="186" spans="1:8" ht="30" customHeight="1" x14ac:dyDescent="0.3">
      <c r="A186" s="64">
        <v>46334</v>
      </c>
      <c r="B186" s="3"/>
      <c r="C186" s="9"/>
      <c r="D186" s="31" t="s">
        <v>3961</v>
      </c>
      <c r="E186" s="6" t="s">
        <v>383</v>
      </c>
      <c r="F186" s="3"/>
      <c r="G186" s="3"/>
      <c r="H186" s="9"/>
    </row>
    <row r="187" spans="1:8" ht="30" customHeight="1" x14ac:dyDescent="0.3">
      <c r="A187" s="5" t="s">
        <v>4017</v>
      </c>
      <c r="B187" s="3"/>
      <c r="C187" s="9"/>
      <c r="D187" s="31" t="s">
        <v>4044</v>
      </c>
      <c r="E187" s="6" t="s">
        <v>4045</v>
      </c>
      <c r="F187" s="3"/>
      <c r="G187" s="3"/>
      <c r="H187" s="9"/>
    </row>
    <row r="188" spans="1:8" ht="30" customHeight="1" x14ac:dyDescent="0.3">
      <c r="A188" s="5"/>
      <c r="B188" s="3"/>
      <c r="C188" s="9"/>
      <c r="D188" s="31" t="s">
        <v>4046</v>
      </c>
      <c r="E188" s="8" t="s">
        <v>4047</v>
      </c>
      <c r="F188" s="3"/>
      <c r="G188" s="3" t="s">
        <v>4048</v>
      </c>
      <c r="H188" s="9"/>
    </row>
    <row r="189" spans="1:8" ht="30" customHeight="1" x14ac:dyDescent="0.3">
      <c r="A189" s="5" t="s">
        <v>4049</v>
      </c>
      <c r="B189" s="3"/>
      <c r="C189" s="9"/>
      <c r="D189" s="31" t="s">
        <v>4053</v>
      </c>
      <c r="E189" s="6" t="s">
        <v>383</v>
      </c>
      <c r="F189" s="3"/>
      <c r="G189" s="3"/>
      <c r="H189" s="9"/>
    </row>
    <row r="190" spans="1:8" ht="30" customHeight="1" x14ac:dyDescent="0.3">
      <c r="A190" s="5" t="s">
        <v>4086</v>
      </c>
      <c r="B190" s="3"/>
      <c r="C190" s="9"/>
      <c r="D190" s="31" t="s">
        <v>4088</v>
      </c>
      <c r="E190" s="6" t="s">
        <v>4089</v>
      </c>
      <c r="F190" s="3"/>
      <c r="G190" s="3"/>
      <c r="H190" s="9"/>
    </row>
    <row r="191" spans="1:8" ht="30" customHeight="1" x14ac:dyDescent="0.3">
      <c r="A191" s="5" t="s">
        <v>4145</v>
      </c>
      <c r="B191" s="3"/>
      <c r="C191" s="9"/>
      <c r="D191" s="31" t="s">
        <v>4159</v>
      </c>
      <c r="E191" s="6" t="s">
        <v>4160</v>
      </c>
      <c r="F191" s="3"/>
      <c r="G191" s="3"/>
      <c r="H191" s="9"/>
    </row>
    <row r="192" spans="1:8" ht="30" customHeight="1" x14ac:dyDescent="0.3">
      <c r="A192" s="5"/>
      <c r="B192" s="3"/>
      <c r="C192" s="9"/>
      <c r="D192" s="31" t="s">
        <v>4175</v>
      </c>
      <c r="E192" s="6" t="s">
        <v>4176</v>
      </c>
      <c r="F192" s="3"/>
      <c r="G192" s="3" t="s">
        <v>2066</v>
      </c>
      <c r="H192" s="9"/>
    </row>
    <row r="193" spans="1:8" ht="30" customHeight="1" x14ac:dyDescent="0.3">
      <c r="A193" s="5" t="s">
        <v>4198</v>
      </c>
      <c r="B193" s="3"/>
      <c r="C193" s="9"/>
      <c r="D193" s="31" t="s">
        <v>4199</v>
      </c>
      <c r="E193" s="6" t="s">
        <v>383</v>
      </c>
      <c r="F193" s="3"/>
      <c r="G193" s="3" t="s">
        <v>2438</v>
      </c>
      <c r="H193" s="9"/>
    </row>
    <row r="194" spans="1:8" ht="30" customHeight="1" x14ac:dyDescent="0.3">
      <c r="A194" s="5"/>
      <c r="B194" s="3"/>
      <c r="C194" s="9"/>
      <c r="D194" s="6"/>
      <c r="E194" s="6"/>
      <c r="F194" s="3"/>
      <c r="G194" s="3"/>
      <c r="H194" s="9"/>
    </row>
    <row r="195" spans="1:8" ht="30" customHeight="1" x14ac:dyDescent="0.3">
      <c r="A195" s="5"/>
      <c r="B195" s="3"/>
      <c r="C195" s="9"/>
      <c r="D195" s="6"/>
      <c r="E195" s="8"/>
      <c r="F195" s="3"/>
      <c r="G195" s="3"/>
      <c r="H195" s="9"/>
    </row>
    <row r="196" spans="1:8" ht="30" customHeight="1" x14ac:dyDescent="0.3">
      <c r="A196" s="5"/>
      <c r="B196" s="3"/>
      <c r="C196" s="9"/>
      <c r="D196" s="6"/>
      <c r="E196" s="8"/>
      <c r="F196" s="3"/>
      <c r="G196" s="3"/>
      <c r="H196" s="9"/>
    </row>
    <row r="197" spans="1:8" ht="30" customHeight="1" x14ac:dyDescent="0.3">
      <c r="A197" s="5"/>
      <c r="B197" s="3"/>
      <c r="C197" s="9"/>
      <c r="D197" s="6"/>
      <c r="E197" s="8"/>
      <c r="F197" s="3"/>
      <c r="G197" s="3"/>
      <c r="H197" s="9"/>
    </row>
    <row r="198" spans="1:8" ht="30" customHeight="1" x14ac:dyDescent="0.3">
      <c r="A198" s="5"/>
      <c r="B198" s="3"/>
      <c r="C198" s="9"/>
      <c r="D198" s="6"/>
      <c r="E198" s="8"/>
      <c r="F198" s="3"/>
      <c r="G198" s="3"/>
      <c r="H198" s="9"/>
    </row>
    <row r="199" spans="1:8" ht="30" customHeight="1" x14ac:dyDescent="0.3">
      <c r="A199" s="5"/>
      <c r="B199" s="3"/>
      <c r="C199" s="9"/>
      <c r="D199" s="6"/>
      <c r="E199" s="8"/>
      <c r="F199" s="3"/>
      <c r="G199" s="3"/>
      <c r="H199" s="9"/>
    </row>
    <row r="200" spans="1:8" ht="30" customHeight="1" x14ac:dyDescent="0.3">
      <c r="A200" s="5"/>
      <c r="B200" s="3"/>
      <c r="C200" s="9"/>
      <c r="D200" s="6"/>
      <c r="E200" s="8"/>
      <c r="F200" s="3"/>
      <c r="G200" s="3"/>
      <c r="H200" s="9"/>
    </row>
    <row r="201" spans="1:8" ht="30" customHeight="1" x14ac:dyDescent="0.3">
      <c r="A201" s="5"/>
      <c r="B201" s="3"/>
      <c r="C201" s="9"/>
      <c r="D201" s="6"/>
      <c r="E201" s="8"/>
      <c r="F201" s="3"/>
      <c r="G201" s="3"/>
      <c r="H201" s="9"/>
    </row>
    <row r="202" spans="1:8" ht="30" customHeight="1" x14ac:dyDescent="0.3">
      <c r="A202" s="5"/>
      <c r="B202" s="3"/>
      <c r="C202" s="9"/>
      <c r="D202" s="6"/>
      <c r="E202" s="8"/>
      <c r="F202" s="3"/>
      <c r="G202" s="3"/>
      <c r="H202" s="9"/>
    </row>
    <row r="203" spans="1:8" ht="30" customHeight="1" x14ac:dyDescent="0.3">
      <c r="A203" s="5"/>
      <c r="B203" s="3"/>
      <c r="C203" s="9"/>
      <c r="D203" s="6"/>
      <c r="E203" s="8"/>
      <c r="F203" s="3"/>
      <c r="G203" s="3"/>
      <c r="H203" s="9"/>
    </row>
    <row r="204" spans="1:8" ht="30" customHeight="1" x14ac:dyDescent="0.3">
      <c r="A204" s="5"/>
      <c r="B204" s="3"/>
      <c r="C204" s="9"/>
      <c r="D204" s="6"/>
      <c r="E204" s="8"/>
      <c r="F204" s="3"/>
      <c r="G204" s="3"/>
      <c r="H204" s="9"/>
    </row>
    <row r="205" spans="1:8" ht="30" customHeight="1" x14ac:dyDescent="0.3">
      <c r="A205" s="5"/>
      <c r="B205" s="3"/>
      <c r="C205" s="9"/>
      <c r="D205" s="6"/>
      <c r="E205" s="8"/>
      <c r="F205" s="3"/>
      <c r="G205" s="3"/>
      <c r="H205" s="9"/>
    </row>
    <row r="206" spans="1:8" ht="30" customHeight="1" x14ac:dyDescent="0.3">
      <c r="A206" s="5"/>
      <c r="B206" s="3"/>
      <c r="C206" s="9"/>
      <c r="D206" s="6"/>
      <c r="E206" s="8"/>
      <c r="F206" s="3"/>
      <c r="G206" s="3"/>
      <c r="H206" s="9"/>
    </row>
    <row r="207" spans="1:8" ht="30" customHeight="1" x14ac:dyDescent="0.3">
      <c r="A207" s="5"/>
      <c r="B207" s="3"/>
      <c r="C207" s="9"/>
      <c r="D207" s="6"/>
      <c r="E207" s="8"/>
      <c r="F207" s="3"/>
      <c r="G207" s="3"/>
      <c r="H207" s="9"/>
    </row>
    <row r="208" spans="1:8" ht="30" customHeight="1" x14ac:dyDescent="0.3">
      <c r="A208" s="5"/>
      <c r="B208" s="3"/>
      <c r="C208" s="9"/>
      <c r="D208" s="6"/>
      <c r="E208" s="8"/>
      <c r="F208" s="3"/>
      <c r="G208" s="3"/>
      <c r="H208" s="9"/>
    </row>
    <row r="209" spans="1:8" ht="30" customHeight="1" x14ac:dyDescent="0.3">
      <c r="A209" s="5"/>
      <c r="B209" s="3"/>
      <c r="C209" s="9"/>
      <c r="D209" s="6"/>
      <c r="E209" s="8"/>
      <c r="F209" s="3"/>
      <c r="G209" s="3"/>
      <c r="H209" s="9"/>
    </row>
    <row r="210" spans="1:8" ht="30" customHeight="1" x14ac:dyDescent="0.3">
      <c r="A210" s="5"/>
      <c r="B210" s="3"/>
      <c r="C210" s="9"/>
      <c r="D210" s="6"/>
      <c r="E210" s="8"/>
      <c r="F210" s="3"/>
      <c r="G210" s="3"/>
      <c r="H210" s="9"/>
    </row>
    <row r="211" spans="1:8" ht="30" customHeight="1" x14ac:dyDescent="0.3">
      <c r="A211" s="5"/>
      <c r="B211" s="3"/>
      <c r="C211" s="9"/>
      <c r="D211" s="6"/>
      <c r="E211" s="8"/>
      <c r="F211" s="3"/>
      <c r="G211" s="3"/>
      <c r="H211" s="9"/>
    </row>
    <row r="212" spans="1:8" ht="30" customHeight="1" x14ac:dyDescent="0.3">
      <c r="A212" s="5"/>
      <c r="B212" s="3"/>
      <c r="C212" s="9"/>
      <c r="D212" s="6"/>
      <c r="E212" s="8"/>
      <c r="F212" s="3"/>
      <c r="G212" s="3"/>
      <c r="H212" s="9"/>
    </row>
    <row r="213" spans="1:8" ht="30" customHeight="1" x14ac:dyDescent="0.3">
      <c r="A213" s="5"/>
      <c r="B213" s="3"/>
      <c r="C213" s="9"/>
      <c r="D213" s="6"/>
      <c r="E213" s="8"/>
      <c r="F213" s="3"/>
      <c r="G213" s="3"/>
      <c r="H213" s="9"/>
    </row>
    <row r="214" spans="1:8" ht="30" customHeight="1" x14ac:dyDescent="0.3">
      <c r="A214" s="5"/>
      <c r="B214" s="3"/>
      <c r="C214" s="9"/>
      <c r="D214" s="6"/>
      <c r="E214" s="8"/>
      <c r="F214" s="3"/>
      <c r="G214" s="3"/>
      <c r="H214" s="9"/>
    </row>
    <row r="215" spans="1:8" ht="30" customHeight="1" x14ac:dyDescent="0.3">
      <c r="A215" s="5"/>
      <c r="B215" s="3"/>
      <c r="C215" s="9"/>
      <c r="D215" s="6"/>
      <c r="E215" s="8"/>
      <c r="F215" s="3"/>
      <c r="G215" s="3"/>
      <c r="H215" s="9"/>
    </row>
    <row r="216" spans="1:8" ht="30" customHeight="1" x14ac:dyDescent="0.3">
      <c r="A216" s="5"/>
      <c r="B216" s="3"/>
      <c r="C216" s="9"/>
      <c r="D216" s="6"/>
      <c r="E216" s="8"/>
      <c r="F216" s="3"/>
      <c r="G216" s="3"/>
      <c r="H216" s="9"/>
    </row>
    <row r="217" spans="1:8" ht="30" customHeight="1" x14ac:dyDescent="0.3">
      <c r="A217" s="5"/>
      <c r="B217" s="3"/>
      <c r="C217" s="9"/>
      <c r="D217" s="6"/>
      <c r="E217" s="8"/>
      <c r="F217" s="3"/>
      <c r="G217" s="3"/>
      <c r="H217" s="9"/>
    </row>
    <row r="218" spans="1:8" ht="30" customHeight="1" x14ac:dyDescent="0.3">
      <c r="A218" s="5"/>
      <c r="B218" s="3"/>
      <c r="C218" s="9"/>
      <c r="D218" s="6"/>
      <c r="E218" s="8"/>
      <c r="F218" s="3"/>
      <c r="G218" s="3"/>
      <c r="H218" s="9"/>
    </row>
    <row r="219" spans="1:8" ht="30" customHeight="1" x14ac:dyDescent="0.3">
      <c r="A219" s="5"/>
      <c r="B219" s="3"/>
      <c r="C219" s="9"/>
      <c r="D219" s="6"/>
      <c r="E219" s="8"/>
      <c r="F219" s="3"/>
      <c r="G219" s="3"/>
      <c r="H219" s="9"/>
    </row>
    <row r="220" spans="1:8" ht="30" customHeight="1" x14ac:dyDescent="0.3">
      <c r="A220" s="5"/>
      <c r="B220" s="3"/>
      <c r="C220" s="9"/>
      <c r="D220" s="6"/>
      <c r="E220" s="8"/>
      <c r="F220" s="3"/>
      <c r="G220" s="3"/>
      <c r="H220" s="9"/>
    </row>
    <row r="221" spans="1:8" ht="30" customHeight="1" x14ac:dyDescent="0.3">
      <c r="A221" s="5"/>
      <c r="B221" s="3"/>
      <c r="C221" s="9"/>
      <c r="D221" s="6"/>
      <c r="E221" s="8"/>
      <c r="F221" s="3"/>
      <c r="G221" s="3"/>
      <c r="H221" s="9"/>
    </row>
    <row r="222" spans="1:8" ht="30" customHeight="1" x14ac:dyDescent="0.3">
      <c r="A222" s="5"/>
      <c r="B222" s="3"/>
      <c r="C222" s="9"/>
      <c r="D222" s="6"/>
      <c r="E222" s="8"/>
      <c r="F222" s="3"/>
      <c r="G222" s="3"/>
      <c r="H222" s="9"/>
    </row>
    <row r="223" spans="1:8" ht="30" customHeight="1" x14ac:dyDescent="0.3">
      <c r="A223" s="5"/>
      <c r="B223" s="3"/>
      <c r="C223" s="9"/>
      <c r="D223" s="6"/>
      <c r="E223" s="8"/>
      <c r="F223" s="3"/>
      <c r="G223" s="3"/>
      <c r="H223" s="9"/>
    </row>
    <row r="224" spans="1:8" ht="30" customHeight="1" x14ac:dyDescent="0.3">
      <c r="A224" s="5"/>
      <c r="B224" s="3"/>
      <c r="C224" s="9"/>
      <c r="D224" s="6"/>
      <c r="E224" s="8"/>
      <c r="F224" s="3"/>
      <c r="G224" s="3"/>
      <c r="H224" s="9"/>
    </row>
    <row r="225" spans="1:8" ht="30" customHeight="1" x14ac:dyDescent="0.3">
      <c r="A225" s="5"/>
      <c r="B225" s="3"/>
      <c r="C225" s="9"/>
      <c r="D225" s="6"/>
      <c r="E225" s="8"/>
      <c r="F225" s="3"/>
      <c r="G225" s="3"/>
      <c r="H225" s="9"/>
    </row>
    <row r="226" spans="1:8" ht="30" customHeight="1" x14ac:dyDescent="0.3">
      <c r="A226" s="5"/>
      <c r="B226" s="3"/>
      <c r="C226" s="9"/>
      <c r="D226" s="6"/>
      <c r="E226" s="8"/>
      <c r="F226" s="3"/>
      <c r="G226" s="3"/>
      <c r="H226" s="9"/>
    </row>
    <row r="227" spans="1:8" ht="30" customHeight="1" x14ac:dyDescent="0.3">
      <c r="A227" s="5"/>
      <c r="B227" s="3"/>
      <c r="C227" s="9"/>
      <c r="D227" s="6"/>
      <c r="E227" s="8"/>
      <c r="F227" s="3"/>
      <c r="G227" s="3"/>
      <c r="H227" s="9"/>
    </row>
    <row r="228" spans="1:8" ht="30" customHeight="1" x14ac:dyDescent="0.3">
      <c r="A228" s="5"/>
      <c r="B228" s="3"/>
      <c r="C228" s="9"/>
      <c r="D228" s="6"/>
      <c r="E228" s="8"/>
      <c r="F228" s="3"/>
      <c r="G228" s="3"/>
      <c r="H228" s="9"/>
    </row>
    <row r="229" spans="1:8" ht="30" customHeight="1" x14ac:dyDescent="0.3">
      <c r="A229" s="5"/>
      <c r="B229" s="3"/>
      <c r="C229" s="9"/>
      <c r="D229" s="6"/>
      <c r="E229" s="8"/>
      <c r="F229" s="3"/>
      <c r="G229" s="3"/>
      <c r="H229" s="9"/>
    </row>
    <row r="230" spans="1:8" ht="30" customHeight="1" x14ac:dyDescent="0.3">
      <c r="A230" s="5"/>
      <c r="B230" s="3"/>
      <c r="C230" s="9"/>
      <c r="D230" s="6"/>
      <c r="E230" s="8"/>
      <c r="F230" s="3"/>
      <c r="G230" s="3"/>
      <c r="H230" s="9"/>
    </row>
    <row r="231" spans="1:8" ht="30" customHeight="1" x14ac:dyDescent="0.3">
      <c r="A231" s="5"/>
      <c r="B231" s="3"/>
      <c r="C231" s="9"/>
      <c r="D231" s="6"/>
      <c r="E231" s="8"/>
      <c r="F231" s="3"/>
      <c r="G231" s="3"/>
      <c r="H231" s="9"/>
    </row>
    <row r="232" spans="1:8" ht="30" customHeight="1" x14ac:dyDescent="0.3">
      <c r="A232" s="5"/>
      <c r="B232" s="3"/>
      <c r="C232" s="9"/>
      <c r="D232" s="6"/>
      <c r="E232" s="8"/>
      <c r="F232" s="3"/>
      <c r="G232" s="3"/>
      <c r="H232" s="9"/>
    </row>
    <row r="233" spans="1:8" ht="30" customHeight="1" x14ac:dyDescent="0.3">
      <c r="A233" s="5"/>
      <c r="B233" s="3"/>
      <c r="C233" s="9"/>
      <c r="D233" s="6"/>
      <c r="E233" s="8"/>
      <c r="F233" s="3"/>
      <c r="G233" s="3"/>
      <c r="H233" s="9"/>
    </row>
    <row r="234" spans="1:8" ht="30" customHeight="1" x14ac:dyDescent="0.3">
      <c r="A234" s="5"/>
      <c r="B234" s="3"/>
      <c r="C234" s="9"/>
      <c r="D234" s="6"/>
      <c r="E234" s="8"/>
      <c r="F234" s="3"/>
      <c r="G234" s="3"/>
      <c r="H234" s="9"/>
    </row>
    <row r="235" spans="1:8" ht="30" customHeight="1" x14ac:dyDescent="0.3">
      <c r="A235" s="5"/>
      <c r="B235" s="3"/>
      <c r="C235" s="9"/>
      <c r="D235" s="6"/>
      <c r="E235" s="8"/>
      <c r="F235" s="3"/>
      <c r="G235" s="3"/>
      <c r="H235" s="9"/>
    </row>
    <row r="236" spans="1:8" ht="30" customHeight="1" x14ac:dyDescent="0.3">
      <c r="A236" s="5"/>
      <c r="B236" s="3"/>
      <c r="C236" s="9"/>
      <c r="D236" s="6"/>
      <c r="E236" s="8"/>
      <c r="F236" s="3"/>
      <c r="G236" s="3"/>
      <c r="H236" s="9"/>
    </row>
    <row r="237" spans="1:8" ht="30" customHeight="1" x14ac:dyDescent="0.3">
      <c r="A237" s="5"/>
      <c r="B237" s="3"/>
      <c r="C237" s="9"/>
      <c r="D237" s="6"/>
      <c r="E237" s="8"/>
      <c r="F237" s="3"/>
      <c r="G237" s="3"/>
      <c r="H237" s="9"/>
    </row>
    <row r="238" spans="1:8" ht="30" customHeight="1" x14ac:dyDescent="0.3">
      <c r="A238" s="5"/>
      <c r="B238" s="3"/>
      <c r="C238" s="9"/>
      <c r="D238" s="6"/>
      <c r="E238" s="8"/>
      <c r="F238" s="3"/>
      <c r="G238" s="3"/>
      <c r="H238" s="9"/>
    </row>
    <row r="239" spans="1:8" ht="30" customHeight="1" x14ac:dyDescent="0.3">
      <c r="A239" s="5"/>
      <c r="B239" s="3"/>
      <c r="C239" s="9"/>
      <c r="D239" s="6"/>
      <c r="E239" s="8"/>
      <c r="F239" s="3"/>
      <c r="G239" s="3"/>
      <c r="H239" s="9"/>
    </row>
    <row r="240" spans="1:8" ht="30" customHeight="1" x14ac:dyDescent="0.3">
      <c r="A240" s="5"/>
      <c r="B240" s="3"/>
      <c r="C240" s="9"/>
      <c r="D240" s="6"/>
      <c r="E240" s="8"/>
      <c r="F240" s="3"/>
      <c r="G240" s="3"/>
      <c r="H240" s="9"/>
    </row>
    <row r="241" spans="1:8" ht="30" customHeight="1" x14ac:dyDescent="0.3">
      <c r="A241" s="5"/>
      <c r="B241" s="3"/>
      <c r="C241" s="9"/>
      <c r="D241" s="6"/>
      <c r="E241" s="8"/>
      <c r="F241" s="3"/>
      <c r="G241" s="3"/>
      <c r="H241" s="9"/>
    </row>
    <row r="242" spans="1:8" ht="30" customHeight="1" x14ac:dyDescent="0.3">
      <c r="A242" s="5"/>
      <c r="B242" s="3"/>
      <c r="C242" s="9"/>
      <c r="D242" s="6"/>
      <c r="E242" s="8"/>
      <c r="F242" s="3"/>
      <c r="G242" s="3"/>
      <c r="H242" s="9"/>
    </row>
    <row r="243" spans="1:8" ht="30" customHeight="1" x14ac:dyDescent="0.3">
      <c r="A243" s="5"/>
      <c r="B243" s="3"/>
      <c r="C243" s="9"/>
      <c r="D243" s="6"/>
      <c r="E243" s="8"/>
      <c r="F243" s="3"/>
      <c r="G243" s="3"/>
      <c r="H243" s="9"/>
    </row>
    <row r="244" spans="1:8" ht="30" customHeight="1" x14ac:dyDescent="0.3">
      <c r="A244" s="5"/>
      <c r="B244" s="3"/>
      <c r="C244" s="9"/>
      <c r="D244" s="6"/>
      <c r="E244" s="8"/>
      <c r="F244" s="3"/>
      <c r="G244" s="3"/>
      <c r="H244" s="9"/>
    </row>
    <row r="245" spans="1:8" ht="30" customHeight="1" x14ac:dyDescent="0.3">
      <c r="A245" s="5"/>
      <c r="B245" s="3"/>
      <c r="C245" s="9"/>
      <c r="D245" s="6"/>
      <c r="E245" s="8"/>
      <c r="F245" s="3"/>
      <c r="G245" s="3"/>
      <c r="H245" s="9"/>
    </row>
    <row r="246" spans="1:8" ht="30" customHeight="1" x14ac:dyDescent="0.3">
      <c r="A246" s="5"/>
      <c r="B246" s="3"/>
      <c r="C246" s="9"/>
      <c r="D246" s="6"/>
      <c r="E246" s="8"/>
      <c r="F246" s="3"/>
      <c r="G246" s="3"/>
      <c r="H246" s="9"/>
    </row>
    <row r="247" spans="1:8" ht="30" customHeight="1" x14ac:dyDescent="0.3">
      <c r="A247" s="5"/>
      <c r="B247" s="3"/>
      <c r="C247" s="9"/>
      <c r="D247" s="6"/>
      <c r="E247" s="8"/>
      <c r="F247" s="3"/>
      <c r="G247" s="3"/>
      <c r="H247" s="9"/>
    </row>
    <row r="248" spans="1:8" ht="30" customHeight="1" x14ac:dyDescent="0.3">
      <c r="A248" s="5"/>
      <c r="B248" s="3"/>
      <c r="C248" s="9"/>
      <c r="D248" s="6"/>
      <c r="E248" s="8"/>
      <c r="F248" s="3"/>
      <c r="G248" s="3"/>
      <c r="H248" s="9"/>
    </row>
    <row r="249" spans="1:8" ht="30" customHeight="1" x14ac:dyDescent="0.3">
      <c r="A249" s="5"/>
      <c r="B249" s="3"/>
      <c r="C249" s="9"/>
      <c r="D249" s="6"/>
      <c r="E249" s="8"/>
      <c r="F249" s="3"/>
      <c r="G249" s="3"/>
      <c r="H249" s="9"/>
    </row>
    <row r="250" spans="1:8" ht="30" customHeight="1" x14ac:dyDescent="0.3">
      <c r="A250" s="5"/>
      <c r="B250" s="3"/>
      <c r="C250" s="9"/>
      <c r="D250" s="6"/>
      <c r="E250" s="8"/>
      <c r="F250" s="3"/>
      <c r="G250" s="3"/>
      <c r="H250" s="9"/>
    </row>
    <row r="251" spans="1:8" ht="30" customHeight="1" x14ac:dyDescent="0.3">
      <c r="A251" s="5"/>
      <c r="B251" s="3"/>
      <c r="C251" s="9"/>
      <c r="D251" s="6"/>
      <c r="E251" s="8"/>
      <c r="F251" s="3"/>
      <c r="G251" s="3"/>
      <c r="H251" s="9"/>
    </row>
    <row r="252" spans="1:8" ht="30" customHeight="1" x14ac:dyDescent="0.3">
      <c r="A252" s="5"/>
      <c r="B252" s="3"/>
      <c r="C252" s="9"/>
      <c r="D252" s="6"/>
      <c r="E252" s="8"/>
      <c r="F252" s="3"/>
      <c r="G252" s="3"/>
      <c r="H252" s="9"/>
    </row>
    <row r="253" spans="1:8" ht="30" customHeight="1" x14ac:dyDescent="0.3">
      <c r="A253" s="5"/>
      <c r="B253" s="3"/>
      <c r="C253" s="9"/>
      <c r="D253" s="6"/>
      <c r="E253" s="8"/>
      <c r="F253" s="3"/>
      <c r="G253" s="3"/>
      <c r="H253" s="9"/>
    </row>
    <row r="254" spans="1:8" ht="30" customHeight="1" x14ac:dyDescent="0.3">
      <c r="A254" s="5"/>
      <c r="B254" s="3"/>
      <c r="C254" s="9"/>
      <c r="D254" s="6"/>
      <c r="E254" s="8"/>
      <c r="F254" s="3"/>
      <c r="G254" s="3"/>
      <c r="H254" s="9"/>
    </row>
    <row r="255" spans="1:8" ht="30" customHeight="1" x14ac:dyDescent="0.3">
      <c r="A255" s="5"/>
      <c r="B255" s="3"/>
      <c r="C255" s="9"/>
      <c r="D255" s="6"/>
      <c r="E255" s="8"/>
      <c r="F255" s="3"/>
      <c r="G255" s="3"/>
      <c r="H255" s="9"/>
    </row>
    <row r="256" spans="1:8" ht="30" customHeight="1" x14ac:dyDescent="0.3">
      <c r="A256" s="5"/>
      <c r="B256" s="3"/>
      <c r="C256" s="9"/>
      <c r="D256" s="6"/>
      <c r="E256" s="8"/>
      <c r="F256" s="3"/>
      <c r="G256" s="3"/>
      <c r="H256" s="9"/>
    </row>
    <row r="257" spans="1:8" ht="30" customHeight="1" x14ac:dyDescent="0.3">
      <c r="A257" s="5"/>
      <c r="B257" s="3"/>
      <c r="C257" s="9"/>
      <c r="D257" s="6"/>
      <c r="E257" s="8"/>
      <c r="F257" s="3"/>
      <c r="G257" s="3"/>
      <c r="H257" s="9"/>
    </row>
    <row r="258" spans="1:8" ht="30" customHeight="1" x14ac:dyDescent="0.3">
      <c r="A258" s="5"/>
      <c r="B258" s="3"/>
      <c r="C258" s="9"/>
      <c r="D258" s="6"/>
      <c r="E258" s="8"/>
      <c r="F258" s="3"/>
      <c r="G258" s="3"/>
      <c r="H258" s="9"/>
    </row>
    <row r="259" spans="1:8" ht="30" customHeight="1" x14ac:dyDescent="0.3">
      <c r="A259" s="5"/>
      <c r="B259" s="3"/>
      <c r="C259" s="9"/>
      <c r="D259" s="6"/>
      <c r="E259" s="8"/>
      <c r="F259" s="3"/>
      <c r="G259" s="3"/>
      <c r="H259" s="9"/>
    </row>
    <row r="260" spans="1:8" ht="30" customHeight="1" x14ac:dyDescent="0.3">
      <c r="A260" s="5"/>
      <c r="B260" s="3"/>
      <c r="C260" s="9"/>
      <c r="D260" s="6"/>
      <c r="E260" s="8"/>
      <c r="F260" s="3"/>
      <c r="G260" s="3"/>
      <c r="H260" s="9"/>
    </row>
    <row r="261" spans="1:8" ht="30" customHeight="1" x14ac:dyDescent="0.3">
      <c r="A261" s="5"/>
      <c r="B261" s="3"/>
      <c r="C261" s="9"/>
      <c r="D261" s="6"/>
      <c r="E261" s="8"/>
      <c r="F261" s="3"/>
      <c r="G261" s="3"/>
      <c r="H261" s="9"/>
    </row>
    <row r="262" spans="1:8" ht="30" customHeight="1" x14ac:dyDescent="0.3">
      <c r="A262" s="5"/>
      <c r="B262" s="3"/>
      <c r="C262" s="9"/>
      <c r="D262" s="6"/>
      <c r="E262" s="8"/>
      <c r="F262" s="3"/>
      <c r="G262" s="3"/>
      <c r="H262" s="9"/>
    </row>
    <row r="263" spans="1:8" ht="30" customHeight="1" x14ac:dyDescent="0.3">
      <c r="A263" s="5"/>
      <c r="B263" s="3"/>
      <c r="C263" s="9"/>
      <c r="D263" s="6"/>
      <c r="E263" s="8"/>
      <c r="F263" s="3"/>
      <c r="G263" s="3"/>
      <c r="H263" s="9"/>
    </row>
    <row r="264" spans="1:8" ht="30" customHeight="1" x14ac:dyDescent="0.3">
      <c r="A264" s="5"/>
      <c r="B264" s="3"/>
      <c r="C264" s="9"/>
      <c r="D264" s="6"/>
      <c r="E264" s="8"/>
      <c r="F264" s="3"/>
      <c r="G264" s="3"/>
      <c r="H264" s="9"/>
    </row>
    <row r="265" spans="1:8" ht="30" customHeight="1" x14ac:dyDescent="0.3">
      <c r="A265" s="5"/>
      <c r="B265" s="3"/>
      <c r="C265" s="9"/>
      <c r="D265" s="6"/>
      <c r="E265" s="8"/>
      <c r="F265" s="3"/>
      <c r="G265" s="3"/>
      <c r="H265" s="9"/>
    </row>
    <row r="266" spans="1:8" ht="30" customHeight="1" x14ac:dyDescent="0.3">
      <c r="A266" s="5"/>
      <c r="B266" s="3"/>
      <c r="C266" s="9"/>
      <c r="D266" s="6"/>
      <c r="E266" s="8"/>
      <c r="F266" s="3"/>
      <c r="G266" s="3"/>
      <c r="H266" s="9"/>
    </row>
    <row r="267" spans="1:8" ht="30" customHeight="1" x14ac:dyDescent="0.3">
      <c r="A267" s="5"/>
      <c r="B267" s="3"/>
      <c r="C267" s="9"/>
      <c r="D267" s="6"/>
      <c r="E267" s="8"/>
      <c r="F267" s="3"/>
      <c r="G267" s="3"/>
      <c r="H267" s="9"/>
    </row>
    <row r="268" spans="1:8" ht="30" customHeight="1" x14ac:dyDescent="0.3">
      <c r="A268" s="5"/>
      <c r="B268" s="3"/>
      <c r="C268" s="9"/>
      <c r="D268" s="6"/>
      <c r="E268" s="8"/>
      <c r="F268" s="3"/>
      <c r="G268" s="3"/>
      <c r="H268" s="9"/>
    </row>
    <row r="269" spans="1:8" ht="30" customHeight="1" x14ac:dyDescent="0.3">
      <c r="A269" s="5"/>
      <c r="B269" s="3"/>
      <c r="C269" s="9"/>
      <c r="D269" s="6"/>
      <c r="E269" s="8"/>
      <c r="F269" s="3"/>
      <c r="G269" s="3"/>
      <c r="H269" s="9"/>
    </row>
    <row r="270" spans="1:8" ht="30" customHeight="1" x14ac:dyDescent="0.3">
      <c r="A270" s="5"/>
      <c r="B270" s="3"/>
      <c r="C270" s="9"/>
      <c r="D270" s="6"/>
      <c r="E270" s="8"/>
      <c r="F270" s="3"/>
      <c r="G270" s="3"/>
      <c r="H270" s="9"/>
    </row>
    <row r="271" spans="1:8" ht="30" customHeight="1" x14ac:dyDescent="0.3">
      <c r="A271" s="5"/>
      <c r="B271" s="3"/>
      <c r="C271" s="9"/>
      <c r="D271" s="6"/>
      <c r="E271" s="8"/>
      <c r="F271" s="3"/>
      <c r="G271" s="3"/>
      <c r="H271" s="9"/>
    </row>
    <row r="272" spans="1:8" ht="30" customHeight="1" x14ac:dyDescent="0.3">
      <c r="A272" s="5"/>
      <c r="B272" s="3"/>
      <c r="C272" s="9"/>
      <c r="D272" s="6"/>
      <c r="E272" s="8"/>
      <c r="F272" s="3"/>
      <c r="G272" s="3"/>
      <c r="H272" s="9"/>
    </row>
    <row r="273" spans="1:8" ht="30" customHeight="1" x14ac:dyDescent="0.3">
      <c r="A273" s="5"/>
      <c r="B273" s="3"/>
      <c r="C273" s="9"/>
      <c r="D273" s="6"/>
      <c r="E273" s="8"/>
      <c r="F273" s="3"/>
      <c r="G273" s="3"/>
      <c r="H273" s="9"/>
    </row>
    <row r="274" spans="1:8" ht="30" customHeight="1" x14ac:dyDescent="0.3">
      <c r="A274" s="5"/>
      <c r="B274" s="3"/>
      <c r="C274" s="9"/>
      <c r="D274" s="6"/>
      <c r="E274" s="8"/>
      <c r="F274" s="3"/>
      <c r="G274" s="3"/>
      <c r="H274" s="9"/>
    </row>
    <row r="275" spans="1:8" ht="30" customHeight="1" x14ac:dyDescent="0.3">
      <c r="A275" s="2"/>
      <c r="B275" s="2"/>
      <c r="C275" s="9"/>
      <c r="D275" s="12"/>
      <c r="E275" s="10"/>
      <c r="F275" s="2"/>
      <c r="G275" s="2"/>
      <c r="H275" s="9"/>
    </row>
    <row r="276" spans="1:8" ht="30" customHeight="1" x14ac:dyDescent="0.3">
      <c r="A276" s="2"/>
      <c r="B276" s="2"/>
      <c r="C276" s="9"/>
      <c r="D276" s="12"/>
      <c r="E276" s="10"/>
      <c r="F276" s="2"/>
      <c r="G276" s="2"/>
      <c r="H276" s="9"/>
    </row>
    <row r="277" spans="1:8" ht="30" customHeight="1" x14ac:dyDescent="0.3">
      <c r="A277" s="2"/>
      <c r="B277" s="2"/>
      <c r="C277" s="9"/>
      <c r="D277" s="12"/>
      <c r="E277" s="10"/>
      <c r="F277" s="2"/>
      <c r="G277" s="2"/>
      <c r="H277" s="9"/>
    </row>
    <row r="278" spans="1:8" ht="30" customHeight="1" x14ac:dyDescent="0.3">
      <c r="A278" s="2"/>
      <c r="B278" s="2"/>
      <c r="C278" s="9"/>
      <c r="D278" s="12"/>
      <c r="E278" s="10"/>
      <c r="F278" s="2"/>
      <c r="G278" s="2"/>
      <c r="H278" s="9"/>
    </row>
    <row r="279" spans="1:8" ht="30" customHeight="1" x14ac:dyDescent="0.3">
      <c r="A279" s="2"/>
      <c r="B279" s="2"/>
      <c r="C279" s="9"/>
      <c r="D279" s="12"/>
      <c r="E279" s="10"/>
      <c r="F279" s="2"/>
      <c r="G279" s="2"/>
      <c r="H279" s="9"/>
    </row>
    <row r="280" spans="1:8" ht="30" customHeight="1" x14ac:dyDescent="0.3">
      <c r="A280" s="2"/>
      <c r="B280" s="2"/>
      <c r="C280" s="9"/>
      <c r="D280" s="12"/>
      <c r="E280" s="10"/>
      <c r="F280" s="2"/>
      <c r="G280" s="2"/>
      <c r="H280" s="9"/>
    </row>
    <row r="281" spans="1:8" ht="30" customHeight="1" x14ac:dyDescent="0.3">
      <c r="A281" s="2"/>
      <c r="B281" s="2"/>
      <c r="C281" s="9"/>
      <c r="D281" s="2"/>
      <c r="E281" s="10"/>
      <c r="F281" s="2"/>
      <c r="G281" s="2"/>
      <c r="H281" s="9"/>
    </row>
    <row r="282" spans="1:8" ht="30" customHeight="1" x14ac:dyDescent="0.3">
      <c r="A282" s="2"/>
      <c r="B282" s="2"/>
      <c r="C282" s="9"/>
      <c r="D282" s="2"/>
      <c r="E282" s="10"/>
      <c r="F282" s="2"/>
      <c r="G282" s="2"/>
      <c r="H282" s="9"/>
    </row>
    <row r="283" spans="1:8" x14ac:dyDescent="0.3">
      <c r="A283" s="9"/>
      <c r="B283" s="9"/>
      <c r="C283" s="9"/>
      <c r="D283" s="9"/>
      <c r="E283" s="9"/>
      <c r="F283" s="9"/>
      <c r="G283" s="9"/>
      <c r="H283" s="9"/>
    </row>
    <row r="284" spans="1:8" x14ac:dyDescent="0.3">
      <c r="A284" s="9"/>
      <c r="B284" s="9"/>
      <c r="C284" s="9"/>
      <c r="D284" s="9"/>
      <c r="E284" s="9"/>
      <c r="F284" s="9"/>
      <c r="G284" s="9"/>
      <c r="H284" s="9"/>
    </row>
    <row r="285" spans="1:8" x14ac:dyDescent="0.3">
      <c r="A285" s="9"/>
      <c r="B285" s="9"/>
      <c r="C285" s="9"/>
      <c r="D285" s="9"/>
      <c r="E285" s="9"/>
      <c r="F285" s="9"/>
      <c r="G285" s="9"/>
      <c r="H285" s="9"/>
    </row>
    <row r="286" spans="1:8" x14ac:dyDescent="0.3">
      <c r="A286" s="9"/>
      <c r="B286" s="9"/>
      <c r="C286" s="9"/>
      <c r="D286" s="9"/>
      <c r="E286" s="9"/>
      <c r="F286" s="9"/>
      <c r="G286" s="9"/>
      <c r="H286" s="9"/>
    </row>
    <row r="287" spans="1:8" x14ac:dyDescent="0.3">
      <c r="A287" s="9"/>
      <c r="B287" s="9"/>
      <c r="C287" s="9"/>
      <c r="D287" s="9"/>
      <c r="E287" s="9"/>
      <c r="F287" s="9"/>
      <c r="G287" s="9"/>
      <c r="H287" s="9"/>
    </row>
    <row r="288" spans="1:8" x14ac:dyDescent="0.3">
      <c r="A288" s="9"/>
      <c r="B288" s="9"/>
      <c r="C288" s="9"/>
      <c r="D288" s="9"/>
      <c r="E288" s="9"/>
      <c r="F288" s="9"/>
      <c r="G288" s="9"/>
      <c r="H288" s="9"/>
    </row>
    <row r="289" spans="1:8" x14ac:dyDescent="0.3">
      <c r="A289" s="9"/>
      <c r="B289" s="9"/>
      <c r="C289" s="9"/>
      <c r="D289" s="9"/>
      <c r="E289" s="9"/>
      <c r="F289" s="9"/>
      <c r="G289" s="9"/>
      <c r="H289" s="9"/>
    </row>
    <row r="290" spans="1:8" x14ac:dyDescent="0.3">
      <c r="A290" s="9"/>
      <c r="B290" s="9"/>
      <c r="C290" s="9"/>
      <c r="D290" s="9"/>
      <c r="E290" s="9"/>
      <c r="F290" s="9"/>
      <c r="G290" s="9"/>
      <c r="H290" s="9"/>
    </row>
    <row r="291" spans="1:8" x14ac:dyDescent="0.3">
      <c r="A291" s="9"/>
      <c r="B291" s="9"/>
      <c r="C291" s="9"/>
      <c r="D291" s="9"/>
      <c r="E291" s="9"/>
      <c r="F291" s="9"/>
      <c r="G291" s="9"/>
      <c r="H291" s="9"/>
    </row>
    <row r="292" spans="1:8" x14ac:dyDescent="0.3">
      <c r="A292" s="9"/>
      <c r="B292" s="9"/>
      <c r="C292" s="9"/>
      <c r="D292" s="9"/>
      <c r="E292" s="9"/>
      <c r="F292" s="9"/>
      <c r="G292" s="9"/>
      <c r="H292" s="9"/>
    </row>
    <row r="293" spans="1:8" x14ac:dyDescent="0.3">
      <c r="A293" s="9"/>
      <c r="B293" s="9"/>
      <c r="C293" s="9"/>
      <c r="D293" s="9"/>
      <c r="E293" s="9"/>
      <c r="F293" s="9"/>
      <c r="G293" s="9"/>
      <c r="H293" s="9"/>
    </row>
    <row r="294" spans="1:8" x14ac:dyDescent="0.3">
      <c r="A294" s="9"/>
      <c r="B294" s="9"/>
      <c r="C294" s="9"/>
      <c r="D294" s="9"/>
      <c r="E294" s="9"/>
      <c r="F294" s="9"/>
      <c r="G294" s="9"/>
      <c r="H294" s="9"/>
    </row>
    <row r="295" spans="1:8" x14ac:dyDescent="0.3">
      <c r="A295" s="9"/>
      <c r="B295" s="9"/>
      <c r="C295" s="9"/>
      <c r="D295" s="9"/>
      <c r="E295" s="9"/>
      <c r="F295" s="9"/>
      <c r="G295" s="9"/>
      <c r="H295" s="9"/>
    </row>
    <row r="296" spans="1:8" x14ac:dyDescent="0.3">
      <c r="A296" s="9"/>
      <c r="B296" s="9"/>
      <c r="C296" s="9"/>
      <c r="D296" s="9"/>
      <c r="E296" s="9"/>
      <c r="F296" s="9"/>
      <c r="G296" s="9"/>
      <c r="H296" s="9"/>
    </row>
    <row r="297" spans="1:8" x14ac:dyDescent="0.3">
      <c r="A297" s="9"/>
      <c r="B297" s="9"/>
      <c r="C297" s="9"/>
      <c r="D297" s="9"/>
      <c r="E297" s="9"/>
      <c r="F297" s="9"/>
      <c r="G297" s="9"/>
      <c r="H297" s="9"/>
    </row>
    <row r="298" spans="1:8" x14ac:dyDescent="0.3">
      <c r="A298" s="9"/>
      <c r="B298" s="9"/>
      <c r="C298" s="9"/>
      <c r="D298" s="9"/>
      <c r="E298" s="9"/>
      <c r="F298" s="9"/>
      <c r="G298" s="9"/>
      <c r="H298" s="9"/>
    </row>
    <row r="299" spans="1:8" x14ac:dyDescent="0.3">
      <c r="A299" s="9"/>
      <c r="B299" s="9"/>
      <c r="C299" s="9"/>
      <c r="D299" s="9"/>
      <c r="E299" s="9"/>
      <c r="F299" s="9"/>
      <c r="G299" s="9"/>
      <c r="H299" s="9"/>
    </row>
    <row r="300" spans="1:8" x14ac:dyDescent="0.3">
      <c r="A300" s="9"/>
      <c r="B300" s="9"/>
      <c r="C300" s="9"/>
      <c r="D300" s="9"/>
      <c r="E300" s="9"/>
      <c r="F300" s="9"/>
      <c r="G300" s="9"/>
      <c r="H300" s="9"/>
    </row>
    <row r="301" spans="1:8" x14ac:dyDescent="0.3">
      <c r="A301" s="9"/>
      <c r="B301" s="9"/>
      <c r="C301" s="9"/>
      <c r="D301" s="9"/>
      <c r="E301" s="9"/>
      <c r="F301" s="9"/>
      <c r="G301" s="9"/>
      <c r="H301" s="9"/>
    </row>
    <row r="302" spans="1:8" x14ac:dyDescent="0.3">
      <c r="A302" s="9"/>
      <c r="B302" s="9"/>
      <c r="C302" s="9"/>
      <c r="D302" s="9"/>
      <c r="E302" s="9"/>
      <c r="F302" s="9"/>
      <c r="G302" s="9"/>
      <c r="H302" s="9"/>
    </row>
    <row r="303" spans="1:8" x14ac:dyDescent="0.3">
      <c r="A303" s="9"/>
      <c r="B303" s="9"/>
      <c r="C303" s="9"/>
      <c r="D303" s="9"/>
      <c r="E303" s="9"/>
      <c r="F303" s="9"/>
      <c r="G303" s="9"/>
      <c r="H303" s="9"/>
    </row>
    <row r="304" spans="1:8" x14ac:dyDescent="0.3">
      <c r="A304" s="9"/>
      <c r="B304" s="9"/>
      <c r="C304" s="9"/>
      <c r="D304" s="9"/>
      <c r="E304" s="9"/>
      <c r="F304" s="9"/>
      <c r="G304" s="9"/>
      <c r="H304" s="9"/>
    </row>
    <row r="305" spans="1:8" x14ac:dyDescent="0.3">
      <c r="A305" s="9"/>
      <c r="B305" s="9"/>
      <c r="C305" s="9"/>
      <c r="D305" s="9"/>
      <c r="E305" s="9"/>
      <c r="F305" s="9"/>
      <c r="G305" s="9"/>
      <c r="H305" s="9"/>
    </row>
    <row r="306" spans="1:8" x14ac:dyDescent="0.3">
      <c r="A306" s="9"/>
      <c r="B306" s="9"/>
      <c r="C306" s="9"/>
      <c r="D306" s="9"/>
      <c r="E306" s="9"/>
      <c r="F306" s="9"/>
      <c r="G306" s="9"/>
      <c r="H306" s="9"/>
    </row>
    <row r="307" spans="1:8" x14ac:dyDescent="0.3">
      <c r="A307" s="9"/>
      <c r="B307" s="9"/>
      <c r="C307" s="9"/>
      <c r="D307" s="9"/>
      <c r="E307" s="9"/>
      <c r="F307" s="9"/>
      <c r="G307" s="9"/>
      <c r="H307" s="9"/>
    </row>
    <row r="308" spans="1:8" x14ac:dyDescent="0.3">
      <c r="A308" s="9"/>
      <c r="B308" s="9"/>
      <c r="C308" s="9"/>
      <c r="D308" s="9"/>
      <c r="E308" s="9"/>
      <c r="F308" s="9"/>
      <c r="G308" s="9"/>
      <c r="H308" s="9"/>
    </row>
    <row r="309" spans="1:8" x14ac:dyDescent="0.3">
      <c r="A309" s="9"/>
      <c r="B309" s="9"/>
      <c r="C309" s="9"/>
      <c r="D309" s="9"/>
      <c r="E309" s="9"/>
      <c r="F309" s="9"/>
      <c r="G309" s="9"/>
      <c r="H309" s="9"/>
    </row>
    <row r="310" spans="1:8" x14ac:dyDescent="0.3">
      <c r="A310" s="9"/>
      <c r="B310" s="9"/>
      <c r="C310" s="9"/>
      <c r="D310" s="9"/>
      <c r="E310" s="9"/>
      <c r="F310" s="9"/>
      <c r="G310" s="9"/>
      <c r="H310" s="9"/>
    </row>
    <row r="311" spans="1:8" x14ac:dyDescent="0.3">
      <c r="A311" s="9"/>
      <c r="B311" s="9"/>
      <c r="C311" s="9"/>
      <c r="D311" s="9"/>
      <c r="E311" s="9"/>
      <c r="F311" s="9"/>
      <c r="G311" s="9"/>
      <c r="H311" s="9"/>
    </row>
    <row r="312" spans="1:8" x14ac:dyDescent="0.3">
      <c r="A312" s="9"/>
      <c r="B312" s="9"/>
      <c r="C312" s="9"/>
      <c r="D312" s="9"/>
      <c r="E312" s="9"/>
      <c r="F312" s="9"/>
      <c r="G312" s="9"/>
      <c r="H312" s="9"/>
    </row>
    <row r="313" spans="1:8" x14ac:dyDescent="0.3">
      <c r="A313" s="9"/>
      <c r="B313" s="9"/>
      <c r="C313" s="9"/>
      <c r="D313" s="9"/>
      <c r="E313" s="9"/>
      <c r="F313" s="9"/>
      <c r="G313" s="9"/>
      <c r="H313" s="9"/>
    </row>
    <row r="314" spans="1:8" x14ac:dyDescent="0.3">
      <c r="A314" s="9"/>
      <c r="B314" s="9"/>
      <c r="C314" s="9"/>
      <c r="D314" s="9"/>
      <c r="E314" s="9"/>
      <c r="F314" s="9"/>
      <c r="G314" s="9"/>
      <c r="H314" s="9"/>
    </row>
    <row r="315" spans="1:8" x14ac:dyDescent="0.3">
      <c r="A315" s="9"/>
      <c r="B315" s="9"/>
      <c r="C315" s="9"/>
      <c r="D315" s="9"/>
      <c r="E315" s="9"/>
      <c r="F315" s="9"/>
      <c r="G315" s="9"/>
      <c r="H315" s="9"/>
    </row>
    <row r="316" spans="1:8" x14ac:dyDescent="0.3">
      <c r="A316" s="9"/>
      <c r="B316" s="9"/>
      <c r="C316" s="9"/>
      <c r="D316" s="9"/>
      <c r="E316" s="9"/>
      <c r="F316" s="9"/>
      <c r="G316" s="9"/>
      <c r="H316" s="9"/>
    </row>
    <row r="317" spans="1:8" x14ac:dyDescent="0.3">
      <c r="A317" s="9"/>
      <c r="B317" s="9"/>
      <c r="C317" s="9"/>
      <c r="D317" s="9"/>
      <c r="E317" s="9"/>
      <c r="F317" s="9"/>
      <c r="G317" s="9"/>
      <c r="H317" s="9"/>
    </row>
    <row r="318" spans="1:8" x14ac:dyDescent="0.3">
      <c r="A318" s="9"/>
      <c r="B318" s="9"/>
      <c r="C318" s="9"/>
      <c r="D318" s="9"/>
      <c r="E318" s="9"/>
      <c r="F318" s="9"/>
      <c r="G318" s="9"/>
      <c r="H318" s="9"/>
    </row>
    <row r="319" spans="1:8" x14ac:dyDescent="0.3">
      <c r="A319" s="9"/>
      <c r="B319" s="9"/>
      <c r="C319" s="9"/>
      <c r="D319" s="9"/>
      <c r="E319" s="9"/>
      <c r="F319" s="9"/>
      <c r="G319" s="9"/>
      <c r="H319" s="9"/>
    </row>
    <row r="320" spans="1:8" x14ac:dyDescent="0.3">
      <c r="A320" s="9"/>
      <c r="B320" s="9"/>
      <c r="C320" s="9"/>
      <c r="D320" s="9"/>
      <c r="E320" s="9"/>
      <c r="F320" s="9"/>
      <c r="G320" s="9"/>
      <c r="H320" s="9"/>
    </row>
    <row r="321" spans="1:8" x14ac:dyDescent="0.3">
      <c r="A321" s="9"/>
      <c r="B321" s="9"/>
      <c r="C321" s="9"/>
      <c r="D321" s="9"/>
      <c r="E321" s="9"/>
      <c r="F321" s="9"/>
      <c r="G321" s="9"/>
      <c r="H321" s="9"/>
    </row>
    <row r="322" spans="1:8" x14ac:dyDescent="0.3">
      <c r="A322" s="9"/>
      <c r="B322" s="9"/>
      <c r="C322" s="9"/>
      <c r="D322" s="9"/>
      <c r="E322" s="9"/>
      <c r="F322" s="9"/>
      <c r="G322" s="9"/>
      <c r="H322" s="9"/>
    </row>
    <row r="323" spans="1:8" x14ac:dyDescent="0.3">
      <c r="A323" s="9"/>
      <c r="B323" s="9"/>
      <c r="C323" s="9"/>
      <c r="D323" s="9"/>
      <c r="E323" s="9"/>
      <c r="F323" s="9"/>
      <c r="G323" s="9"/>
      <c r="H323" s="9"/>
    </row>
    <row r="324" spans="1:8" x14ac:dyDescent="0.3">
      <c r="A324" s="9"/>
      <c r="B324" s="9"/>
      <c r="C324" s="9"/>
      <c r="D324" s="9"/>
      <c r="E324" s="9"/>
      <c r="F324" s="9"/>
      <c r="G324" s="9"/>
      <c r="H324" s="9"/>
    </row>
    <row r="325" spans="1:8" x14ac:dyDescent="0.3">
      <c r="A325" s="9"/>
      <c r="B325" s="9"/>
      <c r="C325" s="9"/>
      <c r="D325" s="9"/>
      <c r="E325" s="9"/>
      <c r="F325" s="9"/>
      <c r="G325" s="9"/>
      <c r="H325" s="9"/>
    </row>
    <row r="326" spans="1:8" x14ac:dyDescent="0.3">
      <c r="A326" s="9"/>
      <c r="B326" s="9"/>
      <c r="C326" s="9"/>
      <c r="D326" s="9"/>
      <c r="E326" s="9"/>
      <c r="F326" s="9"/>
      <c r="G326" s="9"/>
      <c r="H326" s="9"/>
    </row>
    <row r="327" spans="1:8" x14ac:dyDescent="0.3">
      <c r="A327" s="9"/>
      <c r="B327" s="9"/>
      <c r="C327" s="9"/>
      <c r="D327" s="9"/>
      <c r="E327" s="9"/>
      <c r="F327" s="9"/>
      <c r="G327" s="9"/>
      <c r="H327" s="9"/>
    </row>
    <row r="328" spans="1:8" x14ac:dyDescent="0.3">
      <c r="A328" s="9"/>
      <c r="B328" s="9"/>
      <c r="C328" s="9"/>
      <c r="D328" s="9"/>
      <c r="E328" s="9"/>
      <c r="F328" s="9"/>
      <c r="G328" s="9"/>
      <c r="H328" s="9"/>
    </row>
    <row r="329" spans="1:8" x14ac:dyDescent="0.3">
      <c r="A329" s="9"/>
      <c r="B329" s="9"/>
      <c r="C329" s="9"/>
      <c r="D329" s="9"/>
      <c r="E329" s="9"/>
      <c r="F329" s="9"/>
      <c r="G329" s="9"/>
      <c r="H329" s="9"/>
    </row>
    <row r="330" spans="1:8" x14ac:dyDescent="0.3">
      <c r="A330" s="9"/>
      <c r="B330" s="9"/>
      <c r="C330" s="9"/>
      <c r="D330" s="9"/>
      <c r="E330" s="9"/>
      <c r="F330" s="9"/>
      <c r="G330" s="9"/>
      <c r="H330" s="9"/>
    </row>
    <row r="331" spans="1:8" x14ac:dyDescent="0.3">
      <c r="A331" s="9"/>
      <c r="B331" s="9"/>
      <c r="C331" s="9"/>
      <c r="D331" s="9"/>
      <c r="E331" s="9"/>
      <c r="F331" s="9"/>
      <c r="G331" s="9"/>
      <c r="H331" s="9"/>
    </row>
    <row r="332" spans="1:8" x14ac:dyDescent="0.3">
      <c r="A332" s="9"/>
      <c r="B332" s="9"/>
      <c r="C332" s="9"/>
      <c r="D332" s="9"/>
      <c r="E332" s="9"/>
      <c r="F332" s="9"/>
      <c r="G332" s="9"/>
      <c r="H332" s="9"/>
    </row>
    <row r="333" spans="1:8" x14ac:dyDescent="0.3">
      <c r="A333" s="9"/>
      <c r="B333" s="9"/>
      <c r="C333" s="9"/>
      <c r="D333" s="9"/>
      <c r="E333" s="9"/>
      <c r="F333" s="9"/>
      <c r="G333" s="9"/>
      <c r="H333" s="9"/>
    </row>
    <row r="334" spans="1:8" x14ac:dyDescent="0.3">
      <c r="A334" s="9"/>
      <c r="B334" s="9"/>
      <c r="C334" s="9"/>
      <c r="D334" s="9"/>
      <c r="E334" s="9"/>
      <c r="F334" s="9"/>
      <c r="G334" s="9"/>
      <c r="H334" s="9"/>
    </row>
    <row r="335" spans="1:8" x14ac:dyDescent="0.3">
      <c r="A335" s="9"/>
      <c r="B335" s="9"/>
      <c r="C335" s="9"/>
      <c r="D335" s="9"/>
      <c r="E335" s="9"/>
      <c r="F335" s="9"/>
      <c r="G335" s="9"/>
      <c r="H335" s="9"/>
    </row>
    <row r="336" spans="1:8" x14ac:dyDescent="0.3">
      <c r="A336" s="9"/>
      <c r="B336" s="9"/>
      <c r="C336" s="9"/>
      <c r="D336" s="9"/>
      <c r="E336" s="9"/>
      <c r="F336" s="9"/>
      <c r="G336" s="9"/>
      <c r="H336" s="9"/>
    </row>
    <row r="337" spans="1:8" x14ac:dyDescent="0.3">
      <c r="A337" s="9"/>
      <c r="B337" s="9"/>
      <c r="C337" s="9"/>
      <c r="D337" s="9"/>
      <c r="E337" s="9"/>
      <c r="F337" s="9"/>
      <c r="G337" s="9"/>
      <c r="H337" s="9"/>
    </row>
    <row r="338" spans="1:8" x14ac:dyDescent="0.3">
      <c r="A338" s="9"/>
      <c r="B338" s="9"/>
      <c r="C338" s="9"/>
      <c r="D338" s="9"/>
      <c r="E338" s="9"/>
      <c r="F338" s="9"/>
      <c r="G338" s="9"/>
      <c r="H338" s="9"/>
    </row>
    <row r="339" spans="1:8" x14ac:dyDescent="0.3">
      <c r="A339" s="9"/>
      <c r="B339" s="9"/>
      <c r="C339" s="9"/>
      <c r="D339" s="9"/>
      <c r="E339" s="9"/>
      <c r="F339" s="9"/>
      <c r="G339" s="9"/>
      <c r="H339" s="9"/>
    </row>
    <row r="340" spans="1:8" x14ac:dyDescent="0.3">
      <c r="A340" s="9"/>
      <c r="B340" s="9"/>
      <c r="C340" s="9"/>
      <c r="D340" s="9"/>
      <c r="E340" s="9"/>
      <c r="F340" s="9"/>
      <c r="G340" s="9"/>
      <c r="H340" s="9"/>
    </row>
    <row r="341" spans="1:8" x14ac:dyDescent="0.3">
      <c r="A341" s="9"/>
      <c r="B341" s="9"/>
      <c r="C341" s="9"/>
      <c r="D341" s="9"/>
      <c r="E341" s="9"/>
      <c r="F341" s="9"/>
      <c r="G341" s="9"/>
      <c r="H341" s="9"/>
    </row>
    <row r="342" spans="1:8" x14ac:dyDescent="0.3">
      <c r="A342" s="9"/>
      <c r="B342" s="9"/>
      <c r="C342" s="9"/>
      <c r="D342" s="9"/>
      <c r="E342" s="9"/>
      <c r="F342" s="9"/>
      <c r="G342" s="9"/>
      <c r="H342" s="9"/>
    </row>
    <row r="343" spans="1:8" x14ac:dyDescent="0.3">
      <c r="A343" s="9"/>
      <c r="B343" s="9"/>
      <c r="C343" s="9"/>
      <c r="D343" s="9"/>
      <c r="E343" s="9"/>
      <c r="F343" s="9"/>
      <c r="G343" s="9"/>
      <c r="H343" s="9"/>
    </row>
    <row r="344" spans="1:8" x14ac:dyDescent="0.3">
      <c r="A344" s="9"/>
      <c r="B344" s="9"/>
      <c r="C344" s="9"/>
      <c r="D344" s="9"/>
      <c r="E344" s="9"/>
      <c r="F344" s="9"/>
      <c r="G344" s="9"/>
      <c r="H344" s="9"/>
    </row>
    <row r="345" spans="1:8" x14ac:dyDescent="0.3">
      <c r="A345" s="9"/>
      <c r="B345" s="9"/>
      <c r="C345" s="9"/>
      <c r="D345" s="9"/>
      <c r="E345" s="9"/>
      <c r="F345" s="9"/>
      <c r="G345" s="9"/>
      <c r="H345" s="9"/>
    </row>
    <row r="346" spans="1:8" x14ac:dyDescent="0.3">
      <c r="A346" s="9"/>
      <c r="B346" s="9"/>
      <c r="C346" s="9"/>
      <c r="D346" s="9"/>
      <c r="E346" s="9"/>
      <c r="F346" s="9"/>
      <c r="G346" s="9"/>
      <c r="H346" s="9"/>
    </row>
    <row r="347" spans="1:8" x14ac:dyDescent="0.3">
      <c r="A347" s="9"/>
      <c r="B347" s="9"/>
      <c r="C347" s="9"/>
      <c r="D347" s="9"/>
      <c r="E347" s="9"/>
      <c r="F347" s="9"/>
      <c r="G347" s="9"/>
      <c r="H347" s="9"/>
    </row>
    <row r="348" spans="1:8" x14ac:dyDescent="0.3">
      <c r="A348" s="9"/>
      <c r="B348" s="9"/>
      <c r="C348" s="9"/>
      <c r="D348" s="9"/>
      <c r="E348" s="9"/>
      <c r="F348" s="9"/>
      <c r="G348" s="9"/>
      <c r="H348" s="9"/>
    </row>
    <row r="349" spans="1:8" x14ac:dyDescent="0.3">
      <c r="A349" s="9"/>
      <c r="B349" s="9"/>
      <c r="C349" s="9"/>
      <c r="D349" s="9"/>
      <c r="E349" s="9"/>
      <c r="F349" s="9"/>
      <c r="G349" s="9"/>
      <c r="H349" s="9"/>
    </row>
    <row r="350" spans="1:8" x14ac:dyDescent="0.3">
      <c r="A350" s="9"/>
      <c r="B350" s="9"/>
      <c r="C350" s="9"/>
      <c r="D350" s="9"/>
      <c r="E350" s="9"/>
      <c r="F350" s="9"/>
      <c r="G350" s="9"/>
      <c r="H350" s="9"/>
    </row>
    <row r="351" spans="1:8" x14ac:dyDescent="0.3">
      <c r="A351" s="9"/>
      <c r="B351" s="9"/>
      <c r="C351" s="9"/>
      <c r="D351" s="9"/>
      <c r="E351" s="9"/>
      <c r="F351" s="9"/>
      <c r="G351" s="9"/>
      <c r="H351" s="9"/>
    </row>
    <row r="352" spans="1:8" x14ac:dyDescent="0.3">
      <c r="A352" s="9"/>
      <c r="B352" s="9"/>
      <c r="C352" s="9"/>
      <c r="D352" s="9"/>
      <c r="E352" s="9"/>
      <c r="F352" s="9"/>
      <c r="G352" s="9"/>
      <c r="H352" s="9"/>
    </row>
    <row r="353" spans="1:8" x14ac:dyDescent="0.3">
      <c r="A353" s="9"/>
      <c r="B353" s="9"/>
      <c r="C353" s="9"/>
      <c r="D353" s="9"/>
      <c r="E353" s="9"/>
      <c r="F353" s="9"/>
      <c r="G353" s="9"/>
      <c r="H353" s="9"/>
    </row>
    <row r="354" spans="1:8" x14ac:dyDescent="0.3">
      <c r="A354" s="9"/>
      <c r="B354" s="9"/>
      <c r="C354" s="9"/>
      <c r="D354" s="9"/>
      <c r="E354" s="9"/>
      <c r="F354" s="9"/>
      <c r="G354" s="9"/>
      <c r="H354" s="9"/>
    </row>
    <row r="355" spans="1:8" x14ac:dyDescent="0.3">
      <c r="A355" s="9"/>
      <c r="B355" s="9"/>
      <c r="C355" s="9"/>
      <c r="D355" s="9"/>
      <c r="E355" s="9"/>
      <c r="F355" s="9"/>
      <c r="G355" s="9"/>
      <c r="H355" s="9"/>
    </row>
    <row r="356" spans="1:8" x14ac:dyDescent="0.3">
      <c r="A356" s="9"/>
      <c r="B356" s="9"/>
      <c r="C356" s="9"/>
      <c r="D356" s="9"/>
      <c r="E356" s="9"/>
      <c r="F356" s="9"/>
      <c r="G356" s="9"/>
      <c r="H356" s="9"/>
    </row>
    <row r="357" spans="1:8" x14ac:dyDescent="0.3">
      <c r="A357" s="9"/>
      <c r="B357" s="9"/>
      <c r="C357" s="9"/>
      <c r="D357" s="9"/>
      <c r="E357" s="9"/>
      <c r="F357" s="9"/>
      <c r="G357" s="9"/>
      <c r="H357" s="9"/>
    </row>
    <row r="358" spans="1:8" x14ac:dyDescent="0.3">
      <c r="A358" s="9"/>
      <c r="B358" s="9"/>
      <c r="C358" s="9"/>
      <c r="D358" s="9"/>
      <c r="E358" s="9"/>
      <c r="F358" s="9"/>
      <c r="G358" s="9"/>
      <c r="H358" s="9"/>
    </row>
    <row r="359" spans="1:8" x14ac:dyDescent="0.3">
      <c r="A359" s="9"/>
      <c r="B359" s="9"/>
      <c r="C359" s="9"/>
      <c r="D359" s="9"/>
      <c r="E359" s="9"/>
      <c r="F359" s="9"/>
      <c r="G359" s="9"/>
      <c r="H359" s="9"/>
    </row>
    <row r="360" spans="1:8" x14ac:dyDescent="0.3">
      <c r="A360" s="9"/>
      <c r="B360" s="9"/>
      <c r="C360" s="9"/>
      <c r="D360" s="9"/>
      <c r="E360" s="9"/>
      <c r="F360" s="9"/>
      <c r="G360" s="9"/>
      <c r="H360" s="9"/>
    </row>
    <row r="361" spans="1:8" x14ac:dyDescent="0.3">
      <c r="A361" s="9"/>
      <c r="B361" s="9"/>
      <c r="C361" s="9"/>
      <c r="D361" s="9"/>
      <c r="E361" s="9"/>
      <c r="F361" s="9"/>
      <c r="G361" s="9"/>
      <c r="H361" s="9"/>
    </row>
    <row r="362" spans="1:8" x14ac:dyDescent="0.3">
      <c r="A362" s="9"/>
      <c r="B362" s="9"/>
      <c r="C362" s="9"/>
      <c r="D362" s="9"/>
      <c r="E362" s="9"/>
      <c r="F362" s="9"/>
      <c r="G362" s="9"/>
      <c r="H362" s="9"/>
    </row>
    <row r="363" spans="1:8" x14ac:dyDescent="0.3">
      <c r="A363" s="9"/>
      <c r="B363" s="9"/>
      <c r="C363" s="9"/>
      <c r="D363" s="9"/>
      <c r="E363" s="9"/>
      <c r="F363" s="9"/>
      <c r="G363" s="9"/>
      <c r="H363" s="9"/>
    </row>
    <row r="364" spans="1:8" x14ac:dyDescent="0.3">
      <c r="A364" s="9"/>
      <c r="B364" s="9"/>
      <c r="C364" s="9"/>
      <c r="D364" s="9"/>
      <c r="E364" s="9"/>
      <c r="F364" s="9"/>
      <c r="G364" s="9"/>
      <c r="H364" s="9"/>
    </row>
    <row r="365" spans="1:8" x14ac:dyDescent="0.3">
      <c r="A365" s="9"/>
      <c r="B365" s="9"/>
      <c r="C365" s="9"/>
      <c r="D365" s="9"/>
      <c r="E365" s="9"/>
      <c r="F365" s="9"/>
      <c r="G365" s="9"/>
      <c r="H365" s="9"/>
    </row>
    <row r="366" spans="1:8" x14ac:dyDescent="0.3">
      <c r="A366" s="9"/>
      <c r="B366" s="9"/>
      <c r="C366" s="9"/>
      <c r="D366" s="9"/>
      <c r="E366" s="9"/>
      <c r="F366" s="9"/>
      <c r="G366" s="9"/>
      <c r="H366" s="9"/>
    </row>
    <row r="367" spans="1:8" x14ac:dyDescent="0.3">
      <c r="A367" s="9"/>
      <c r="B367" s="9"/>
      <c r="C367" s="9"/>
      <c r="D367" s="9"/>
      <c r="E367" s="9"/>
      <c r="F367" s="9"/>
      <c r="G367" s="9"/>
      <c r="H367" s="9"/>
    </row>
    <row r="368" spans="1:8" x14ac:dyDescent="0.3">
      <c r="A368" s="9"/>
      <c r="B368" s="9"/>
      <c r="C368" s="9"/>
      <c r="D368" s="9"/>
      <c r="E368" s="9"/>
      <c r="F368" s="9"/>
      <c r="G368" s="9"/>
      <c r="H368" s="9"/>
    </row>
    <row r="369" spans="1:8" x14ac:dyDescent="0.3">
      <c r="A369" s="9"/>
      <c r="B369" s="9"/>
      <c r="C369" s="9"/>
      <c r="D369" s="9"/>
      <c r="E369" s="9"/>
      <c r="F369" s="9"/>
      <c r="G369" s="9"/>
      <c r="H369" s="9"/>
    </row>
    <row r="370" spans="1:8" x14ac:dyDescent="0.3">
      <c r="A370" s="9"/>
      <c r="B370" s="9"/>
      <c r="C370" s="9"/>
      <c r="D370" s="9"/>
      <c r="E370" s="9"/>
      <c r="F370" s="9"/>
      <c r="G370" s="9"/>
      <c r="H370" s="9"/>
    </row>
    <row r="371" spans="1:8" x14ac:dyDescent="0.3">
      <c r="A371" s="9"/>
      <c r="B371" s="9"/>
      <c r="C371" s="9"/>
      <c r="D371" s="9"/>
      <c r="E371" s="9"/>
      <c r="F371" s="9"/>
      <c r="G371" s="9"/>
      <c r="H371" s="9"/>
    </row>
    <row r="372" spans="1:8" x14ac:dyDescent="0.3">
      <c r="A372" s="9"/>
      <c r="B372" s="9"/>
      <c r="C372" s="9"/>
      <c r="D372" s="9"/>
      <c r="E372" s="9"/>
      <c r="F372" s="9"/>
      <c r="G372" s="9"/>
      <c r="H372" s="9"/>
    </row>
    <row r="373" spans="1:8" x14ac:dyDescent="0.3">
      <c r="A373" s="9"/>
      <c r="B373" s="9"/>
      <c r="C373" s="9"/>
      <c r="D373" s="9"/>
      <c r="E373" s="9"/>
      <c r="F373" s="9"/>
      <c r="G373" s="9"/>
      <c r="H373" s="9"/>
    </row>
    <row r="374" spans="1:8" x14ac:dyDescent="0.3">
      <c r="A374" s="9"/>
      <c r="B374" s="9"/>
      <c r="C374" s="9"/>
      <c r="D374" s="9"/>
      <c r="E374" s="9"/>
      <c r="F374" s="9"/>
      <c r="G374" s="9"/>
      <c r="H374" s="9"/>
    </row>
    <row r="375" spans="1:8" x14ac:dyDescent="0.3">
      <c r="A375" s="9"/>
      <c r="B375" s="9"/>
      <c r="C375" s="9"/>
      <c r="D375" s="9"/>
      <c r="E375" s="9"/>
      <c r="F375" s="9"/>
      <c r="G375" s="9"/>
      <c r="H375" s="9"/>
    </row>
    <row r="376" spans="1:8" x14ac:dyDescent="0.3">
      <c r="A376" s="9"/>
      <c r="B376" s="9"/>
      <c r="C376" s="9"/>
      <c r="D376" s="9"/>
      <c r="E376" s="9"/>
      <c r="F376" s="9"/>
      <c r="G376" s="9"/>
      <c r="H376" s="9"/>
    </row>
    <row r="377" spans="1:8" x14ac:dyDescent="0.3">
      <c r="A377" s="9"/>
      <c r="B377" s="9"/>
      <c r="C377" s="9"/>
      <c r="D377" s="9"/>
      <c r="E377" s="9"/>
      <c r="F377" s="9"/>
      <c r="G377" s="9"/>
      <c r="H377" s="9"/>
    </row>
    <row r="378" spans="1:8" x14ac:dyDescent="0.3">
      <c r="A378" s="9"/>
      <c r="B378" s="9"/>
      <c r="C378" s="9"/>
      <c r="D378" s="9"/>
      <c r="E378" s="9"/>
      <c r="F378" s="9"/>
      <c r="G378" s="9"/>
      <c r="H378" s="9"/>
    </row>
    <row r="379" spans="1:8" x14ac:dyDescent="0.3">
      <c r="A379" s="9"/>
      <c r="B379" s="9"/>
      <c r="C379" s="9"/>
      <c r="D379" s="9"/>
      <c r="E379" s="9"/>
      <c r="F379" s="9"/>
      <c r="G379" s="9"/>
      <c r="H379" s="9"/>
    </row>
    <row r="380" spans="1:8" x14ac:dyDescent="0.3">
      <c r="A380" s="9"/>
      <c r="B380" s="9"/>
      <c r="C380" s="9"/>
      <c r="D380" s="9"/>
      <c r="E380" s="9"/>
      <c r="F380" s="9"/>
      <c r="G380" s="9"/>
      <c r="H380" s="9"/>
    </row>
    <row r="381" spans="1:8" x14ac:dyDescent="0.3">
      <c r="A381" s="9"/>
      <c r="B381" s="9"/>
      <c r="C381" s="9"/>
      <c r="D381" s="9"/>
      <c r="E381" s="9"/>
      <c r="F381" s="9"/>
      <c r="G381" s="9"/>
      <c r="H381" s="9"/>
    </row>
    <row r="382" spans="1:8" x14ac:dyDescent="0.3">
      <c r="A382" s="9"/>
      <c r="B382" s="9"/>
      <c r="C382" s="9"/>
      <c r="D382" s="9"/>
      <c r="E382" s="9"/>
      <c r="F382" s="9"/>
      <c r="G382" s="9"/>
      <c r="H382" s="9"/>
    </row>
    <row r="383" spans="1:8" x14ac:dyDescent="0.3">
      <c r="A383" s="9"/>
      <c r="B383" s="9"/>
      <c r="C383" s="9"/>
      <c r="D383" s="9"/>
      <c r="E383" s="9"/>
      <c r="F383" s="9"/>
      <c r="G383" s="9"/>
      <c r="H383" s="9"/>
    </row>
    <row r="384" spans="1:8" x14ac:dyDescent="0.3">
      <c r="A384" s="9"/>
      <c r="B384" s="9"/>
      <c r="C384" s="9"/>
      <c r="D384" s="9"/>
      <c r="E384" s="9"/>
      <c r="F384" s="9"/>
      <c r="G384" s="9"/>
      <c r="H384" s="9"/>
    </row>
    <row r="385" spans="1:8" x14ac:dyDescent="0.3">
      <c r="A385" s="9"/>
      <c r="B385" s="9"/>
      <c r="C385" s="9"/>
      <c r="D385" s="9"/>
      <c r="E385" s="9"/>
      <c r="F385" s="9"/>
      <c r="G385" s="9"/>
      <c r="H385" s="9"/>
    </row>
    <row r="386" spans="1:8" x14ac:dyDescent="0.3">
      <c r="A386" s="9"/>
      <c r="B386" s="9"/>
      <c r="C386" s="9"/>
      <c r="D386" s="9"/>
      <c r="E386" s="9"/>
      <c r="F386" s="9"/>
      <c r="G386" s="9"/>
      <c r="H386" s="9"/>
    </row>
    <row r="387" spans="1:8" x14ac:dyDescent="0.3">
      <c r="A387" s="9"/>
      <c r="B387" s="9"/>
      <c r="C387" s="9"/>
      <c r="D387" s="9"/>
      <c r="E387" s="9"/>
      <c r="F387" s="9"/>
      <c r="G387" s="9"/>
      <c r="H387" s="9"/>
    </row>
    <row r="388" spans="1:8" x14ac:dyDescent="0.3">
      <c r="A388" s="9"/>
      <c r="B388" s="9"/>
      <c r="C388" s="9"/>
      <c r="D388" s="9"/>
      <c r="E388" s="9"/>
      <c r="F388" s="9"/>
      <c r="G388" s="9"/>
      <c r="H388" s="9"/>
    </row>
    <row r="389" spans="1:8" x14ac:dyDescent="0.3">
      <c r="A389" s="9"/>
      <c r="B389" s="9"/>
      <c r="C389" s="9"/>
      <c r="D389" s="9"/>
      <c r="E389" s="9"/>
      <c r="F389" s="9"/>
      <c r="G389" s="9"/>
      <c r="H389" s="9"/>
    </row>
    <row r="390" spans="1:8" x14ac:dyDescent="0.3">
      <c r="A390" s="9"/>
      <c r="B390" s="9"/>
      <c r="C390" s="9"/>
      <c r="D390" s="9"/>
      <c r="E390" s="9"/>
      <c r="F390" s="9"/>
      <c r="G390" s="9"/>
      <c r="H390" s="9"/>
    </row>
    <row r="391" spans="1:8" x14ac:dyDescent="0.3">
      <c r="A391" s="9"/>
      <c r="B391" s="9"/>
      <c r="C391" s="9"/>
      <c r="D391" s="9"/>
      <c r="E391" s="9"/>
      <c r="F391" s="9"/>
      <c r="G391" s="9"/>
      <c r="H391" s="9"/>
    </row>
    <row r="392" spans="1:8" x14ac:dyDescent="0.3">
      <c r="A392" s="9"/>
      <c r="B392" s="9"/>
      <c r="C392" s="9"/>
      <c r="D392" s="9"/>
      <c r="E392" s="9"/>
      <c r="F392" s="9"/>
      <c r="G392" s="9"/>
      <c r="H392" s="9"/>
    </row>
    <row r="393" spans="1:8" x14ac:dyDescent="0.3">
      <c r="A393" s="9"/>
      <c r="B393" s="9"/>
      <c r="C393" s="9"/>
      <c r="D393" s="9"/>
      <c r="E393" s="9"/>
      <c r="F393" s="9"/>
      <c r="G393" s="9"/>
      <c r="H393" s="9"/>
    </row>
    <row r="394" spans="1:8" x14ac:dyDescent="0.3">
      <c r="A394" s="9"/>
      <c r="B394" s="9"/>
      <c r="C394" s="9"/>
      <c r="D394" s="9"/>
      <c r="E394" s="9"/>
      <c r="F394" s="9"/>
      <c r="G394" s="9"/>
      <c r="H394" s="9"/>
    </row>
    <row r="395" spans="1:8" x14ac:dyDescent="0.3">
      <c r="A395" s="9"/>
      <c r="B395" s="9"/>
      <c r="C395" s="9"/>
      <c r="D395" s="9"/>
      <c r="E395" s="9"/>
      <c r="F395" s="9"/>
      <c r="G395" s="9"/>
      <c r="H395" s="9"/>
    </row>
    <row r="396" spans="1:8" x14ac:dyDescent="0.3">
      <c r="A396" s="9"/>
      <c r="B396" s="9"/>
      <c r="C396" s="9"/>
      <c r="D396" s="9"/>
      <c r="E396" s="9"/>
      <c r="F396" s="9"/>
      <c r="G396" s="9"/>
      <c r="H396" s="9"/>
    </row>
    <row r="397" spans="1:8" x14ac:dyDescent="0.3">
      <c r="A397" s="9"/>
      <c r="B397" s="9"/>
      <c r="C397" s="9"/>
      <c r="D397" s="9"/>
      <c r="E397" s="9"/>
      <c r="F397" s="9"/>
      <c r="G397" s="9"/>
      <c r="H397" s="9"/>
    </row>
    <row r="398" spans="1:8" x14ac:dyDescent="0.3">
      <c r="A398" s="9"/>
      <c r="B398" s="9"/>
      <c r="C398" s="9"/>
      <c r="D398" s="9"/>
      <c r="E398" s="9"/>
      <c r="F398" s="9"/>
      <c r="G398" s="9"/>
      <c r="H398" s="9"/>
    </row>
    <row r="399" spans="1:8" x14ac:dyDescent="0.3">
      <c r="A399" s="9"/>
      <c r="B399" s="9"/>
      <c r="C399" s="9"/>
      <c r="D399" s="9"/>
      <c r="E399" s="9"/>
      <c r="F399" s="9"/>
      <c r="G399" s="9"/>
      <c r="H399" s="9"/>
    </row>
    <row r="400" spans="1:8" x14ac:dyDescent="0.3">
      <c r="A400" s="9"/>
      <c r="B400" s="9"/>
      <c r="C400" s="9"/>
      <c r="D400" s="9"/>
      <c r="E400" s="9"/>
      <c r="F400" s="9"/>
      <c r="G400" s="9"/>
      <c r="H400" s="9"/>
    </row>
    <row r="401" spans="1:8" x14ac:dyDescent="0.3">
      <c r="A401" s="9"/>
      <c r="B401" s="9"/>
      <c r="C401" s="9"/>
      <c r="D401" s="9"/>
      <c r="E401" s="9"/>
      <c r="F401" s="9"/>
      <c r="G401" s="9"/>
      <c r="H401" s="9"/>
    </row>
    <row r="402" spans="1:8" x14ac:dyDescent="0.3">
      <c r="A402" s="9"/>
      <c r="B402" s="9"/>
      <c r="C402" s="9"/>
      <c r="D402" s="9"/>
      <c r="E402" s="9"/>
      <c r="F402" s="9"/>
      <c r="G402" s="9"/>
      <c r="H402" s="9"/>
    </row>
    <row r="403" spans="1:8" x14ac:dyDescent="0.3">
      <c r="A403" s="9"/>
      <c r="B403" s="9"/>
      <c r="C403" s="9"/>
      <c r="D403" s="9"/>
      <c r="E403" s="9"/>
      <c r="F403" s="9"/>
      <c r="G403" s="9"/>
      <c r="H403" s="9"/>
    </row>
    <row r="404" spans="1:8" x14ac:dyDescent="0.3">
      <c r="A404" s="9"/>
      <c r="B404" s="9"/>
      <c r="C404" s="9"/>
      <c r="D404" s="9"/>
      <c r="E404" s="9"/>
      <c r="F404" s="9"/>
      <c r="G404" s="9"/>
      <c r="H404" s="9"/>
    </row>
    <row r="405" spans="1:8" x14ac:dyDescent="0.3">
      <c r="A405" s="9"/>
      <c r="B405" s="9"/>
      <c r="C405" s="9"/>
      <c r="D405" s="9"/>
      <c r="E405" s="9"/>
      <c r="F405" s="9"/>
      <c r="G405" s="9"/>
      <c r="H405" s="9"/>
    </row>
    <row r="406" spans="1:8" x14ac:dyDescent="0.3">
      <c r="A406" s="9"/>
      <c r="B406" s="9"/>
      <c r="C406" s="9"/>
      <c r="D406" s="9"/>
      <c r="E406" s="9"/>
      <c r="F406" s="9"/>
      <c r="G406" s="9"/>
      <c r="H406" s="9"/>
    </row>
    <row r="407" spans="1:8" x14ac:dyDescent="0.3">
      <c r="A407" s="9"/>
      <c r="B407" s="9"/>
      <c r="C407" s="9"/>
      <c r="D407" s="9"/>
      <c r="E407" s="9"/>
      <c r="F407" s="9"/>
      <c r="G407" s="9"/>
      <c r="H407" s="9"/>
    </row>
    <row r="408" spans="1:8" x14ac:dyDescent="0.3">
      <c r="A408" s="9"/>
      <c r="B408" s="9"/>
      <c r="C408" s="9"/>
      <c r="D408" s="9"/>
      <c r="E408" s="9"/>
      <c r="F408" s="9"/>
      <c r="G408" s="9"/>
      <c r="H408" s="9"/>
    </row>
    <row r="409" spans="1:8" x14ac:dyDescent="0.3">
      <c r="A409" s="9"/>
      <c r="B409" s="9"/>
      <c r="C409" s="9"/>
      <c r="D409" s="9"/>
      <c r="E409" s="9"/>
      <c r="F409" s="9"/>
      <c r="G409" s="9"/>
      <c r="H409" s="9"/>
    </row>
    <row r="410" spans="1:8" x14ac:dyDescent="0.3">
      <c r="A410" s="9"/>
      <c r="B410" s="9"/>
      <c r="C410" s="9"/>
      <c r="D410" s="9"/>
      <c r="E410" s="9"/>
      <c r="F410" s="9"/>
      <c r="G410" s="9"/>
      <c r="H410" s="9"/>
    </row>
    <row r="411" spans="1:8" x14ac:dyDescent="0.3">
      <c r="A411" s="9"/>
      <c r="B411" s="9"/>
      <c r="C411" s="9"/>
      <c r="D411" s="9"/>
      <c r="E411" s="9"/>
      <c r="F411" s="9"/>
      <c r="G411" s="9"/>
      <c r="H411" s="9"/>
    </row>
    <row r="412" spans="1:8" x14ac:dyDescent="0.3">
      <c r="A412" s="9"/>
      <c r="B412" s="9"/>
      <c r="C412" s="9"/>
      <c r="D412" s="9"/>
      <c r="E412" s="9"/>
      <c r="F412" s="9"/>
      <c r="G412" s="9"/>
      <c r="H412" s="9"/>
    </row>
  </sheetData>
  <mergeCells count="8">
    <mergeCell ref="A1:H1"/>
    <mergeCell ref="A3:B3"/>
    <mergeCell ref="C3:C4"/>
    <mergeCell ref="D3:D4"/>
    <mergeCell ref="E3:E4"/>
    <mergeCell ref="F3:F4"/>
    <mergeCell ref="G3:G4"/>
    <mergeCell ref="H3:H4"/>
  </mergeCells>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46D1B-C5AF-4795-8BED-E333205AE721}">
  <dimension ref="A1:H412"/>
  <sheetViews>
    <sheetView topLeftCell="B1" zoomScale="70" zoomScaleNormal="70" workbookViewId="0">
      <pane ySplit="4" topLeftCell="A26" activePane="bottomLeft" state="frozen"/>
      <selection pane="bottomLeft" activeCell="G39" sqref="G39"/>
    </sheetView>
  </sheetViews>
  <sheetFormatPr defaultRowHeight="20.25" x14ac:dyDescent="0.3"/>
  <cols>
    <col min="1" max="2" width="20.7109375" style="1" customWidth="1"/>
    <col min="3" max="3" width="15.7109375" style="1" customWidth="1"/>
    <col min="4" max="4" width="80.7109375" style="1" customWidth="1"/>
    <col min="5" max="5" width="30.7109375" style="1" customWidth="1"/>
    <col min="6" max="7" width="80.7109375" style="1" customWidth="1"/>
    <col min="8" max="8" width="45.7109375" style="1" customWidth="1"/>
    <col min="9" max="16384" width="9.140625" style="1"/>
  </cols>
  <sheetData>
    <row r="1" spans="1:8" ht="30" x14ac:dyDescent="0.4">
      <c r="A1" s="109" t="s">
        <v>112</v>
      </c>
      <c r="B1" s="109"/>
      <c r="C1" s="109"/>
      <c r="D1" s="109"/>
      <c r="E1" s="109"/>
      <c r="F1" s="109"/>
      <c r="G1" s="109"/>
      <c r="H1" s="109"/>
    </row>
    <row r="3" spans="1:8" x14ac:dyDescent="0.3">
      <c r="A3" s="110" t="s">
        <v>1</v>
      </c>
      <c r="B3" s="110"/>
      <c r="C3" s="110" t="s">
        <v>4</v>
      </c>
      <c r="D3" s="110" t="s">
        <v>8</v>
      </c>
      <c r="E3" s="110" t="s">
        <v>1</v>
      </c>
      <c r="F3" s="110" t="s">
        <v>7</v>
      </c>
      <c r="G3" s="110" t="s">
        <v>5</v>
      </c>
      <c r="H3" s="110" t="s">
        <v>11</v>
      </c>
    </row>
    <row r="4" spans="1:8" x14ac:dyDescent="0.3">
      <c r="A4" s="4" t="s">
        <v>2</v>
      </c>
      <c r="B4" s="4" t="s">
        <v>3</v>
      </c>
      <c r="C4" s="110"/>
      <c r="D4" s="110"/>
      <c r="E4" s="110"/>
      <c r="F4" s="110"/>
      <c r="G4" s="110"/>
      <c r="H4" s="110"/>
    </row>
    <row r="5" spans="1:8" ht="30" customHeight="1" x14ac:dyDescent="0.3">
      <c r="A5" s="7" t="s">
        <v>191</v>
      </c>
      <c r="B5" s="8"/>
      <c r="C5" s="8"/>
      <c r="D5" s="31" t="s">
        <v>192</v>
      </c>
      <c r="E5" s="7" t="s">
        <v>193</v>
      </c>
      <c r="F5" s="23" t="s">
        <v>194</v>
      </c>
      <c r="G5" s="23" t="s">
        <v>195</v>
      </c>
      <c r="H5" s="9" t="s">
        <v>165</v>
      </c>
    </row>
    <row r="6" spans="1:8" ht="30" customHeight="1" x14ac:dyDescent="0.3">
      <c r="A6" s="7"/>
      <c r="B6" s="8"/>
      <c r="C6" s="8"/>
      <c r="D6" s="6"/>
      <c r="E6" s="7"/>
      <c r="F6" s="23"/>
      <c r="G6" s="23" t="s">
        <v>17</v>
      </c>
      <c r="H6" s="9" t="s">
        <v>165</v>
      </c>
    </row>
    <row r="7" spans="1:8" ht="30" customHeight="1" x14ac:dyDescent="0.3">
      <c r="A7" s="8"/>
      <c r="B7" s="8"/>
      <c r="C7" s="8"/>
      <c r="D7" s="6"/>
      <c r="E7" s="7"/>
      <c r="F7" s="23"/>
      <c r="G7" s="23" t="s">
        <v>15</v>
      </c>
      <c r="H7" s="9" t="s">
        <v>165</v>
      </c>
    </row>
    <row r="8" spans="1:8" ht="30" customHeight="1" x14ac:dyDescent="0.3">
      <c r="A8" s="8" t="s">
        <v>172</v>
      </c>
      <c r="B8" s="8"/>
      <c r="C8" s="8"/>
      <c r="D8" s="6"/>
      <c r="E8" s="7" t="s">
        <v>259</v>
      </c>
      <c r="F8" s="23" t="s">
        <v>194</v>
      </c>
      <c r="G8" s="23" t="s">
        <v>305</v>
      </c>
      <c r="H8" s="9" t="s">
        <v>165</v>
      </c>
    </row>
    <row r="9" spans="1:8" ht="30" customHeight="1" x14ac:dyDescent="0.3">
      <c r="A9" s="7"/>
      <c r="B9" s="8"/>
      <c r="C9" s="8"/>
      <c r="D9" s="6"/>
      <c r="E9" s="7"/>
      <c r="F9" s="23"/>
      <c r="G9" s="23" t="s">
        <v>42</v>
      </c>
      <c r="H9" s="9" t="s">
        <v>165</v>
      </c>
    </row>
    <row r="10" spans="1:8" s="26" customFormat="1" ht="30" customHeight="1" x14ac:dyDescent="0.3">
      <c r="A10" s="14"/>
      <c r="B10" s="15"/>
      <c r="C10" s="8"/>
      <c r="D10" s="16"/>
      <c r="E10" s="14"/>
      <c r="F10" s="24"/>
      <c r="G10" s="24" t="s">
        <v>13</v>
      </c>
      <c r="H10" s="9" t="s">
        <v>165</v>
      </c>
    </row>
    <row r="11" spans="1:8" ht="30" customHeight="1" x14ac:dyDescent="0.3">
      <c r="A11" s="8"/>
      <c r="B11" s="8"/>
      <c r="C11" s="8"/>
      <c r="D11" s="6"/>
      <c r="E11" s="7"/>
      <c r="F11" s="23"/>
      <c r="G11" s="23" t="s">
        <v>306</v>
      </c>
      <c r="H11" s="9" t="s">
        <v>165</v>
      </c>
    </row>
    <row r="12" spans="1:8" ht="30" customHeight="1" x14ac:dyDescent="0.3">
      <c r="A12" s="8" t="s">
        <v>324</v>
      </c>
      <c r="B12" s="8"/>
      <c r="C12" s="8"/>
      <c r="D12" s="6" t="s">
        <v>353</v>
      </c>
      <c r="E12" s="7" t="s">
        <v>354</v>
      </c>
      <c r="F12" s="23" t="s">
        <v>355</v>
      </c>
      <c r="G12" s="23" t="s">
        <v>15</v>
      </c>
      <c r="H12" s="9" t="s">
        <v>165</v>
      </c>
    </row>
    <row r="13" spans="1:8" ht="30" customHeight="1" x14ac:dyDescent="0.3">
      <c r="A13" s="8" t="s">
        <v>807</v>
      </c>
      <c r="B13" s="8"/>
      <c r="C13" s="8"/>
      <c r="D13" s="31" t="s">
        <v>808</v>
      </c>
      <c r="E13" s="7" t="s">
        <v>809</v>
      </c>
      <c r="F13" s="23" t="s">
        <v>810</v>
      </c>
      <c r="G13" s="23" t="s">
        <v>195</v>
      </c>
      <c r="H13" s="9"/>
    </row>
    <row r="14" spans="1:8" ht="30" customHeight="1" x14ac:dyDescent="0.3">
      <c r="A14" s="8"/>
      <c r="B14" s="8"/>
      <c r="C14" s="8"/>
      <c r="D14" s="6"/>
      <c r="E14" s="7"/>
      <c r="F14" s="23"/>
      <c r="G14" s="23" t="s">
        <v>811</v>
      </c>
      <c r="H14" s="9"/>
    </row>
    <row r="15" spans="1:8" ht="30" customHeight="1" x14ac:dyDescent="0.3">
      <c r="A15" s="8"/>
      <c r="B15" s="8"/>
      <c r="C15" s="8"/>
      <c r="D15" s="6"/>
      <c r="E15" s="7"/>
      <c r="F15" s="23"/>
      <c r="G15" s="23" t="s">
        <v>30</v>
      </c>
      <c r="H15" s="9"/>
    </row>
    <row r="16" spans="1:8" ht="30" customHeight="1" x14ac:dyDescent="0.3">
      <c r="A16" s="8"/>
      <c r="B16" s="8"/>
      <c r="C16" s="8"/>
      <c r="D16" s="6"/>
      <c r="E16" s="7"/>
      <c r="F16" s="23"/>
      <c r="G16" s="23" t="s">
        <v>635</v>
      </c>
      <c r="H16" s="9"/>
    </row>
    <row r="17" spans="1:8" ht="30" customHeight="1" x14ac:dyDescent="0.3">
      <c r="A17" s="8"/>
      <c r="B17" s="8"/>
      <c r="C17" s="8"/>
      <c r="D17" s="6"/>
      <c r="E17" s="7"/>
      <c r="F17" s="23"/>
      <c r="G17" s="23" t="s">
        <v>24</v>
      </c>
      <c r="H17" s="9"/>
    </row>
    <row r="18" spans="1:8" ht="30" customHeight="1" x14ac:dyDescent="0.3">
      <c r="A18" s="8" t="s">
        <v>893</v>
      </c>
      <c r="B18" s="8"/>
      <c r="C18" s="8"/>
      <c r="D18" s="6" t="s">
        <v>894</v>
      </c>
      <c r="E18" s="7" t="s">
        <v>895</v>
      </c>
      <c r="F18" s="23" t="s">
        <v>349</v>
      </c>
      <c r="G18" s="23" t="s">
        <v>16</v>
      </c>
      <c r="H18" s="9"/>
    </row>
    <row r="19" spans="1:8" ht="30" customHeight="1" x14ac:dyDescent="0.3">
      <c r="A19" s="8" t="s">
        <v>1200</v>
      </c>
      <c r="B19" s="8"/>
      <c r="C19" s="8"/>
      <c r="D19" s="6" t="s">
        <v>1201</v>
      </c>
      <c r="E19" s="7"/>
      <c r="F19" s="23" t="s">
        <v>1441</v>
      </c>
      <c r="G19" s="23" t="s">
        <v>85</v>
      </c>
      <c r="H19" s="9"/>
    </row>
    <row r="20" spans="1:8" ht="30" customHeight="1" x14ac:dyDescent="0.3">
      <c r="A20" s="8"/>
      <c r="B20" s="8"/>
      <c r="C20" s="8"/>
      <c r="D20" s="6"/>
      <c r="E20" s="7"/>
      <c r="F20" s="23"/>
      <c r="G20" s="23" t="s">
        <v>505</v>
      </c>
      <c r="H20" s="9"/>
    </row>
    <row r="21" spans="1:8" ht="30" customHeight="1" x14ac:dyDescent="0.3">
      <c r="A21" s="8"/>
      <c r="B21" s="8"/>
      <c r="C21" s="8"/>
      <c r="D21" s="6"/>
      <c r="E21" s="7"/>
      <c r="F21" s="23"/>
      <c r="G21" s="23" t="s">
        <v>42</v>
      </c>
      <c r="H21" s="9"/>
    </row>
    <row r="22" spans="1:8" ht="30" customHeight="1" x14ac:dyDescent="0.3">
      <c r="A22" s="8"/>
      <c r="B22" s="8"/>
      <c r="C22" s="8"/>
      <c r="D22" s="6"/>
      <c r="E22" s="7"/>
      <c r="F22" s="23"/>
      <c r="G22" s="23" t="s">
        <v>1202</v>
      </c>
      <c r="H22" s="9"/>
    </row>
    <row r="23" spans="1:8" ht="30" customHeight="1" x14ac:dyDescent="0.3">
      <c r="A23" s="8" t="s">
        <v>1438</v>
      </c>
      <c r="B23" s="8"/>
      <c r="C23" s="8"/>
      <c r="D23" s="6" t="s">
        <v>1439</v>
      </c>
      <c r="E23" s="7" t="s">
        <v>1440</v>
      </c>
      <c r="F23" s="23" t="s">
        <v>1442</v>
      </c>
      <c r="G23" s="23" t="s">
        <v>622</v>
      </c>
      <c r="H23" s="9"/>
    </row>
    <row r="24" spans="1:8" ht="30" customHeight="1" x14ac:dyDescent="0.3">
      <c r="A24" s="8" t="s">
        <v>1571</v>
      </c>
      <c r="B24" s="8"/>
      <c r="C24" s="8"/>
      <c r="D24" s="31" t="s">
        <v>1768</v>
      </c>
      <c r="E24" s="7" t="s">
        <v>1771</v>
      </c>
      <c r="F24" s="23" t="s">
        <v>1770</v>
      </c>
      <c r="G24" s="23" t="s">
        <v>20</v>
      </c>
      <c r="H24" s="9"/>
    </row>
    <row r="25" spans="1:8" ht="30" customHeight="1" x14ac:dyDescent="0.3">
      <c r="A25" s="8"/>
      <c r="B25" s="8"/>
      <c r="C25" s="8"/>
      <c r="D25" s="31"/>
      <c r="E25" s="7"/>
      <c r="F25" s="23"/>
      <c r="G25" s="23" t="s">
        <v>29</v>
      </c>
      <c r="H25" s="9"/>
    </row>
    <row r="26" spans="1:8" ht="30" customHeight="1" x14ac:dyDescent="0.3">
      <c r="A26" s="8" t="s">
        <v>1983</v>
      </c>
      <c r="B26" s="8"/>
      <c r="C26" s="8"/>
      <c r="D26" s="31" t="s">
        <v>2016</v>
      </c>
      <c r="E26" s="7" t="s">
        <v>1983</v>
      </c>
      <c r="F26" s="23" t="s">
        <v>2017</v>
      </c>
      <c r="G26" s="23" t="s">
        <v>2018</v>
      </c>
      <c r="H26" s="9"/>
    </row>
    <row r="27" spans="1:8" ht="30" customHeight="1" x14ac:dyDescent="0.3">
      <c r="A27" s="8" t="s">
        <v>2742</v>
      </c>
      <c r="B27" s="8"/>
      <c r="C27" s="8"/>
      <c r="D27" s="6" t="s">
        <v>2740</v>
      </c>
      <c r="E27" s="7" t="s">
        <v>2743</v>
      </c>
      <c r="F27" s="23" t="s">
        <v>2741</v>
      </c>
      <c r="G27" s="23" t="s">
        <v>15</v>
      </c>
      <c r="H27" s="9"/>
    </row>
    <row r="28" spans="1:8" ht="30" customHeight="1" x14ac:dyDescent="0.3">
      <c r="A28" s="8"/>
      <c r="B28" s="8" t="s">
        <v>3121</v>
      </c>
      <c r="C28" s="8"/>
      <c r="D28" s="6" t="s">
        <v>3181</v>
      </c>
      <c r="E28" s="7" t="s">
        <v>3182</v>
      </c>
      <c r="F28" s="23" t="s">
        <v>3183</v>
      </c>
      <c r="G28" s="23" t="s">
        <v>913</v>
      </c>
      <c r="H28" s="9"/>
    </row>
    <row r="29" spans="1:8" ht="30" customHeight="1" x14ac:dyDescent="0.3">
      <c r="A29" s="8"/>
      <c r="B29" s="8"/>
      <c r="C29" s="8"/>
      <c r="D29" s="31" t="s">
        <v>3222</v>
      </c>
      <c r="E29" s="7" t="s">
        <v>3223</v>
      </c>
      <c r="F29" s="21" t="s">
        <v>3224</v>
      </c>
      <c r="G29" s="21" t="s">
        <v>3225</v>
      </c>
      <c r="H29" s="9"/>
    </row>
    <row r="30" spans="1:8" ht="30" customHeight="1" x14ac:dyDescent="0.3">
      <c r="A30" s="8"/>
      <c r="B30" s="8" t="s">
        <v>3270</v>
      </c>
      <c r="C30" s="8"/>
      <c r="D30" s="17" t="s">
        <v>3548</v>
      </c>
      <c r="E30" s="7" t="s">
        <v>3547</v>
      </c>
      <c r="F30" s="21" t="s">
        <v>355</v>
      </c>
      <c r="G30" s="21" t="s">
        <v>42</v>
      </c>
      <c r="H30" s="9"/>
    </row>
    <row r="31" spans="1:8" ht="30" customHeight="1" x14ac:dyDescent="0.3">
      <c r="A31" s="8"/>
      <c r="B31" s="8" t="s">
        <v>3480</v>
      </c>
      <c r="C31" s="8"/>
      <c r="D31" s="6" t="s">
        <v>3599</v>
      </c>
      <c r="E31" s="7" t="s">
        <v>3603</v>
      </c>
      <c r="F31" s="21" t="s">
        <v>3600</v>
      </c>
      <c r="G31" s="21" t="s">
        <v>30</v>
      </c>
      <c r="H31" s="9"/>
    </row>
    <row r="32" spans="1:8" ht="30" customHeight="1" x14ac:dyDescent="0.3">
      <c r="A32" s="8"/>
      <c r="B32" s="8"/>
      <c r="C32" s="8"/>
      <c r="D32" s="6" t="s">
        <v>3601</v>
      </c>
      <c r="E32" s="8" t="s">
        <v>3602</v>
      </c>
      <c r="F32" s="25" t="s">
        <v>411</v>
      </c>
      <c r="G32" s="25" t="s">
        <v>23</v>
      </c>
      <c r="H32" s="9"/>
    </row>
    <row r="33" spans="1:8" ht="30" customHeight="1" x14ac:dyDescent="0.3">
      <c r="A33" s="8"/>
      <c r="B33" s="8"/>
      <c r="C33" s="8"/>
      <c r="D33" s="6" t="s">
        <v>3608</v>
      </c>
      <c r="E33" s="8" t="s">
        <v>3609</v>
      </c>
      <c r="F33" s="21" t="s">
        <v>3610</v>
      </c>
      <c r="G33" s="21" t="s">
        <v>913</v>
      </c>
      <c r="H33" s="9"/>
    </row>
    <row r="34" spans="1:8" ht="30" customHeight="1" x14ac:dyDescent="0.3">
      <c r="A34" s="8"/>
      <c r="B34" s="8" t="s">
        <v>3653</v>
      </c>
      <c r="C34" s="8"/>
      <c r="D34" s="6" t="s">
        <v>3691</v>
      </c>
      <c r="E34" s="8" t="s">
        <v>3692</v>
      </c>
      <c r="F34" s="21" t="s">
        <v>355</v>
      </c>
      <c r="G34" s="21" t="s">
        <v>3693</v>
      </c>
      <c r="H34" s="9"/>
    </row>
    <row r="35" spans="1:8" ht="30" customHeight="1" x14ac:dyDescent="0.3">
      <c r="A35" s="8"/>
      <c r="B35" s="8" t="s">
        <v>3822</v>
      </c>
      <c r="C35" s="8"/>
      <c r="D35" s="31" t="s">
        <v>3887</v>
      </c>
      <c r="E35" s="8" t="s">
        <v>3888</v>
      </c>
      <c r="F35" s="21" t="s">
        <v>810</v>
      </c>
      <c r="G35" s="21" t="s">
        <v>646</v>
      </c>
      <c r="H35" s="9"/>
    </row>
    <row r="36" spans="1:8" ht="30" customHeight="1" x14ac:dyDescent="0.3">
      <c r="A36" s="8"/>
      <c r="B36" s="8"/>
      <c r="C36" s="8"/>
      <c r="D36" s="6" t="s">
        <v>3889</v>
      </c>
      <c r="E36" s="8" t="s">
        <v>3890</v>
      </c>
      <c r="F36" s="21" t="s">
        <v>3183</v>
      </c>
      <c r="G36" s="21" t="s">
        <v>646</v>
      </c>
      <c r="H36" s="9"/>
    </row>
    <row r="37" spans="1:8" ht="30" customHeight="1" x14ac:dyDescent="0.3">
      <c r="A37" s="8"/>
      <c r="B37" s="8" t="s">
        <v>3979</v>
      </c>
      <c r="C37" s="8"/>
      <c r="D37" s="6" t="s">
        <v>3599</v>
      </c>
      <c r="E37" s="8" t="s">
        <v>4033</v>
      </c>
      <c r="F37" s="21" t="s">
        <v>4034</v>
      </c>
      <c r="G37" s="21" t="s">
        <v>30</v>
      </c>
      <c r="H37" s="9"/>
    </row>
    <row r="38" spans="1:8" ht="30" customHeight="1" x14ac:dyDescent="0.3">
      <c r="A38" s="8"/>
      <c r="B38" s="8"/>
      <c r="C38" s="8"/>
      <c r="D38" s="6" t="s">
        <v>3599</v>
      </c>
      <c r="E38" s="8" t="s">
        <v>4035</v>
      </c>
      <c r="F38" s="21" t="s">
        <v>4036</v>
      </c>
      <c r="G38" s="21" t="s">
        <v>30</v>
      </c>
      <c r="H38" s="9"/>
    </row>
    <row r="39" spans="1:8" ht="30" customHeight="1" x14ac:dyDescent="0.3">
      <c r="A39" s="8"/>
      <c r="B39" s="8"/>
      <c r="C39" s="8"/>
      <c r="D39" s="6" t="s">
        <v>3599</v>
      </c>
      <c r="E39" s="8" t="s">
        <v>4037</v>
      </c>
      <c r="F39" s="21" t="s">
        <v>451</v>
      </c>
      <c r="G39" s="21" t="s">
        <v>30</v>
      </c>
      <c r="H39" s="9"/>
    </row>
    <row r="40" spans="1:8" ht="30" customHeight="1" x14ac:dyDescent="0.3">
      <c r="A40" s="8"/>
      <c r="B40" s="8"/>
      <c r="C40" s="8"/>
      <c r="D40" s="6"/>
      <c r="E40" s="8"/>
      <c r="F40" s="21"/>
      <c r="G40" s="21"/>
      <c r="H40" s="9"/>
    </row>
    <row r="41" spans="1:8" ht="30" customHeight="1" x14ac:dyDescent="0.3">
      <c r="A41" s="8"/>
      <c r="B41" s="8"/>
      <c r="C41" s="8"/>
      <c r="D41" s="6"/>
      <c r="E41" s="8"/>
      <c r="F41" s="21"/>
      <c r="G41" s="21"/>
      <c r="H41" s="9"/>
    </row>
    <row r="42" spans="1:8" ht="30" customHeight="1" x14ac:dyDescent="0.3">
      <c r="A42" s="8"/>
      <c r="B42" s="8"/>
      <c r="C42" s="8"/>
      <c r="D42" s="6"/>
      <c r="E42" s="8"/>
      <c r="F42" s="21"/>
      <c r="G42" s="21"/>
      <c r="H42" s="9"/>
    </row>
    <row r="43" spans="1:8" ht="30" customHeight="1" x14ac:dyDescent="0.3">
      <c r="A43" s="8"/>
      <c r="B43" s="8"/>
      <c r="C43" s="8"/>
      <c r="D43" s="6"/>
      <c r="E43" s="8"/>
      <c r="F43" s="21"/>
      <c r="G43" s="21"/>
      <c r="H43" s="9"/>
    </row>
    <row r="44" spans="1:8" ht="30" customHeight="1" x14ac:dyDescent="0.3">
      <c r="A44" s="8"/>
      <c r="B44" s="8"/>
      <c r="C44" s="8"/>
      <c r="D44" s="6"/>
      <c r="E44" s="8"/>
      <c r="F44" s="21"/>
      <c r="G44" s="21"/>
      <c r="H44" s="9"/>
    </row>
    <row r="45" spans="1:8" ht="30" customHeight="1" x14ac:dyDescent="0.3">
      <c r="A45" s="8"/>
      <c r="B45" s="8"/>
      <c r="C45" s="8"/>
      <c r="D45" s="6"/>
      <c r="E45" s="8"/>
      <c r="F45" s="21"/>
      <c r="G45" s="21"/>
      <c r="H45" s="9"/>
    </row>
    <row r="46" spans="1:8" ht="30" customHeight="1" x14ac:dyDescent="0.3">
      <c r="A46" s="8"/>
      <c r="B46" s="8"/>
      <c r="C46" s="8"/>
      <c r="D46" s="6"/>
      <c r="E46" s="8"/>
      <c r="F46" s="21"/>
      <c r="G46" s="21"/>
      <c r="H46" s="9"/>
    </row>
    <row r="47" spans="1:8" ht="30" customHeight="1" x14ac:dyDescent="0.3">
      <c r="A47" s="8"/>
      <c r="B47" s="8"/>
      <c r="C47" s="8"/>
      <c r="D47" s="6"/>
      <c r="E47" s="8"/>
      <c r="F47" s="21"/>
      <c r="G47" s="21"/>
      <c r="H47" s="9"/>
    </row>
    <row r="48" spans="1:8" ht="30" customHeight="1" x14ac:dyDescent="0.3">
      <c r="A48" s="8"/>
      <c r="B48" s="8"/>
      <c r="C48" s="8"/>
      <c r="D48" s="6"/>
      <c r="E48" s="8"/>
      <c r="F48" s="21"/>
      <c r="G48" s="21"/>
      <c r="H48" s="9"/>
    </row>
    <row r="49" spans="1:8" ht="30" customHeight="1" x14ac:dyDescent="0.3">
      <c r="A49" s="8"/>
      <c r="B49" s="8"/>
      <c r="C49" s="8"/>
      <c r="D49" s="6"/>
      <c r="E49" s="8"/>
      <c r="F49" s="21"/>
      <c r="G49" s="21"/>
      <c r="H49" s="9"/>
    </row>
    <row r="50" spans="1:8" ht="30" customHeight="1" x14ac:dyDescent="0.3">
      <c r="A50" s="8"/>
      <c r="B50" s="8"/>
      <c r="C50" s="8"/>
      <c r="D50" s="6"/>
      <c r="E50" s="8"/>
      <c r="F50" s="21"/>
      <c r="G50" s="21"/>
      <c r="H50" s="9"/>
    </row>
    <row r="51" spans="1:8" ht="30" customHeight="1" x14ac:dyDescent="0.3">
      <c r="A51" s="8"/>
      <c r="B51" s="8"/>
      <c r="C51" s="8"/>
      <c r="D51" s="6"/>
      <c r="E51" s="8"/>
      <c r="F51" s="21"/>
      <c r="G51" s="21"/>
      <c r="H51" s="9"/>
    </row>
    <row r="52" spans="1:8" ht="30" customHeight="1" x14ac:dyDescent="0.3">
      <c r="A52" s="8"/>
      <c r="B52" s="8"/>
      <c r="C52" s="8"/>
      <c r="D52" s="6"/>
      <c r="E52" s="8"/>
      <c r="F52" s="21"/>
      <c r="G52" s="21"/>
      <c r="H52" s="9"/>
    </row>
    <row r="53" spans="1:8" ht="30" customHeight="1" x14ac:dyDescent="0.3">
      <c r="A53" s="8"/>
      <c r="B53" s="8"/>
      <c r="C53" s="8"/>
      <c r="D53" s="6"/>
      <c r="E53" s="8"/>
      <c r="F53" s="21"/>
      <c r="G53" s="21"/>
      <c r="H53" s="9"/>
    </row>
    <row r="54" spans="1:8" ht="30" customHeight="1" x14ac:dyDescent="0.3">
      <c r="A54" s="8"/>
      <c r="B54" s="8"/>
      <c r="C54" s="8"/>
      <c r="D54" s="6"/>
      <c r="E54" s="8"/>
      <c r="F54" s="21"/>
      <c r="G54" s="21"/>
      <c r="H54" s="9"/>
    </row>
    <row r="55" spans="1:8" ht="30" customHeight="1" x14ac:dyDescent="0.3">
      <c r="A55" s="8"/>
      <c r="B55" s="8"/>
      <c r="C55" s="8"/>
      <c r="D55" s="6"/>
      <c r="E55" s="8"/>
      <c r="F55" s="21"/>
      <c r="G55" s="21"/>
      <c r="H55" s="9"/>
    </row>
    <row r="56" spans="1:8" ht="30" customHeight="1" x14ac:dyDescent="0.3">
      <c r="A56" s="8"/>
      <c r="B56" s="8"/>
      <c r="C56" s="8"/>
      <c r="D56" s="6"/>
      <c r="E56" s="8"/>
      <c r="F56" s="21"/>
      <c r="G56" s="21"/>
      <c r="H56" s="9"/>
    </row>
    <row r="57" spans="1:8" ht="30" customHeight="1" x14ac:dyDescent="0.3">
      <c r="A57" s="8"/>
      <c r="B57" s="8"/>
      <c r="C57" s="8"/>
      <c r="D57" s="6"/>
      <c r="E57" s="8"/>
      <c r="F57" s="21"/>
      <c r="G57" s="21"/>
      <c r="H57" s="9"/>
    </row>
    <row r="58" spans="1:8" ht="30" customHeight="1" x14ac:dyDescent="0.3">
      <c r="A58" s="8"/>
      <c r="B58" s="8"/>
      <c r="C58" s="8"/>
      <c r="D58" s="6"/>
      <c r="E58" s="8"/>
      <c r="F58" s="21"/>
      <c r="G58" s="21"/>
      <c r="H58" s="9"/>
    </row>
    <row r="59" spans="1:8" ht="30" customHeight="1" x14ac:dyDescent="0.3">
      <c r="A59" s="8"/>
      <c r="B59" s="8"/>
      <c r="C59" s="8"/>
      <c r="D59" s="6"/>
      <c r="E59" s="8"/>
      <c r="F59" s="21"/>
      <c r="G59" s="21"/>
      <c r="H59" s="9"/>
    </row>
    <row r="60" spans="1:8" ht="30" customHeight="1" x14ac:dyDescent="0.3">
      <c r="A60" s="8"/>
      <c r="B60" s="8"/>
      <c r="C60" s="8"/>
      <c r="D60" s="6"/>
      <c r="E60" s="8"/>
      <c r="F60" s="21"/>
      <c r="G60" s="21"/>
      <c r="H60" s="9"/>
    </row>
    <row r="61" spans="1:8" ht="30" customHeight="1" x14ac:dyDescent="0.3">
      <c r="A61" s="8"/>
      <c r="B61" s="8"/>
      <c r="C61" s="8"/>
      <c r="D61" s="6"/>
      <c r="E61" s="8"/>
      <c r="F61" s="21"/>
      <c r="G61" s="21"/>
      <c r="H61" s="9"/>
    </row>
    <row r="62" spans="1:8" ht="30" customHeight="1" x14ac:dyDescent="0.3">
      <c r="A62" s="8"/>
      <c r="B62" s="8"/>
      <c r="C62" s="8"/>
      <c r="D62" s="6"/>
      <c r="E62" s="8"/>
      <c r="F62" s="25"/>
      <c r="G62" s="25"/>
      <c r="H62" s="9"/>
    </row>
    <row r="63" spans="1:8" ht="30" customHeight="1" x14ac:dyDescent="0.3">
      <c r="A63" s="8"/>
      <c r="B63" s="8"/>
      <c r="C63" s="8"/>
      <c r="D63" s="6"/>
      <c r="E63" s="8"/>
      <c r="F63" s="25"/>
      <c r="G63" s="25"/>
      <c r="H63" s="9"/>
    </row>
    <row r="64" spans="1:8" ht="30" customHeight="1" x14ac:dyDescent="0.3">
      <c r="A64" s="8"/>
      <c r="B64" s="8"/>
      <c r="C64" s="8"/>
      <c r="D64" s="6"/>
      <c r="E64" s="8"/>
      <c r="F64" s="21"/>
      <c r="G64" s="21"/>
      <c r="H64" s="9"/>
    </row>
    <row r="65" spans="1:8" ht="30" customHeight="1" x14ac:dyDescent="0.3">
      <c r="A65" s="8"/>
      <c r="B65" s="8"/>
      <c r="C65" s="8"/>
      <c r="D65" s="6"/>
      <c r="E65" s="8"/>
      <c r="F65" s="21"/>
      <c r="G65" s="21"/>
      <c r="H65" s="9"/>
    </row>
    <row r="66" spans="1:8" ht="30" customHeight="1" x14ac:dyDescent="0.3">
      <c r="A66" s="8"/>
      <c r="B66" s="8"/>
      <c r="C66" s="8"/>
      <c r="D66" s="6"/>
      <c r="E66" s="8"/>
      <c r="F66" s="21"/>
      <c r="G66" s="21"/>
      <c r="H66" s="9"/>
    </row>
    <row r="67" spans="1:8" ht="30" customHeight="1" x14ac:dyDescent="0.3">
      <c r="A67" s="8"/>
      <c r="B67" s="8"/>
      <c r="C67" s="8"/>
      <c r="D67" s="6"/>
      <c r="E67" s="8"/>
      <c r="F67" s="21"/>
      <c r="G67" s="21"/>
      <c r="H67" s="9"/>
    </row>
    <row r="68" spans="1:8" ht="30" customHeight="1" x14ac:dyDescent="0.3">
      <c r="A68" s="8"/>
      <c r="B68" s="8"/>
      <c r="C68" s="8"/>
      <c r="D68" s="6"/>
      <c r="E68" s="8"/>
      <c r="F68" s="21"/>
      <c r="G68" s="21"/>
      <c r="H68" s="9"/>
    </row>
    <row r="69" spans="1:8" ht="30" customHeight="1" x14ac:dyDescent="0.3">
      <c r="A69" s="8"/>
      <c r="B69" s="8"/>
      <c r="C69" s="8"/>
      <c r="D69" s="6"/>
      <c r="E69" s="8"/>
      <c r="F69" s="21"/>
      <c r="G69" s="21"/>
      <c r="H69" s="9"/>
    </row>
    <row r="70" spans="1:8" ht="30" customHeight="1" x14ac:dyDescent="0.3">
      <c r="A70" s="8"/>
      <c r="B70" s="8"/>
      <c r="C70" s="8"/>
      <c r="D70" s="6"/>
      <c r="E70" s="8"/>
      <c r="F70" s="21"/>
      <c r="G70" s="21"/>
      <c r="H70" s="9"/>
    </row>
    <row r="71" spans="1:8" ht="30" customHeight="1" x14ac:dyDescent="0.3">
      <c r="A71" s="8"/>
      <c r="B71" s="8"/>
      <c r="C71" s="8"/>
      <c r="D71" s="6"/>
      <c r="E71" s="8"/>
      <c r="F71" s="21"/>
      <c r="G71" s="21"/>
      <c r="H71" s="9"/>
    </row>
    <row r="72" spans="1:8" ht="30" customHeight="1" x14ac:dyDescent="0.3">
      <c r="A72" s="8"/>
      <c r="B72" s="8"/>
      <c r="C72" s="8"/>
      <c r="D72" s="6"/>
      <c r="E72" s="8"/>
      <c r="F72" s="21"/>
      <c r="G72" s="21"/>
      <c r="H72" s="9"/>
    </row>
    <row r="73" spans="1:8" ht="30" customHeight="1" x14ac:dyDescent="0.3">
      <c r="A73" s="8"/>
      <c r="B73" s="8"/>
      <c r="C73" s="8"/>
      <c r="D73" s="6"/>
      <c r="E73" s="8"/>
      <c r="F73" s="25"/>
      <c r="G73" s="25"/>
      <c r="H73" s="9"/>
    </row>
    <row r="74" spans="1:8" ht="30" customHeight="1" x14ac:dyDescent="0.3">
      <c r="A74" s="8"/>
      <c r="B74" s="8"/>
      <c r="C74" s="8"/>
      <c r="D74" s="6"/>
      <c r="E74" s="8"/>
      <c r="F74" s="21"/>
      <c r="G74" s="21"/>
      <c r="H74" s="9"/>
    </row>
    <row r="75" spans="1:8" ht="30" customHeight="1" x14ac:dyDescent="0.3">
      <c r="A75" s="8"/>
      <c r="B75" s="8"/>
      <c r="C75" s="8"/>
      <c r="D75" s="6"/>
      <c r="E75" s="8"/>
      <c r="F75" s="25"/>
      <c r="G75" s="25"/>
      <c r="H75" s="9"/>
    </row>
    <row r="76" spans="1:8" ht="30" customHeight="1" x14ac:dyDescent="0.3">
      <c r="A76" s="8"/>
      <c r="B76" s="8"/>
      <c r="C76" s="8"/>
      <c r="D76" s="6"/>
      <c r="E76" s="8"/>
      <c r="F76" s="21"/>
      <c r="G76" s="21"/>
      <c r="H76" s="9"/>
    </row>
    <row r="77" spans="1:8" ht="30" customHeight="1" x14ac:dyDescent="0.3">
      <c r="A77" s="8"/>
      <c r="B77" s="8"/>
      <c r="C77" s="8"/>
      <c r="D77" s="6"/>
      <c r="E77" s="8"/>
      <c r="F77" s="21"/>
      <c r="G77" s="21"/>
      <c r="H77" s="9"/>
    </row>
    <row r="78" spans="1:8" ht="30" customHeight="1" x14ac:dyDescent="0.3">
      <c r="A78" s="8"/>
      <c r="B78" s="8"/>
      <c r="C78" s="8"/>
      <c r="D78" s="6"/>
      <c r="E78" s="8"/>
      <c r="F78" s="21"/>
      <c r="G78" s="21"/>
      <c r="H78" s="9"/>
    </row>
    <row r="79" spans="1:8" ht="30" customHeight="1" x14ac:dyDescent="0.3">
      <c r="A79" s="8"/>
      <c r="B79" s="8"/>
      <c r="C79" s="8"/>
      <c r="D79" s="6"/>
      <c r="E79" s="8"/>
      <c r="F79" s="21"/>
      <c r="G79" s="21"/>
      <c r="H79" s="9"/>
    </row>
    <row r="80" spans="1:8" ht="30" customHeight="1" x14ac:dyDescent="0.3">
      <c r="A80" s="8"/>
      <c r="B80" s="8"/>
      <c r="C80" s="8"/>
      <c r="D80" s="6"/>
      <c r="E80" s="8"/>
      <c r="F80" s="21"/>
      <c r="G80" s="21"/>
      <c r="H80" s="9"/>
    </row>
    <row r="81" spans="1:8" ht="30" customHeight="1" x14ac:dyDescent="0.3">
      <c r="A81" s="8"/>
      <c r="B81" s="8"/>
      <c r="C81" s="8"/>
      <c r="D81" s="6"/>
      <c r="E81" s="8"/>
      <c r="F81" s="21"/>
      <c r="G81" s="21"/>
      <c r="H81" s="9"/>
    </row>
    <row r="82" spans="1:8" ht="30" customHeight="1" x14ac:dyDescent="0.3">
      <c r="A82" s="8"/>
      <c r="B82" s="8"/>
      <c r="C82" s="8"/>
      <c r="D82" s="6"/>
      <c r="E82" s="8"/>
      <c r="F82" s="21"/>
      <c r="G82" s="21"/>
      <c r="H82" s="9"/>
    </row>
    <row r="83" spans="1:8" ht="30" customHeight="1" x14ac:dyDescent="0.3">
      <c r="A83" s="8"/>
      <c r="B83" s="8"/>
      <c r="C83" s="8"/>
      <c r="D83" s="6"/>
      <c r="E83" s="8"/>
      <c r="F83" s="21"/>
      <c r="G83" s="21"/>
      <c r="H83" s="9"/>
    </row>
    <row r="84" spans="1:8" ht="30" customHeight="1" x14ac:dyDescent="0.3">
      <c r="A84" s="8"/>
      <c r="B84" s="8"/>
      <c r="C84" s="8"/>
      <c r="D84" s="6"/>
      <c r="E84" s="8"/>
      <c r="F84" s="21"/>
      <c r="G84" s="21"/>
      <c r="H84" s="9"/>
    </row>
    <row r="85" spans="1:8" ht="30" customHeight="1" x14ac:dyDescent="0.3">
      <c r="A85" s="8"/>
      <c r="B85" s="8"/>
      <c r="C85" s="8"/>
      <c r="D85" s="6"/>
      <c r="E85" s="8"/>
      <c r="F85" s="21"/>
      <c r="G85" s="21"/>
      <c r="H85" s="9"/>
    </row>
    <row r="86" spans="1:8" ht="30" customHeight="1" x14ac:dyDescent="0.3">
      <c r="A86" s="8"/>
      <c r="B86" s="8"/>
      <c r="C86" s="8"/>
      <c r="D86" s="6"/>
      <c r="E86" s="8"/>
      <c r="F86" s="21"/>
      <c r="G86" s="21"/>
      <c r="H86" s="9"/>
    </row>
    <row r="87" spans="1:8" ht="30" customHeight="1" x14ac:dyDescent="0.3">
      <c r="A87" s="8"/>
      <c r="B87" s="8"/>
      <c r="C87" s="8"/>
      <c r="D87" s="6"/>
      <c r="E87" s="8"/>
      <c r="F87" s="21"/>
      <c r="G87" s="21"/>
      <c r="H87" s="9"/>
    </row>
    <row r="88" spans="1:8" ht="30" customHeight="1" x14ac:dyDescent="0.3">
      <c r="A88" s="8"/>
      <c r="B88" s="8"/>
      <c r="C88" s="8"/>
      <c r="D88" s="6"/>
      <c r="E88" s="8"/>
      <c r="F88" s="21"/>
      <c r="G88" s="21"/>
      <c r="H88" s="9"/>
    </row>
    <row r="89" spans="1:8" ht="30" customHeight="1" x14ac:dyDescent="0.3">
      <c r="A89" s="8"/>
      <c r="B89" s="8"/>
      <c r="C89" s="8"/>
      <c r="D89" s="6"/>
      <c r="E89" s="8"/>
      <c r="F89" s="21"/>
      <c r="G89" s="21"/>
      <c r="H89" s="9"/>
    </row>
    <row r="90" spans="1:8" ht="30" customHeight="1" x14ac:dyDescent="0.3">
      <c r="A90" s="8"/>
      <c r="B90" s="8"/>
      <c r="C90" s="8"/>
      <c r="D90" s="6"/>
      <c r="E90" s="8"/>
      <c r="F90" s="21"/>
      <c r="G90" s="21"/>
      <c r="H90" s="9"/>
    </row>
    <row r="91" spans="1:8" ht="30" customHeight="1" x14ac:dyDescent="0.3">
      <c r="A91" s="8"/>
      <c r="B91" s="8"/>
      <c r="C91" s="8"/>
      <c r="D91" s="6"/>
      <c r="E91" s="8"/>
      <c r="F91" s="21"/>
      <c r="G91" s="21"/>
      <c r="H91" s="9"/>
    </row>
    <row r="92" spans="1:8" ht="30" customHeight="1" x14ac:dyDescent="0.3">
      <c r="A92" s="8"/>
      <c r="B92" s="8"/>
      <c r="C92" s="8"/>
      <c r="D92" s="6"/>
      <c r="E92" s="8"/>
      <c r="F92" s="21"/>
      <c r="G92" s="21"/>
      <c r="H92" s="9"/>
    </row>
    <row r="93" spans="1:8" ht="30" customHeight="1" x14ac:dyDescent="0.3">
      <c r="A93" s="8"/>
      <c r="B93" s="8"/>
      <c r="C93" s="8"/>
      <c r="D93" s="6"/>
      <c r="E93" s="8"/>
      <c r="F93" s="21"/>
      <c r="G93" s="21"/>
      <c r="H93" s="9"/>
    </row>
    <row r="94" spans="1:8" ht="30" customHeight="1" x14ac:dyDescent="0.3">
      <c r="A94" s="8"/>
      <c r="B94" s="8"/>
      <c r="C94" s="8"/>
      <c r="D94" s="6"/>
      <c r="E94" s="8"/>
      <c r="F94" s="21"/>
      <c r="G94" s="21"/>
      <c r="H94" s="9"/>
    </row>
    <row r="95" spans="1:8" ht="30" customHeight="1" x14ac:dyDescent="0.3">
      <c r="A95" s="8"/>
      <c r="B95" s="8"/>
      <c r="C95" s="8"/>
      <c r="D95" s="6"/>
      <c r="E95" s="8"/>
      <c r="F95" s="21"/>
      <c r="G95" s="21"/>
      <c r="H95" s="9"/>
    </row>
    <row r="96" spans="1:8" ht="30" customHeight="1" x14ac:dyDescent="0.3">
      <c r="A96" s="8"/>
      <c r="B96" s="8"/>
      <c r="C96" s="8"/>
      <c r="D96" s="6"/>
      <c r="E96" s="8"/>
      <c r="F96" s="21"/>
      <c r="G96" s="21"/>
      <c r="H96" s="9"/>
    </row>
    <row r="97" spans="1:8" ht="30" customHeight="1" x14ac:dyDescent="0.3">
      <c r="A97" s="8"/>
      <c r="B97" s="8"/>
      <c r="C97" s="8"/>
      <c r="D97" s="6"/>
      <c r="E97" s="8"/>
      <c r="F97" s="21"/>
      <c r="G97" s="21"/>
      <c r="H97" s="9"/>
    </row>
    <row r="98" spans="1:8" ht="30" customHeight="1" x14ac:dyDescent="0.3">
      <c r="A98" s="8"/>
      <c r="B98" s="8"/>
      <c r="C98" s="8"/>
      <c r="D98" s="6"/>
      <c r="E98" s="8"/>
      <c r="F98" s="21"/>
      <c r="G98" s="21"/>
      <c r="H98" s="9"/>
    </row>
    <row r="99" spans="1:8" ht="30" customHeight="1" x14ac:dyDescent="0.3">
      <c r="A99" s="5"/>
      <c r="B99" s="3"/>
      <c r="C99" s="8"/>
      <c r="D99" s="6"/>
      <c r="E99" s="8"/>
      <c r="F99" s="21"/>
      <c r="G99" s="21"/>
      <c r="H99" s="9"/>
    </row>
    <row r="100" spans="1:8" ht="30" customHeight="1" x14ac:dyDescent="0.3">
      <c r="A100" s="5"/>
      <c r="B100" s="3"/>
      <c r="C100" s="8"/>
      <c r="D100" s="6"/>
      <c r="E100" s="8"/>
      <c r="F100" s="21"/>
      <c r="G100" s="21"/>
      <c r="H100" s="9"/>
    </row>
    <row r="101" spans="1:8" ht="30" customHeight="1" x14ac:dyDescent="0.3">
      <c r="A101" s="5"/>
      <c r="B101" s="3"/>
      <c r="C101" s="8"/>
      <c r="D101" s="6"/>
      <c r="E101" s="8"/>
      <c r="F101" s="21"/>
      <c r="G101" s="21"/>
      <c r="H101" s="9"/>
    </row>
    <row r="102" spans="1:8" ht="30" customHeight="1" x14ac:dyDescent="0.3">
      <c r="A102" s="5"/>
      <c r="B102" s="3"/>
      <c r="C102" s="8"/>
      <c r="D102" s="6"/>
      <c r="E102" s="8"/>
      <c r="F102" s="21"/>
      <c r="G102" s="21"/>
      <c r="H102" s="9"/>
    </row>
    <row r="103" spans="1:8" ht="30" customHeight="1" x14ac:dyDescent="0.3">
      <c r="A103" s="5"/>
      <c r="B103" s="3"/>
      <c r="C103" s="8"/>
      <c r="D103" s="6"/>
      <c r="E103" s="8"/>
      <c r="F103" s="21"/>
      <c r="G103" s="21"/>
      <c r="H103" s="9"/>
    </row>
    <row r="104" spans="1:8" ht="30" customHeight="1" x14ac:dyDescent="0.3">
      <c r="A104" s="5"/>
      <c r="B104" s="3"/>
      <c r="C104" s="8"/>
      <c r="D104" s="6"/>
      <c r="E104" s="8"/>
      <c r="F104" s="21"/>
      <c r="G104" s="21"/>
      <c r="H104" s="9"/>
    </row>
    <row r="105" spans="1:8" ht="30" customHeight="1" x14ac:dyDescent="0.3">
      <c r="A105" s="5"/>
      <c r="B105" s="3"/>
      <c r="C105" s="8"/>
      <c r="D105" s="6"/>
      <c r="E105" s="8"/>
      <c r="F105" s="21"/>
      <c r="G105" s="21"/>
      <c r="H105" s="9"/>
    </row>
    <row r="106" spans="1:8" ht="30" customHeight="1" x14ac:dyDescent="0.3">
      <c r="A106" s="5"/>
      <c r="B106" s="3"/>
      <c r="C106" s="8"/>
      <c r="D106" s="6"/>
      <c r="E106" s="8"/>
      <c r="F106" s="21"/>
      <c r="G106" s="21"/>
      <c r="H106" s="9"/>
    </row>
    <row r="107" spans="1:8" ht="30" customHeight="1" x14ac:dyDescent="0.3">
      <c r="A107" s="5"/>
      <c r="B107" s="3"/>
      <c r="C107" s="8"/>
      <c r="D107" s="6"/>
      <c r="E107" s="8"/>
      <c r="F107" s="21"/>
      <c r="G107" s="21"/>
      <c r="H107" s="9"/>
    </row>
    <row r="108" spans="1:8" ht="30" customHeight="1" x14ac:dyDescent="0.3">
      <c r="A108" s="5"/>
      <c r="B108" s="3"/>
      <c r="C108" s="8"/>
      <c r="D108" s="6"/>
      <c r="E108" s="8"/>
      <c r="F108" s="21"/>
      <c r="G108" s="21"/>
      <c r="H108" s="9"/>
    </row>
    <row r="109" spans="1:8" ht="30" customHeight="1" x14ac:dyDescent="0.3">
      <c r="A109" s="5"/>
      <c r="B109" s="3"/>
      <c r="C109" s="8"/>
      <c r="D109" s="6"/>
      <c r="E109" s="8"/>
      <c r="F109" s="21"/>
      <c r="G109" s="21"/>
      <c r="H109" s="9"/>
    </row>
    <row r="110" spans="1:8" ht="30" customHeight="1" x14ac:dyDescent="0.3">
      <c r="A110" s="5"/>
      <c r="B110" s="3"/>
      <c r="C110" s="8"/>
      <c r="D110" s="6"/>
      <c r="E110" s="8"/>
      <c r="F110" s="21"/>
      <c r="G110" s="21"/>
      <c r="H110" s="9"/>
    </row>
    <row r="111" spans="1:8" ht="30" customHeight="1" x14ac:dyDescent="0.3">
      <c r="A111" s="5"/>
      <c r="B111" s="3"/>
      <c r="C111" s="8"/>
      <c r="D111" s="6"/>
      <c r="E111" s="8"/>
      <c r="F111" s="21"/>
      <c r="G111" s="21"/>
      <c r="H111" s="9"/>
    </row>
    <row r="112" spans="1:8" ht="30" customHeight="1" x14ac:dyDescent="0.3">
      <c r="A112" s="5"/>
      <c r="B112" s="3"/>
      <c r="C112" s="8"/>
      <c r="D112" s="6"/>
      <c r="E112" s="8"/>
      <c r="F112" s="21"/>
      <c r="G112" s="21"/>
      <c r="H112" s="9"/>
    </row>
    <row r="113" spans="1:8" ht="30" customHeight="1" x14ac:dyDescent="0.3">
      <c r="A113" s="5"/>
      <c r="B113" s="3"/>
      <c r="C113" s="8"/>
      <c r="D113" s="6"/>
      <c r="E113" s="8"/>
      <c r="F113" s="21"/>
      <c r="G113" s="21"/>
      <c r="H113" s="9"/>
    </row>
    <row r="114" spans="1:8" ht="30" customHeight="1" x14ac:dyDescent="0.3">
      <c r="A114" s="5"/>
      <c r="B114" s="3"/>
      <c r="C114" s="8"/>
      <c r="D114" s="6"/>
      <c r="E114" s="8"/>
      <c r="F114" s="21"/>
      <c r="G114" s="21"/>
      <c r="H114" s="9"/>
    </row>
    <row r="115" spans="1:8" ht="30" customHeight="1" x14ac:dyDescent="0.3">
      <c r="A115" s="5"/>
      <c r="B115" s="3"/>
      <c r="C115" s="8"/>
      <c r="D115" s="6"/>
      <c r="E115" s="8"/>
      <c r="F115" s="21"/>
      <c r="G115" s="21"/>
      <c r="H115" s="9"/>
    </row>
    <row r="116" spans="1:8" ht="30" customHeight="1" x14ac:dyDescent="0.3">
      <c r="A116" s="5"/>
      <c r="B116" s="3"/>
      <c r="C116" s="8"/>
      <c r="D116" s="6"/>
      <c r="E116" s="8"/>
      <c r="F116" s="21"/>
      <c r="G116" s="21"/>
      <c r="H116" s="9"/>
    </row>
    <row r="117" spans="1:8" ht="30" customHeight="1" x14ac:dyDescent="0.3">
      <c r="A117" s="5"/>
      <c r="B117" s="3"/>
      <c r="C117" s="8"/>
      <c r="D117" s="6"/>
      <c r="E117" s="8"/>
      <c r="F117" s="21"/>
      <c r="G117" s="21"/>
      <c r="H117" s="9"/>
    </row>
    <row r="118" spans="1:8" ht="30" customHeight="1" x14ac:dyDescent="0.3">
      <c r="A118" s="5"/>
      <c r="B118" s="3"/>
      <c r="C118" s="8"/>
      <c r="D118" s="6"/>
      <c r="E118" s="8"/>
      <c r="F118" s="21"/>
      <c r="G118" s="21"/>
      <c r="H118" s="9"/>
    </row>
    <row r="119" spans="1:8" ht="30" customHeight="1" x14ac:dyDescent="0.3">
      <c r="A119" s="5"/>
      <c r="B119" s="3"/>
      <c r="C119" s="8"/>
      <c r="D119" s="6"/>
      <c r="E119" s="8"/>
      <c r="F119" s="21"/>
      <c r="G119" s="21"/>
      <c r="H119" s="9"/>
    </row>
    <row r="120" spans="1:8" ht="30" customHeight="1" x14ac:dyDescent="0.3">
      <c r="A120" s="5"/>
      <c r="B120" s="3"/>
      <c r="C120" s="8"/>
      <c r="D120" s="6"/>
      <c r="E120" s="8"/>
      <c r="F120" s="21"/>
      <c r="G120" s="21"/>
      <c r="H120" s="9"/>
    </row>
    <row r="121" spans="1:8" ht="30" customHeight="1" x14ac:dyDescent="0.3">
      <c r="A121" s="5"/>
      <c r="B121" s="3"/>
      <c r="C121" s="8"/>
      <c r="D121" s="6"/>
      <c r="E121" s="8"/>
      <c r="F121" s="21"/>
      <c r="G121" s="21"/>
      <c r="H121" s="9"/>
    </row>
    <row r="122" spans="1:8" ht="30" customHeight="1" x14ac:dyDescent="0.3">
      <c r="A122" s="5"/>
      <c r="B122" s="3"/>
      <c r="C122" s="8"/>
      <c r="D122" s="6"/>
      <c r="E122" s="8"/>
      <c r="F122" s="21"/>
      <c r="G122" s="21"/>
      <c r="H122" s="9"/>
    </row>
    <row r="123" spans="1:8" ht="30" customHeight="1" x14ac:dyDescent="0.3">
      <c r="A123" s="5"/>
      <c r="B123" s="3"/>
      <c r="C123" s="8"/>
      <c r="D123" s="6"/>
      <c r="E123" s="8"/>
      <c r="F123" s="21"/>
      <c r="G123" s="21"/>
      <c r="H123" s="9"/>
    </row>
    <row r="124" spans="1:8" ht="30" customHeight="1" x14ac:dyDescent="0.3">
      <c r="A124" s="5"/>
      <c r="B124" s="3"/>
      <c r="C124" s="8"/>
      <c r="D124" s="6"/>
      <c r="E124" s="8"/>
      <c r="F124" s="21"/>
      <c r="G124" s="21"/>
      <c r="H124" s="9"/>
    </row>
    <row r="125" spans="1:8" ht="30" customHeight="1" x14ac:dyDescent="0.3">
      <c r="A125" s="5"/>
      <c r="B125" s="3"/>
      <c r="C125" s="8"/>
      <c r="D125" s="6"/>
      <c r="E125" s="8"/>
      <c r="F125" s="21"/>
      <c r="G125" s="21"/>
      <c r="H125" s="9"/>
    </row>
    <row r="126" spans="1:8" ht="30" customHeight="1" x14ac:dyDescent="0.3">
      <c r="A126" s="5"/>
      <c r="B126" s="3"/>
      <c r="C126" s="8"/>
      <c r="D126" s="6"/>
      <c r="E126" s="8"/>
      <c r="F126" s="21"/>
      <c r="G126" s="21"/>
      <c r="H126" s="9"/>
    </row>
    <row r="127" spans="1:8" ht="30" customHeight="1" x14ac:dyDescent="0.3">
      <c r="A127" s="5"/>
      <c r="B127" s="3"/>
      <c r="C127" s="8"/>
      <c r="D127" s="6"/>
      <c r="E127" s="8"/>
      <c r="F127" s="21"/>
      <c r="G127" s="21"/>
      <c r="H127" s="9"/>
    </row>
    <row r="128" spans="1:8" ht="30" customHeight="1" x14ac:dyDescent="0.3">
      <c r="A128" s="5"/>
      <c r="B128" s="3"/>
      <c r="C128" s="8"/>
      <c r="D128" s="6"/>
      <c r="E128" s="8"/>
      <c r="F128" s="21"/>
      <c r="G128" s="21"/>
      <c r="H128" s="9"/>
    </row>
    <row r="129" spans="1:8" ht="30" customHeight="1" x14ac:dyDescent="0.3">
      <c r="A129" s="5"/>
      <c r="B129" s="3"/>
      <c r="C129" s="8"/>
      <c r="D129" s="6"/>
      <c r="E129" s="8"/>
      <c r="F129" s="21"/>
      <c r="G129" s="21"/>
      <c r="H129" s="9"/>
    </row>
    <row r="130" spans="1:8" ht="30" customHeight="1" x14ac:dyDescent="0.3">
      <c r="A130" s="5"/>
      <c r="B130" s="3"/>
      <c r="C130" s="8"/>
      <c r="D130" s="6"/>
      <c r="E130" s="8"/>
      <c r="F130" s="21"/>
      <c r="G130" s="21"/>
      <c r="H130" s="9"/>
    </row>
    <row r="131" spans="1:8" ht="30" customHeight="1" x14ac:dyDescent="0.3">
      <c r="A131" s="5"/>
      <c r="B131" s="3"/>
      <c r="C131" s="8"/>
      <c r="D131" s="6"/>
      <c r="E131" s="8"/>
      <c r="F131" s="21"/>
      <c r="G131" s="21"/>
      <c r="H131" s="9"/>
    </row>
    <row r="132" spans="1:8" ht="30" customHeight="1" x14ac:dyDescent="0.3">
      <c r="A132" s="5"/>
      <c r="B132" s="3"/>
      <c r="C132" s="8"/>
      <c r="D132" s="6"/>
      <c r="E132" s="8"/>
      <c r="F132" s="21"/>
      <c r="G132" s="21"/>
      <c r="H132" s="9"/>
    </row>
    <row r="133" spans="1:8" ht="30" customHeight="1" x14ac:dyDescent="0.3">
      <c r="A133" s="5"/>
      <c r="B133" s="3"/>
      <c r="C133" s="8"/>
      <c r="D133" s="6"/>
      <c r="E133" s="8"/>
      <c r="F133" s="21"/>
      <c r="G133" s="21"/>
      <c r="H133" s="9"/>
    </row>
    <row r="134" spans="1:8" ht="30" customHeight="1" x14ac:dyDescent="0.3">
      <c r="A134" s="5"/>
      <c r="B134" s="3"/>
      <c r="C134" s="8"/>
      <c r="D134" s="6"/>
      <c r="E134" s="8"/>
      <c r="F134" s="21"/>
      <c r="G134" s="21"/>
      <c r="H134" s="9"/>
    </row>
    <row r="135" spans="1:8" ht="30" customHeight="1" x14ac:dyDescent="0.3">
      <c r="A135" s="5"/>
      <c r="B135" s="3"/>
      <c r="C135" s="8"/>
      <c r="D135" s="6"/>
      <c r="E135" s="8"/>
      <c r="F135" s="21"/>
      <c r="G135" s="21"/>
      <c r="H135" s="9"/>
    </row>
    <row r="136" spans="1:8" ht="30" customHeight="1" x14ac:dyDescent="0.3">
      <c r="A136" s="5"/>
      <c r="B136" s="3"/>
      <c r="C136" s="8"/>
      <c r="D136" s="6"/>
      <c r="E136" s="8"/>
      <c r="F136" s="21"/>
      <c r="G136" s="21"/>
      <c r="H136" s="9"/>
    </row>
    <row r="137" spans="1:8" ht="30" customHeight="1" x14ac:dyDescent="0.3">
      <c r="A137" s="5"/>
      <c r="B137" s="3"/>
      <c r="C137" s="8"/>
      <c r="D137" s="6"/>
      <c r="E137" s="8"/>
      <c r="F137" s="21"/>
      <c r="G137" s="21"/>
      <c r="H137" s="9"/>
    </row>
    <row r="138" spans="1:8" ht="30" customHeight="1" x14ac:dyDescent="0.3">
      <c r="A138" s="5"/>
      <c r="B138" s="3"/>
      <c r="C138" s="8"/>
      <c r="D138" s="6"/>
      <c r="E138" s="8"/>
      <c r="F138" s="21"/>
      <c r="G138" s="21"/>
      <c r="H138" s="9"/>
    </row>
    <row r="139" spans="1:8" ht="30" customHeight="1" x14ac:dyDescent="0.3">
      <c r="A139" s="5"/>
      <c r="B139" s="3"/>
      <c r="C139" s="8"/>
      <c r="D139" s="6"/>
      <c r="E139" s="8"/>
      <c r="F139" s="21"/>
      <c r="G139" s="21"/>
      <c r="H139" s="9"/>
    </row>
    <row r="140" spans="1:8" ht="30" customHeight="1" x14ac:dyDescent="0.3">
      <c r="A140" s="5"/>
      <c r="B140" s="3"/>
      <c r="C140" s="8"/>
      <c r="D140" s="6"/>
      <c r="E140" s="8"/>
      <c r="F140" s="21"/>
      <c r="G140" s="21"/>
      <c r="H140" s="9"/>
    </row>
    <row r="141" spans="1:8" ht="30" customHeight="1" x14ac:dyDescent="0.3">
      <c r="A141" s="5"/>
      <c r="B141" s="3"/>
      <c r="C141" s="8"/>
      <c r="D141" s="6"/>
      <c r="E141" s="8"/>
      <c r="F141" s="21"/>
      <c r="G141" s="21"/>
      <c r="H141" s="9"/>
    </row>
    <row r="142" spans="1:8" ht="30" customHeight="1" x14ac:dyDescent="0.3">
      <c r="A142" s="5"/>
      <c r="B142" s="3"/>
      <c r="C142" s="8"/>
      <c r="D142" s="6"/>
      <c r="E142" s="8"/>
      <c r="F142" s="21"/>
      <c r="G142" s="21"/>
      <c r="H142" s="9"/>
    </row>
    <row r="143" spans="1:8" ht="30" customHeight="1" x14ac:dyDescent="0.3">
      <c r="A143" s="5"/>
      <c r="B143" s="3"/>
      <c r="C143" s="8"/>
      <c r="D143" s="6"/>
      <c r="E143" s="8"/>
      <c r="F143" s="21"/>
      <c r="G143" s="21"/>
      <c r="H143" s="9"/>
    </row>
    <row r="144" spans="1:8" ht="30" customHeight="1" x14ac:dyDescent="0.3">
      <c r="A144" s="5"/>
      <c r="B144" s="3"/>
      <c r="C144" s="8"/>
      <c r="D144" s="6"/>
      <c r="E144" s="8"/>
      <c r="F144" s="21"/>
      <c r="G144" s="21"/>
      <c r="H144" s="9"/>
    </row>
    <row r="145" spans="1:8" ht="30" customHeight="1" x14ac:dyDescent="0.3">
      <c r="A145" s="5"/>
      <c r="B145" s="3"/>
      <c r="C145" s="8"/>
      <c r="D145" s="6"/>
      <c r="E145" s="8"/>
      <c r="F145" s="21"/>
      <c r="G145" s="21"/>
      <c r="H145" s="9"/>
    </row>
    <row r="146" spans="1:8" ht="30" customHeight="1" x14ac:dyDescent="0.3">
      <c r="A146" s="5"/>
      <c r="B146" s="3"/>
      <c r="C146" s="8"/>
      <c r="D146" s="6"/>
      <c r="E146" s="8"/>
      <c r="F146" s="21"/>
      <c r="G146" s="21"/>
      <c r="H146" s="9"/>
    </row>
    <row r="147" spans="1:8" ht="30" customHeight="1" x14ac:dyDescent="0.3">
      <c r="A147" s="5"/>
      <c r="B147" s="3"/>
      <c r="C147" s="8"/>
      <c r="D147" s="6"/>
      <c r="E147" s="8"/>
      <c r="F147" s="21"/>
      <c r="G147" s="21"/>
      <c r="H147" s="9"/>
    </row>
    <row r="148" spans="1:8" ht="30" customHeight="1" x14ac:dyDescent="0.3">
      <c r="A148" s="5"/>
      <c r="B148" s="3"/>
      <c r="C148" s="8"/>
      <c r="D148" s="6"/>
      <c r="E148" s="8"/>
      <c r="F148" s="21"/>
      <c r="G148" s="21"/>
      <c r="H148" s="9"/>
    </row>
    <row r="149" spans="1:8" ht="30" customHeight="1" x14ac:dyDescent="0.3">
      <c r="A149" s="5"/>
      <c r="B149" s="3"/>
      <c r="C149" s="8"/>
      <c r="D149" s="6"/>
      <c r="E149" s="8"/>
      <c r="F149" s="21"/>
      <c r="G149" s="21"/>
      <c r="H149" s="9"/>
    </row>
    <row r="150" spans="1:8" ht="30" customHeight="1" x14ac:dyDescent="0.3">
      <c r="A150" s="5"/>
      <c r="B150" s="3"/>
      <c r="C150" s="8"/>
      <c r="D150" s="6"/>
      <c r="E150" s="8"/>
      <c r="F150" s="21"/>
      <c r="G150" s="21"/>
      <c r="H150" s="9"/>
    </row>
    <row r="151" spans="1:8" ht="30" customHeight="1" x14ac:dyDescent="0.3">
      <c r="A151" s="5"/>
      <c r="B151" s="3"/>
      <c r="C151" s="8"/>
      <c r="D151" s="6"/>
      <c r="E151" s="8"/>
      <c r="F151" s="21"/>
      <c r="G151" s="21"/>
      <c r="H151" s="9"/>
    </row>
    <row r="152" spans="1:8" ht="30" customHeight="1" x14ac:dyDescent="0.3">
      <c r="A152" s="5"/>
      <c r="B152" s="3"/>
      <c r="C152" s="8"/>
      <c r="D152" s="6"/>
      <c r="E152" s="8"/>
      <c r="F152" s="3"/>
      <c r="G152" s="3"/>
      <c r="H152" s="9"/>
    </row>
    <row r="153" spans="1:8" ht="30" customHeight="1" x14ac:dyDescent="0.3">
      <c r="A153" s="5"/>
      <c r="B153" s="3"/>
      <c r="C153" s="8"/>
      <c r="D153" s="6"/>
      <c r="E153" s="8"/>
      <c r="F153" s="3"/>
      <c r="G153" s="3"/>
      <c r="H153" s="9"/>
    </row>
    <row r="154" spans="1:8" ht="30" customHeight="1" x14ac:dyDescent="0.3">
      <c r="A154" s="5"/>
      <c r="B154" s="3"/>
      <c r="C154" s="8"/>
      <c r="D154" s="6"/>
      <c r="E154" s="8"/>
      <c r="F154" s="3"/>
      <c r="G154" s="3"/>
      <c r="H154" s="9"/>
    </row>
    <row r="155" spans="1:8" ht="30" customHeight="1" x14ac:dyDescent="0.3">
      <c r="A155" s="5"/>
      <c r="B155" s="3"/>
      <c r="C155" s="8"/>
      <c r="D155" s="6"/>
      <c r="E155" s="8"/>
      <c r="F155" s="3"/>
      <c r="G155" s="3"/>
      <c r="H155" s="9"/>
    </row>
    <row r="156" spans="1:8" ht="30" customHeight="1" x14ac:dyDescent="0.3">
      <c r="A156" s="5"/>
      <c r="B156" s="3"/>
      <c r="C156" s="8"/>
      <c r="D156" s="6"/>
      <c r="E156" s="8"/>
      <c r="F156" s="3"/>
      <c r="G156" s="3"/>
      <c r="H156" s="9"/>
    </row>
    <row r="157" spans="1:8" ht="30" customHeight="1" x14ac:dyDescent="0.3">
      <c r="A157" s="5"/>
      <c r="B157" s="3"/>
      <c r="C157" s="8"/>
      <c r="D157" s="6"/>
      <c r="E157" s="8"/>
      <c r="F157" s="3"/>
      <c r="G157" s="3"/>
      <c r="H157" s="9"/>
    </row>
    <row r="158" spans="1:8" ht="30" customHeight="1" x14ac:dyDescent="0.3">
      <c r="A158" s="5"/>
      <c r="B158" s="3"/>
      <c r="C158" s="8"/>
      <c r="D158" s="6"/>
      <c r="E158" s="8"/>
      <c r="F158" s="3"/>
      <c r="G158" s="3"/>
      <c r="H158" s="9"/>
    </row>
    <row r="159" spans="1:8" ht="30" customHeight="1" x14ac:dyDescent="0.3">
      <c r="A159" s="5"/>
      <c r="B159" s="3"/>
      <c r="C159" s="8"/>
      <c r="D159" s="6"/>
      <c r="E159" s="8"/>
      <c r="F159" s="3"/>
      <c r="G159" s="3"/>
      <c r="H159" s="9"/>
    </row>
    <row r="160" spans="1:8" ht="30" customHeight="1" x14ac:dyDescent="0.3">
      <c r="A160" s="5"/>
      <c r="B160" s="3"/>
      <c r="C160" s="8"/>
      <c r="D160" s="6"/>
      <c r="E160" s="8"/>
      <c r="F160" s="3"/>
      <c r="G160" s="3"/>
      <c r="H160" s="9"/>
    </row>
    <row r="161" spans="1:8" ht="30" customHeight="1" x14ac:dyDescent="0.3">
      <c r="A161" s="5"/>
      <c r="B161" s="3"/>
      <c r="C161" s="8"/>
      <c r="D161" s="6"/>
      <c r="E161" s="8"/>
      <c r="F161" s="3"/>
      <c r="G161" s="3"/>
      <c r="H161" s="9"/>
    </row>
    <row r="162" spans="1:8" ht="30" customHeight="1" x14ac:dyDescent="0.3">
      <c r="A162" s="5"/>
      <c r="B162" s="3"/>
      <c r="C162" s="8"/>
      <c r="D162" s="6"/>
      <c r="E162" s="8"/>
      <c r="F162" s="3"/>
      <c r="G162" s="3"/>
      <c r="H162" s="9"/>
    </row>
    <row r="163" spans="1:8" ht="30" customHeight="1" x14ac:dyDescent="0.3">
      <c r="A163" s="5"/>
      <c r="B163" s="3"/>
      <c r="C163" s="8"/>
      <c r="D163" s="6"/>
      <c r="E163" s="8"/>
      <c r="F163" s="3"/>
      <c r="G163" s="3"/>
      <c r="H163" s="9"/>
    </row>
    <row r="164" spans="1:8" ht="30" customHeight="1" x14ac:dyDescent="0.3">
      <c r="A164" s="5"/>
      <c r="B164" s="3"/>
      <c r="C164" s="8"/>
      <c r="D164" s="6"/>
      <c r="E164" s="8"/>
      <c r="F164" s="3"/>
      <c r="G164" s="3"/>
      <c r="H164" s="9"/>
    </row>
    <row r="165" spans="1:8" ht="30" customHeight="1" x14ac:dyDescent="0.3">
      <c r="A165" s="5"/>
      <c r="B165" s="3"/>
      <c r="C165" s="8"/>
      <c r="D165" s="6"/>
      <c r="E165" s="8"/>
      <c r="F165" s="3"/>
      <c r="G165" s="3"/>
      <c r="H165" s="9"/>
    </row>
    <row r="166" spans="1:8" ht="30" customHeight="1" x14ac:dyDescent="0.3">
      <c r="A166" s="5"/>
      <c r="B166" s="3"/>
      <c r="C166" s="8"/>
      <c r="D166" s="6"/>
      <c r="E166" s="8"/>
      <c r="F166" s="3"/>
      <c r="G166" s="3"/>
      <c r="H166" s="9"/>
    </row>
    <row r="167" spans="1:8" ht="30" customHeight="1" x14ac:dyDescent="0.3">
      <c r="A167" s="5"/>
      <c r="B167" s="3"/>
      <c r="C167" s="8"/>
      <c r="D167" s="6"/>
      <c r="E167" s="8"/>
      <c r="F167" s="3"/>
      <c r="G167" s="3"/>
      <c r="H167" s="9"/>
    </row>
    <row r="168" spans="1:8" ht="30" customHeight="1" x14ac:dyDescent="0.3">
      <c r="A168" s="5"/>
      <c r="B168" s="3"/>
      <c r="C168" s="8"/>
      <c r="D168" s="6"/>
      <c r="E168" s="8"/>
      <c r="F168" s="3"/>
      <c r="G168" s="3"/>
      <c r="H168" s="9"/>
    </row>
    <row r="169" spans="1:8" ht="30" customHeight="1" x14ac:dyDescent="0.3">
      <c r="A169" s="5"/>
      <c r="B169" s="3"/>
      <c r="C169" s="8"/>
      <c r="D169" s="6"/>
      <c r="E169" s="8"/>
      <c r="F169" s="3"/>
      <c r="G169" s="3"/>
      <c r="H169" s="9"/>
    </row>
    <row r="170" spans="1:8" ht="30" customHeight="1" x14ac:dyDescent="0.3">
      <c r="A170" s="5"/>
      <c r="B170" s="3"/>
      <c r="C170" s="8"/>
      <c r="D170" s="6"/>
      <c r="E170" s="8"/>
      <c r="F170" s="3"/>
      <c r="G170" s="3"/>
      <c r="H170" s="9"/>
    </row>
    <row r="171" spans="1:8" ht="30" customHeight="1" x14ac:dyDescent="0.3">
      <c r="A171" s="5"/>
      <c r="B171" s="3"/>
      <c r="C171" s="8"/>
      <c r="D171" s="6"/>
      <c r="E171" s="8"/>
      <c r="F171" s="3"/>
      <c r="G171" s="3"/>
      <c r="H171" s="9"/>
    </row>
    <row r="172" spans="1:8" ht="30" customHeight="1" x14ac:dyDescent="0.3">
      <c r="A172" s="5"/>
      <c r="B172" s="3"/>
      <c r="C172" s="8"/>
      <c r="D172" s="6"/>
      <c r="E172" s="8"/>
      <c r="F172" s="3"/>
      <c r="G172" s="3"/>
      <c r="H172" s="9"/>
    </row>
    <row r="173" spans="1:8" ht="30" customHeight="1" x14ac:dyDescent="0.3">
      <c r="A173" s="5"/>
      <c r="B173" s="3"/>
      <c r="C173" s="10"/>
      <c r="D173" s="6"/>
      <c r="E173" s="8"/>
      <c r="F173" s="3"/>
      <c r="G173" s="3"/>
      <c r="H173" s="9"/>
    </row>
    <row r="174" spans="1:8" ht="30" customHeight="1" x14ac:dyDescent="0.3">
      <c r="A174" s="5"/>
      <c r="B174" s="3"/>
      <c r="C174" s="10"/>
      <c r="D174" s="6"/>
      <c r="E174" s="8"/>
      <c r="F174" s="3"/>
      <c r="G174" s="3"/>
      <c r="H174" s="9"/>
    </row>
    <row r="175" spans="1:8" ht="30" customHeight="1" x14ac:dyDescent="0.3">
      <c r="A175" s="5"/>
      <c r="B175" s="3"/>
      <c r="C175" s="10"/>
      <c r="D175" s="6"/>
      <c r="E175" s="8"/>
      <c r="F175" s="3"/>
      <c r="G175" s="3"/>
      <c r="H175" s="9"/>
    </row>
    <row r="176" spans="1:8" ht="30" customHeight="1" x14ac:dyDescent="0.3">
      <c r="A176" s="5"/>
      <c r="B176" s="3"/>
      <c r="C176" s="10"/>
      <c r="D176" s="6"/>
      <c r="E176" s="8"/>
      <c r="F176" s="3"/>
      <c r="G176" s="3"/>
      <c r="H176" s="9"/>
    </row>
    <row r="177" spans="1:8" ht="30" customHeight="1" x14ac:dyDescent="0.3">
      <c r="A177" s="5"/>
      <c r="B177" s="3"/>
      <c r="C177" s="10"/>
      <c r="D177" s="6"/>
      <c r="E177" s="8"/>
      <c r="F177" s="3"/>
      <c r="G177" s="3"/>
      <c r="H177" s="9"/>
    </row>
    <row r="178" spans="1:8" ht="30" customHeight="1" x14ac:dyDescent="0.3">
      <c r="A178" s="5"/>
      <c r="B178" s="3"/>
      <c r="C178" s="10"/>
      <c r="D178" s="6"/>
      <c r="E178" s="8"/>
      <c r="F178" s="3"/>
      <c r="G178" s="3"/>
      <c r="H178" s="9"/>
    </row>
    <row r="179" spans="1:8" ht="30" customHeight="1" x14ac:dyDescent="0.3">
      <c r="A179" s="5"/>
      <c r="B179" s="3"/>
      <c r="C179" s="10"/>
      <c r="D179" s="6"/>
      <c r="E179" s="8"/>
      <c r="F179" s="3"/>
      <c r="G179" s="3"/>
      <c r="H179" s="9"/>
    </row>
    <row r="180" spans="1:8" ht="30" customHeight="1" x14ac:dyDescent="0.3">
      <c r="A180" s="5"/>
      <c r="B180" s="3"/>
      <c r="C180" s="10"/>
      <c r="D180" s="6"/>
      <c r="E180" s="8"/>
      <c r="F180" s="3"/>
      <c r="G180" s="3"/>
      <c r="H180" s="9"/>
    </row>
    <row r="181" spans="1:8" ht="30" customHeight="1" x14ac:dyDescent="0.3">
      <c r="A181" s="5"/>
      <c r="B181" s="3"/>
      <c r="C181" s="9"/>
      <c r="D181" s="6"/>
      <c r="E181" s="8"/>
      <c r="F181" s="3"/>
      <c r="G181" s="3"/>
      <c r="H181" s="9"/>
    </row>
    <row r="182" spans="1:8" ht="30" customHeight="1" x14ac:dyDescent="0.3">
      <c r="A182" s="5"/>
      <c r="B182" s="3"/>
      <c r="C182" s="9"/>
      <c r="D182" s="6"/>
      <c r="E182" s="8"/>
      <c r="F182" s="3"/>
      <c r="G182" s="3"/>
      <c r="H182" s="9"/>
    </row>
    <row r="183" spans="1:8" ht="30" customHeight="1" x14ac:dyDescent="0.3">
      <c r="A183" s="5"/>
      <c r="B183" s="3"/>
      <c r="C183" s="9"/>
      <c r="D183" s="6"/>
      <c r="E183" s="8"/>
      <c r="F183" s="3"/>
      <c r="G183" s="3"/>
      <c r="H183" s="9"/>
    </row>
    <row r="184" spans="1:8" ht="30" customHeight="1" x14ac:dyDescent="0.3">
      <c r="A184" s="5"/>
      <c r="B184" s="3"/>
      <c r="C184" s="9"/>
      <c r="D184" s="6"/>
      <c r="E184" s="8"/>
      <c r="F184" s="3"/>
      <c r="G184" s="3"/>
      <c r="H184" s="9"/>
    </row>
    <row r="185" spans="1:8" ht="30" customHeight="1" x14ac:dyDescent="0.3">
      <c r="A185" s="5"/>
      <c r="B185" s="3"/>
      <c r="C185" s="9"/>
      <c r="D185" s="6"/>
      <c r="E185" s="8"/>
      <c r="F185" s="3"/>
      <c r="G185" s="3"/>
      <c r="H185" s="9"/>
    </row>
    <row r="186" spans="1:8" ht="30" customHeight="1" x14ac:dyDescent="0.3">
      <c r="A186" s="5"/>
      <c r="B186" s="3"/>
      <c r="C186" s="9"/>
      <c r="D186" s="6"/>
      <c r="E186" s="8"/>
      <c r="F186" s="3"/>
      <c r="G186" s="3"/>
      <c r="H186" s="9"/>
    </row>
    <row r="187" spans="1:8" ht="30" customHeight="1" x14ac:dyDescent="0.3">
      <c r="A187" s="5"/>
      <c r="B187" s="3"/>
      <c r="C187" s="9"/>
      <c r="D187" s="6"/>
      <c r="E187" s="8"/>
      <c r="F187" s="3"/>
      <c r="G187" s="3"/>
      <c r="H187" s="9"/>
    </row>
    <row r="188" spans="1:8" ht="30" customHeight="1" x14ac:dyDescent="0.3">
      <c r="A188" s="5"/>
      <c r="B188" s="3"/>
      <c r="C188" s="9"/>
      <c r="D188" s="6"/>
      <c r="E188" s="8"/>
      <c r="F188" s="3"/>
      <c r="G188" s="3"/>
      <c r="H188" s="9"/>
    </row>
    <row r="189" spans="1:8" ht="30" customHeight="1" x14ac:dyDescent="0.3">
      <c r="A189" s="5"/>
      <c r="B189" s="3"/>
      <c r="C189" s="9"/>
      <c r="D189" s="6"/>
      <c r="E189" s="8"/>
      <c r="F189" s="3"/>
      <c r="G189" s="3"/>
      <c r="H189" s="9"/>
    </row>
    <row r="190" spans="1:8" ht="30" customHeight="1" x14ac:dyDescent="0.3">
      <c r="A190" s="5"/>
      <c r="B190" s="3"/>
      <c r="C190" s="9"/>
      <c r="D190" s="6"/>
      <c r="E190" s="8"/>
      <c r="F190" s="3"/>
      <c r="G190" s="3"/>
      <c r="H190" s="9"/>
    </row>
    <row r="191" spans="1:8" ht="30" customHeight="1" x14ac:dyDescent="0.3">
      <c r="A191" s="5"/>
      <c r="B191" s="3"/>
      <c r="C191" s="9"/>
      <c r="D191" s="6"/>
      <c r="E191" s="8"/>
      <c r="F191" s="3"/>
      <c r="G191" s="3"/>
      <c r="H191" s="9"/>
    </row>
    <row r="192" spans="1:8" ht="30" customHeight="1" x14ac:dyDescent="0.3">
      <c r="A192" s="5"/>
      <c r="B192" s="3"/>
      <c r="C192" s="9"/>
      <c r="D192" s="6"/>
      <c r="E192" s="8"/>
      <c r="F192" s="3"/>
      <c r="G192" s="3"/>
      <c r="H192" s="9"/>
    </row>
    <row r="193" spans="1:8" ht="30" customHeight="1" x14ac:dyDescent="0.3">
      <c r="A193" s="5"/>
      <c r="B193" s="3"/>
      <c r="C193" s="9"/>
      <c r="D193" s="6"/>
      <c r="E193" s="8"/>
      <c r="F193" s="3"/>
      <c r="G193" s="3"/>
      <c r="H193" s="9"/>
    </row>
    <row r="194" spans="1:8" ht="30" customHeight="1" x14ac:dyDescent="0.3">
      <c r="A194" s="5"/>
      <c r="B194" s="3"/>
      <c r="C194" s="9"/>
      <c r="D194" s="6"/>
      <c r="E194" s="8"/>
      <c r="F194" s="3"/>
      <c r="G194" s="3"/>
      <c r="H194" s="9"/>
    </row>
    <row r="195" spans="1:8" ht="30" customHeight="1" x14ac:dyDescent="0.3">
      <c r="A195" s="5"/>
      <c r="B195" s="3"/>
      <c r="C195" s="9"/>
      <c r="D195" s="6"/>
      <c r="E195" s="8"/>
      <c r="F195" s="3"/>
      <c r="G195" s="3"/>
      <c r="H195" s="9"/>
    </row>
    <row r="196" spans="1:8" ht="30" customHeight="1" x14ac:dyDescent="0.3">
      <c r="A196" s="5"/>
      <c r="B196" s="3"/>
      <c r="C196" s="9"/>
      <c r="D196" s="6"/>
      <c r="E196" s="8"/>
      <c r="F196" s="3"/>
      <c r="G196" s="3"/>
      <c r="H196" s="9"/>
    </row>
    <row r="197" spans="1:8" ht="30" customHeight="1" x14ac:dyDescent="0.3">
      <c r="A197" s="5"/>
      <c r="B197" s="3"/>
      <c r="C197" s="9"/>
      <c r="D197" s="6"/>
      <c r="E197" s="8"/>
      <c r="F197" s="3"/>
      <c r="G197" s="3"/>
      <c r="H197" s="9"/>
    </row>
    <row r="198" spans="1:8" ht="30" customHeight="1" x14ac:dyDescent="0.3">
      <c r="A198" s="5"/>
      <c r="B198" s="3"/>
      <c r="C198" s="9"/>
      <c r="D198" s="6"/>
      <c r="E198" s="8"/>
      <c r="F198" s="3"/>
      <c r="G198" s="3"/>
      <c r="H198" s="9"/>
    </row>
    <row r="199" spans="1:8" ht="30" customHeight="1" x14ac:dyDescent="0.3">
      <c r="A199" s="5"/>
      <c r="B199" s="3"/>
      <c r="C199" s="9"/>
      <c r="D199" s="6"/>
      <c r="E199" s="8"/>
      <c r="F199" s="3"/>
      <c r="G199" s="3"/>
      <c r="H199" s="9"/>
    </row>
    <row r="200" spans="1:8" ht="30" customHeight="1" x14ac:dyDescent="0.3">
      <c r="A200" s="5"/>
      <c r="B200" s="3"/>
      <c r="C200" s="9"/>
      <c r="D200" s="6"/>
      <c r="E200" s="8"/>
      <c r="F200" s="3"/>
      <c r="G200" s="3"/>
      <c r="H200" s="9"/>
    </row>
    <row r="201" spans="1:8" ht="30" customHeight="1" x14ac:dyDescent="0.3">
      <c r="A201" s="5"/>
      <c r="B201" s="3"/>
      <c r="C201" s="9"/>
      <c r="D201" s="6"/>
      <c r="E201" s="8"/>
      <c r="F201" s="3"/>
      <c r="G201" s="3"/>
      <c r="H201" s="9"/>
    </row>
    <row r="202" spans="1:8" ht="30" customHeight="1" x14ac:dyDescent="0.3">
      <c r="A202" s="5"/>
      <c r="B202" s="3"/>
      <c r="C202" s="9"/>
      <c r="D202" s="6"/>
      <c r="E202" s="8"/>
      <c r="F202" s="3"/>
      <c r="G202" s="3"/>
      <c r="H202" s="9"/>
    </row>
    <row r="203" spans="1:8" ht="30" customHeight="1" x14ac:dyDescent="0.3">
      <c r="A203" s="5"/>
      <c r="B203" s="3"/>
      <c r="C203" s="9"/>
      <c r="D203" s="6"/>
      <c r="E203" s="8"/>
      <c r="F203" s="3"/>
      <c r="G203" s="3"/>
      <c r="H203" s="9"/>
    </row>
    <row r="204" spans="1:8" ht="30" customHeight="1" x14ac:dyDescent="0.3">
      <c r="A204" s="5"/>
      <c r="B204" s="3"/>
      <c r="C204" s="9"/>
      <c r="D204" s="6"/>
      <c r="E204" s="8"/>
      <c r="F204" s="3"/>
      <c r="G204" s="3"/>
      <c r="H204" s="9"/>
    </row>
    <row r="205" spans="1:8" ht="30" customHeight="1" x14ac:dyDescent="0.3">
      <c r="A205" s="5"/>
      <c r="B205" s="3"/>
      <c r="C205" s="9"/>
      <c r="D205" s="6"/>
      <c r="E205" s="8"/>
      <c r="F205" s="3"/>
      <c r="G205" s="3"/>
      <c r="H205" s="9"/>
    </row>
    <row r="206" spans="1:8" ht="30" customHeight="1" x14ac:dyDescent="0.3">
      <c r="A206" s="5"/>
      <c r="B206" s="3"/>
      <c r="C206" s="9"/>
      <c r="D206" s="6"/>
      <c r="E206" s="8"/>
      <c r="F206" s="3"/>
      <c r="G206" s="3"/>
      <c r="H206" s="9"/>
    </row>
    <row r="207" spans="1:8" ht="30" customHeight="1" x14ac:dyDescent="0.3">
      <c r="A207" s="5"/>
      <c r="B207" s="3"/>
      <c r="C207" s="9"/>
      <c r="D207" s="6"/>
      <c r="E207" s="8"/>
      <c r="F207" s="3"/>
      <c r="G207" s="3"/>
      <c r="H207" s="9"/>
    </row>
    <row r="208" spans="1:8" ht="30" customHeight="1" x14ac:dyDescent="0.3">
      <c r="A208" s="5"/>
      <c r="B208" s="3"/>
      <c r="C208" s="9"/>
      <c r="D208" s="6"/>
      <c r="E208" s="8"/>
      <c r="F208" s="3"/>
      <c r="G208" s="3"/>
      <c r="H208" s="9"/>
    </row>
    <row r="209" spans="1:8" ht="30" customHeight="1" x14ac:dyDescent="0.3">
      <c r="A209" s="5"/>
      <c r="B209" s="3"/>
      <c r="C209" s="9"/>
      <c r="D209" s="6"/>
      <c r="E209" s="8"/>
      <c r="F209" s="3"/>
      <c r="G209" s="3"/>
      <c r="H209" s="9"/>
    </row>
    <row r="210" spans="1:8" ht="30" customHeight="1" x14ac:dyDescent="0.3">
      <c r="A210" s="5"/>
      <c r="B210" s="3"/>
      <c r="C210" s="9"/>
      <c r="D210" s="6"/>
      <c r="E210" s="8"/>
      <c r="F210" s="3"/>
      <c r="G210" s="3"/>
      <c r="H210" s="9"/>
    </row>
    <row r="211" spans="1:8" ht="30" customHeight="1" x14ac:dyDescent="0.3">
      <c r="A211" s="5"/>
      <c r="B211" s="3"/>
      <c r="C211" s="9"/>
      <c r="D211" s="6"/>
      <c r="E211" s="8"/>
      <c r="F211" s="3"/>
      <c r="G211" s="3"/>
      <c r="H211" s="9"/>
    </row>
    <row r="212" spans="1:8" ht="30" customHeight="1" x14ac:dyDescent="0.3">
      <c r="A212" s="5"/>
      <c r="B212" s="3"/>
      <c r="C212" s="9"/>
      <c r="D212" s="6"/>
      <c r="E212" s="8"/>
      <c r="F212" s="3"/>
      <c r="G212" s="3"/>
      <c r="H212" s="9"/>
    </row>
    <row r="213" spans="1:8" ht="30" customHeight="1" x14ac:dyDescent="0.3">
      <c r="A213" s="5"/>
      <c r="B213" s="3"/>
      <c r="C213" s="9"/>
      <c r="D213" s="6"/>
      <c r="E213" s="8"/>
      <c r="F213" s="3"/>
      <c r="G213" s="3"/>
      <c r="H213" s="9"/>
    </row>
    <row r="214" spans="1:8" ht="30" customHeight="1" x14ac:dyDescent="0.3">
      <c r="A214" s="5"/>
      <c r="B214" s="3"/>
      <c r="C214" s="9"/>
      <c r="D214" s="6"/>
      <c r="E214" s="8"/>
      <c r="F214" s="3"/>
      <c r="G214" s="3"/>
      <c r="H214" s="9"/>
    </row>
    <row r="215" spans="1:8" ht="30" customHeight="1" x14ac:dyDescent="0.3">
      <c r="A215" s="5"/>
      <c r="B215" s="3"/>
      <c r="C215" s="9"/>
      <c r="D215" s="6"/>
      <c r="E215" s="8"/>
      <c r="F215" s="3"/>
      <c r="G215" s="3"/>
      <c r="H215" s="9"/>
    </row>
    <row r="216" spans="1:8" ht="30" customHeight="1" x14ac:dyDescent="0.3">
      <c r="A216" s="5"/>
      <c r="B216" s="3"/>
      <c r="C216" s="9"/>
      <c r="D216" s="6"/>
      <c r="E216" s="8"/>
      <c r="F216" s="3"/>
      <c r="G216" s="3"/>
      <c r="H216" s="9"/>
    </row>
    <row r="217" spans="1:8" ht="30" customHeight="1" x14ac:dyDescent="0.3">
      <c r="A217" s="5"/>
      <c r="B217" s="3"/>
      <c r="C217" s="9"/>
      <c r="D217" s="6"/>
      <c r="E217" s="8"/>
      <c r="F217" s="3"/>
      <c r="G217" s="3"/>
      <c r="H217" s="9"/>
    </row>
    <row r="218" spans="1:8" ht="30" customHeight="1" x14ac:dyDescent="0.3">
      <c r="A218" s="5"/>
      <c r="B218" s="3"/>
      <c r="C218" s="9"/>
      <c r="D218" s="6"/>
      <c r="E218" s="8"/>
      <c r="F218" s="3"/>
      <c r="G218" s="3"/>
      <c r="H218" s="9"/>
    </row>
    <row r="219" spans="1:8" ht="30" customHeight="1" x14ac:dyDescent="0.3">
      <c r="A219" s="5"/>
      <c r="B219" s="3"/>
      <c r="C219" s="9"/>
      <c r="D219" s="6"/>
      <c r="E219" s="8"/>
      <c r="F219" s="3"/>
      <c r="G219" s="3"/>
      <c r="H219" s="9"/>
    </row>
    <row r="220" spans="1:8" ht="30" customHeight="1" x14ac:dyDescent="0.3">
      <c r="A220" s="5"/>
      <c r="B220" s="3"/>
      <c r="C220" s="9"/>
      <c r="D220" s="6"/>
      <c r="E220" s="8"/>
      <c r="F220" s="3"/>
      <c r="G220" s="3"/>
      <c r="H220" s="9"/>
    </row>
    <row r="221" spans="1:8" ht="30" customHeight="1" x14ac:dyDescent="0.3">
      <c r="A221" s="5"/>
      <c r="B221" s="3"/>
      <c r="C221" s="9"/>
      <c r="D221" s="6"/>
      <c r="E221" s="8"/>
      <c r="F221" s="3"/>
      <c r="G221" s="3"/>
      <c r="H221" s="9"/>
    </row>
    <row r="222" spans="1:8" ht="30" customHeight="1" x14ac:dyDescent="0.3">
      <c r="A222" s="5"/>
      <c r="B222" s="3"/>
      <c r="C222" s="9"/>
      <c r="D222" s="6"/>
      <c r="E222" s="8"/>
      <c r="F222" s="3"/>
      <c r="G222" s="3"/>
      <c r="H222" s="9"/>
    </row>
    <row r="223" spans="1:8" ht="30" customHeight="1" x14ac:dyDescent="0.3">
      <c r="A223" s="5"/>
      <c r="B223" s="3"/>
      <c r="C223" s="9"/>
      <c r="D223" s="6"/>
      <c r="E223" s="8"/>
      <c r="F223" s="3"/>
      <c r="G223" s="3"/>
      <c r="H223" s="9"/>
    </row>
    <row r="224" spans="1:8" ht="30" customHeight="1" x14ac:dyDescent="0.3">
      <c r="A224" s="5"/>
      <c r="B224" s="3"/>
      <c r="C224" s="9"/>
      <c r="D224" s="6"/>
      <c r="E224" s="8"/>
      <c r="F224" s="3"/>
      <c r="G224" s="3"/>
      <c r="H224" s="9"/>
    </row>
    <row r="225" spans="1:8" ht="30" customHeight="1" x14ac:dyDescent="0.3">
      <c r="A225" s="5"/>
      <c r="B225" s="3"/>
      <c r="C225" s="9"/>
      <c r="D225" s="6"/>
      <c r="E225" s="8"/>
      <c r="F225" s="3"/>
      <c r="G225" s="3"/>
      <c r="H225" s="9"/>
    </row>
    <row r="226" spans="1:8" ht="30" customHeight="1" x14ac:dyDescent="0.3">
      <c r="A226" s="5"/>
      <c r="B226" s="3"/>
      <c r="C226" s="9"/>
      <c r="D226" s="6"/>
      <c r="E226" s="8"/>
      <c r="F226" s="3"/>
      <c r="G226" s="3"/>
      <c r="H226" s="9"/>
    </row>
    <row r="227" spans="1:8" ht="30" customHeight="1" x14ac:dyDescent="0.3">
      <c r="A227" s="5"/>
      <c r="B227" s="3"/>
      <c r="C227" s="9"/>
      <c r="D227" s="6"/>
      <c r="E227" s="8"/>
      <c r="F227" s="3"/>
      <c r="G227" s="3"/>
      <c r="H227" s="9"/>
    </row>
    <row r="228" spans="1:8" ht="30" customHeight="1" x14ac:dyDescent="0.3">
      <c r="A228" s="5"/>
      <c r="B228" s="3"/>
      <c r="C228" s="9"/>
      <c r="D228" s="6"/>
      <c r="E228" s="8"/>
      <c r="F228" s="3"/>
      <c r="G228" s="3"/>
      <c r="H228" s="9"/>
    </row>
    <row r="229" spans="1:8" ht="30" customHeight="1" x14ac:dyDescent="0.3">
      <c r="A229" s="5"/>
      <c r="B229" s="3"/>
      <c r="C229" s="9"/>
      <c r="D229" s="6"/>
      <c r="E229" s="8"/>
      <c r="F229" s="3"/>
      <c r="G229" s="3"/>
      <c r="H229" s="9"/>
    </row>
    <row r="230" spans="1:8" ht="30" customHeight="1" x14ac:dyDescent="0.3">
      <c r="A230" s="5"/>
      <c r="B230" s="3"/>
      <c r="C230" s="9"/>
      <c r="D230" s="6"/>
      <c r="E230" s="8"/>
      <c r="F230" s="3"/>
      <c r="G230" s="3"/>
      <c r="H230" s="9"/>
    </row>
    <row r="231" spans="1:8" ht="30" customHeight="1" x14ac:dyDescent="0.3">
      <c r="A231" s="5"/>
      <c r="B231" s="3"/>
      <c r="C231" s="9"/>
      <c r="D231" s="6"/>
      <c r="E231" s="8"/>
      <c r="F231" s="3"/>
      <c r="G231" s="3"/>
      <c r="H231" s="9"/>
    </row>
    <row r="232" spans="1:8" ht="30" customHeight="1" x14ac:dyDescent="0.3">
      <c r="A232" s="5"/>
      <c r="B232" s="3"/>
      <c r="C232" s="9"/>
      <c r="D232" s="6"/>
      <c r="E232" s="8"/>
      <c r="F232" s="3"/>
      <c r="G232" s="3"/>
      <c r="H232" s="9"/>
    </row>
    <row r="233" spans="1:8" ht="30" customHeight="1" x14ac:dyDescent="0.3">
      <c r="A233" s="5"/>
      <c r="B233" s="3"/>
      <c r="C233" s="9"/>
      <c r="D233" s="6"/>
      <c r="E233" s="8"/>
      <c r="F233" s="3"/>
      <c r="G233" s="3"/>
      <c r="H233" s="9"/>
    </row>
    <row r="234" spans="1:8" ht="30" customHeight="1" x14ac:dyDescent="0.3">
      <c r="A234" s="5"/>
      <c r="B234" s="3"/>
      <c r="C234" s="9"/>
      <c r="D234" s="6"/>
      <c r="E234" s="8"/>
      <c r="F234" s="3"/>
      <c r="G234" s="3"/>
      <c r="H234" s="9"/>
    </row>
    <row r="235" spans="1:8" ht="30" customHeight="1" x14ac:dyDescent="0.3">
      <c r="A235" s="5"/>
      <c r="B235" s="3"/>
      <c r="C235" s="9"/>
      <c r="D235" s="6"/>
      <c r="E235" s="8"/>
      <c r="F235" s="3"/>
      <c r="G235" s="3"/>
      <c r="H235" s="9"/>
    </row>
    <row r="236" spans="1:8" ht="30" customHeight="1" x14ac:dyDescent="0.3">
      <c r="A236" s="5"/>
      <c r="B236" s="3"/>
      <c r="C236" s="9"/>
      <c r="D236" s="6"/>
      <c r="E236" s="8"/>
      <c r="F236" s="3"/>
      <c r="G236" s="3"/>
      <c r="H236" s="9"/>
    </row>
    <row r="237" spans="1:8" ht="30" customHeight="1" x14ac:dyDescent="0.3">
      <c r="A237" s="5"/>
      <c r="B237" s="3"/>
      <c r="C237" s="9"/>
      <c r="D237" s="6"/>
      <c r="E237" s="8"/>
      <c r="F237" s="3"/>
      <c r="G237" s="3"/>
      <c r="H237" s="9"/>
    </row>
    <row r="238" spans="1:8" ht="30" customHeight="1" x14ac:dyDescent="0.3">
      <c r="A238" s="5"/>
      <c r="B238" s="3"/>
      <c r="C238" s="9"/>
      <c r="D238" s="6"/>
      <c r="E238" s="8"/>
      <c r="F238" s="3"/>
      <c r="G238" s="3"/>
      <c r="H238" s="9"/>
    </row>
    <row r="239" spans="1:8" ht="30" customHeight="1" x14ac:dyDescent="0.3">
      <c r="A239" s="5"/>
      <c r="B239" s="3"/>
      <c r="C239" s="9"/>
      <c r="D239" s="6"/>
      <c r="E239" s="8"/>
      <c r="F239" s="3"/>
      <c r="G239" s="3"/>
      <c r="H239" s="9"/>
    </row>
    <row r="240" spans="1:8" ht="30" customHeight="1" x14ac:dyDescent="0.3">
      <c r="A240" s="5"/>
      <c r="B240" s="3"/>
      <c r="C240" s="9"/>
      <c r="D240" s="6"/>
      <c r="E240" s="8"/>
      <c r="F240" s="3"/>
      <c r="G240" s="3"/>
      <c r="H240" s="9"/>
    </row>
    <row r="241" spans="1:8" ht="30" customHeight="1" x14ac:dyDescent="0.3">
      <c r="A241" s="5"/>
      <c r="B241" s="3"/>
      <c r="C241" s="9"/>
      <c r="D241" s="6"/>
      <c r="E241" s="8"/>
      <c r="F241" s="3"/>
      <c r="G241" s="3"/>
      <c r="H241" s="9"/>
    </row>
    <row r="242" spans="1:8" ht="30" customHeight="1" x14ac:dyDescent="0.3">
      <c r="A242" s="5"/>
      <c r="B242" s="3"/>
      <c r="C242" s="9"/>
      <c r="D242" s="6"/>
      <c r="E242" s="8"/>
      <c r="F242" s="3"/>
      <c r="G242" s="3"/>
      <c r="H242" s="9"/>
    </row>
    <row r="243" spans="1:8" ht="30" customHeight="1" x14ac:dyDescent="0.3">
      <c r="A243" s="5"/>
      <c r="B243" s="3"/>
      <c r="C243" s="9"/>
      <c r="D243" s="6"/>
      <c r="E243" s="8"/>
      <c r="F243" s="3"/>
      <c r="G243" s="3"/>
      <c r="H243" s="9"/>
    </row>
    <row r="244" spans="1:8" ht="30" customHeight="1" x14ac:dyDescent="0.3">
      <c r="A244" s="5"/>
      <c r="B244" s="3"/>
      <c r="C244" s="9"/>
      <c r="D244" s="6"/>
      <c r="E244" s="8"/>
      <c r="F244" s="3"/>
      <c r="G244" s="3"/>
      <c r="H244" s="9"/>
    </row>
    <row r="245" spans="1:8" ht="30" customHeight="1" x14ac:dyDescent="0.3">
      <c r="A245" s="5"/>
      <c r="B245" s="3"/>
      <c r="C245" s="9"/>
      <c r="D245" s="6"/>
      <c r="E245" s="8"/>
      <c r="F245" s="3"/>
      <c r="G245" s="3"/>
      <c r="H245" s="9"/>
    </row>
    <row r="246" spans="1:8" ht="30" customHeight="1" x14ac:dyDescent="0.3">
      <c r="A246" s="5"/>
      <c r="B246" s="3"/>
      <c r="C246" s="9"/>
      <c r="D246" s="6"/>
      <c r="E246" s="8"/>
      <c r="F246" s="3"/>
      <c r="G246" s="3"/>
      <c r="H246" s="9"/>
    </row>
    <row r="247" spans="1:8" ht="30" customHeight="1" x14ac:dyDescent="0.3">
      <c r="A247" s="5"/>
      <c r="B247" s="3"/>
      <c r="C247" s="9"/>
      <c r="D247" s="6"/>
      <c r="E247" s="8"/>
      <c r="F247" s="3"/>
      <c r="G247" s="3"/>
      <c r="H247" s="9"/>
    </row>
    <row r="248" spans="1:8" ht="30" customHeight="1" x14ac:dyDescent="0.3">
      <c r="A248" s="5"/>
      <c r="B248" s="3"/>
      <c r="C248" s="9"/>
      <c r="D248" s="6"/>
      <c r="E248" s="8"/>
      <c r="F248" s="3"/>
      <c r="G248" s="3"/>
      <c r="H248" s="9"/>
    </row>
    <row r="249" spans="1:8" ht="30" customHeight="1" x14ac:dyDescent="0.3">
      <c r="A249" s="5"/>
      <c r="B249" s="3"/>
      <c r="C249" s="9"/>
      <c r="D249" s="6"/>
      <c r="E249" s="8"/>
      <c r="F249" s="3"/>
      <c r="G249" s="3"/>
      <c r="H249" s="9"/>
    </row>
    <row r="250" spans="1:8" ht="30" customHeight="1" x14ac:dyDescent="0.3">
      <c r="A250" s="5"/>
      <c r="B250" s="3"/>
      <c r="C250" s="9"/>
      <c r="D250" s="6"/>
      <c r="E250" s="8"/>
      <c r="F250" s="3"/>
      <c r="G250" s="3"/>
      <c r="H250" s="9"/>
    </row>
    <row r="251" spans="1:8" ht="30" customHeight="1" x14ac:dyDescent="0.3">
      <c r="A251" s="5"/>
      <c r="B251" s="3"/>
      <c r="C251" s="9"/>
      <c r="D251" s="6"/>
      <c r="E251" s="8"/>
      <c r="F251" s="3"/>
      <c r="G251" s="3"/>
      <c r="H251" s="9"/>
    </row>
    <row r="252" spans="1:8" ht="30" customHeight="1" x14ac:dyDescent="0.3">
      <c r="A252" s="5"/>
      <c r="B252" s="3"/>
      <c r="C252" s="9"/>
      <c r="D252" s="6"/>
      <c r="E252" s="8"/>
      <c r="F252" s="3"/>
      <c r="G252" s="3"/>
      <c r="H252" s="9"/>
    </row>
    <row r="253" spans="1:8" ht="30" customHeight="1" x14ac:dyDescent="0.3">
      <c r="A253" s="5"/>
      <c r="B253" s="3"/>
      <c r="C253" s="9"/>
      <c r="D253" s="6"/>
      <c r="E253" s="8"/>
      <c r="F253" s="3"/>
      <c r="G253" s="3"/>
      <c r="H253" s="9"/>
    </row>
    <row r="254" spans="1:8" ht="30" customHeight="1" x14ac:dyDescent="0.3">
      <c r="A254" s="5"/>
      <c r="B254" s="3"/>
      <c r="C254" s="9"/>
      <c r="D254" s="6"/>
      <c r="E254" s="8"/>
      <c r="F254" s="3"/>
      <c r="G254" s="3"/>
      <c r="H254" s="9"/>
    </row>
    <row r="255" spans="1:8" ht="30" customHeight="1" x14ac:dyDescent="0.3">
      <c r="A255" s="5"/>
      <c r="B255" s="3"/>
      <c r="C255" s="9"/>
      <c r="D255" s="6"/>
      <c r="E255" s="8"/>
      <c r="F255" s="3"/>
      <c r="G255" s="3"/>
      <c r="H255" s="9"/>
    </row>
    <row r="256" spans="1:8" ht="30" customHeight="1" x14ac:dyDescent="0.3">
      <c r="A256" s="5"/>
      <c r="B256" s="3"/>
      <c r="C256" s="9"/>
      <c r="D256" s="6"/>
      <c r="E256" s="8"/>
      <c r="F256" s="3"/>
      <c r="G256" s="3"/>
      <c r="H256" s="9"/>
    </row>
    <row r="257" spans="1:8" ht="30" customHeight="1" x14ac:dyDescent="0.3">
      <c r="A257" s="5"/>
      <c r="B257" s="3"/>
      <c r="C257" s="9"/>
      <c r="D257" s="6"/>
      <c r="E257" s="8"/>
      <c r="F257" s="3"/>
      <c r="G257" s="3"/>
      <c r="H257" s="9"/>
    </row>
    <row r="258" spans="1:8" ht="30" customHeight="1" x14ac:dyDescent="0.3">
      <c r="A258" s="5"/>
      <c r="B258" s="3"/>
      <c r="C258" s="9"/>
      <c r="D258" s="6"/>
      <c r="E258" s="8"/>
      <c r="F258" s="3"/>
      <c r="G258" s="3"/>
      <c r="H258" s="9"/>
    </row>
    <row r="259" spans="1:8" ht="30" customHeight="1" x14ac:dyDescent="0.3">
      <c r="A259" s="5"/>
      <c r="B259" s="3"/>
      <c r="C259" s="9"/>
      <c r="D259" s="6"/>
      <c r="E259" s="8"/>
      <c r="F259" s="3"/>
      <c r="G259" s="3"/>
      <c r="H259" s="9"/>
    </row>
    <row r="260" spans="1:8" ht="30" customHeight="1" x14ac:dyDescent="0.3">
      <c r="A260" s="5"/>
      <c r="B260" s="3"/>
      <c r="C260" s="9"/>
      <c r="D260" s="6"/>
      <c r="E260" s="8"/>
      <c r="F260" s="3"/>
      <c r="G260" s="3"/>
      <c r="H260" s="9"/>
    </row>
    <row r="261" spans="1:8" ht="30" customHeight="1" x14ac:dyDescent="0.3">
      <c r="A261" s="5"/>
      <c r="B261" s="3"/>
      <c r="C261" s="9"/>
      <c r="D261" s="6"/>
      <c r="E261" s="8"/>
      <c r="F261" s="3"/>
      <c r="G261" s="3"/>
      <c r="H261" s="9"/>
    </row>
    <row r="262" spans="1:8" ht="30" customHeight="1" x14ac:dyDescent="0.3">
      <c r="A262" s="5"/>
      <c r="B262" s="3"/>
      <c r="C262" s="9"/>
      <c r="D262" s="6"/>
      <c r="E262" s="8"/>
      <c r="F262" s="3"/>
      <c r="G262" s="3"/>
      <c r="H262" s="9"/>
    </row>
    <row r="263" spans="1:8" ht="30" customHeight="1" x14ac:dyDescent="0.3">
      <c r="A263" s="5"/>
      <c r="B263" s="3"/>
      <c r="C263" s="9"/>
      <c r="D263" s="6"/>
      <c r="E263" s="8"/>
      <c r="F263" s="3"/>
      <c r="G263" s="3"/>
      <c r="H263" s="9"/>
    </row>
    <row r="264" spans="1:8" ht="30" customHeight="1" x14ac:dyDescent="0.3">
      <c r="A264" s="5"/>
      <c r="B264" s="3"/>
      <c r="C264" s="9"/>
      <c r="D264" s="6"/>
      <c r="E264" s="8"/>
      <c r="F264" s="3"/>
      <c r="G264" s="3"/>
      <c r="H264" s="9"/>
    </row>
    <row r="265" spans="1:8" ht="30" customHeight="1" x14ac:dyDescent="0.3">
      <c r="A265" s="5"/>
      <c r="B265" s="3"/>
      <c r="C265" s="9"/>
      <c r="D265" s="6"/>
      <c r="E265" s="8"/>
      <c r="F265" s="3"/>
      <c r="G265" s="3"/>
      <c r="H265" s="9"/>
    </row>
    <row r="266" spans="1:8" ht="30" customHeight="1" x14ac:dyDescent="0.3">
      <c r="A266" s="5"/>
      <c r="B266" s="3"/>
      <c r="C266" s="9"/>
      <c r="D266" s="6"/>
      <c r="E266" s="8"/>
      <c r="F266" s="3"/>
      <c r="G266" s="3"/>
      <c r="H266" s="9"/>
    </row>
    <row r="267" spans="1:8" ht="30" customHeight="1" x14ac:dyDescent="0.3">
      <c r="A267" s="5"/>
      <c r="B267" s="3"/>
      <c r="C267" s="9"/>
      <c r="D267" s="6"/>
      <c r="E267" s="8"/>
      <c r="F267" s="3"/>
      <c r="G267" s="3"/>
      <c r="H267" s="9"/>
    </row>
    <row r="268" spans="1:8" ht="30" customHeight="1" x14ac:dyDescent="0.3">
      <c r="A268" s="5"/>
      <c r="B268" s="3"/>
      <c r="C268" s="9"/>
      <c r="D268" s="6"/>
      <c r="E268" s="8"/>
      <c r="F268" s="3"/>
      <c r="G268" s="3"/>
      <c r="H268" s="9"/>
    </row>
    <row r="269" spans="1:8" ht="30" customHeight="1" x14ac:dyDescent="0.3">
      <c r="A269" s="5"/>
      <c r="B269" s="3"/>
      <c r="C269" s="9"/>
      <c r="D269" s="6"/>
      <c r="E269" s="8"/>
      <c r="F269" s="3"/>
      <c r="G269" s="3"/>
      <c r="H269" s="9"/>
    </row>
    <row r="270" spans="1:8" ht="30" customHeight="1" x14ac:dyDescent="0.3">
      <c r="A270" s="5"/>
      <c r="B270" s="3"/>
      <c r="C270" s="9"/>
      <c r="D270" s="6"/>
      <c r="E270" s="8"/>
      <c r="F270" s="3"/>
      <c r="G270" s="3"/>
      <c r="H270" s="9"/>
    </row>
    <row r="271" spans="1:8" ht="30" customHeight="1" x14ac:dyDescent="0.3">
      <c r="A271" s="5"/>
      <c r="B271" s="3"/>
      <c r="C271" s="9"/>
      <c r="D271" s="6"/>
      <c r="E271" s="8"/>
      <c r="F271" s="3"/>
      <c r="G271" s="3"/>
      <c r="H271" s="9"/>
    </row>
    <row r="272" spans="1:8" ht="30" customHeight="1" x14ac:dyDescent="0.3">
      <c r="A272" s="5"/>
      <c r="B272" s="3"/>
      <c r="C272" s="9"/>
      <c r="D272" s="6"/>
      <c r="E272" s="8"/>
      <c r="F272" s="3"/>
      <c r="G272" s="3"/>
      <c r="H272" s="9"/>
    </row>
    <row r="273" spans="1:8" ht="30" customHeight="1" x14ac:dyDescent="0.3">
      <c r="A273" s="5"/>
      <c r="B273" s="3"/>
      <c r="C273" s="9"/>
      <c r="D273" s="6"/>
      <c r="E273" s="8"/>
      <c r="F273" s="3"/>
      <c r="G273" s="3"/>
      <c r="H273" s="9"/>
    </row>
    <row r="274" spans="1:8" ht="30" customHeight="1" x14ac:dyDescent="0.3">
      <c r="A274" s="5"/>
      <c r="B274" s="3"/>
      <c r="C274" s="9"/>
      <c r="D274" s="6"/>
      <c r="E274" s="8"/>
      <c r="F274" s="3"/>
      <c r="G274" s="3"/>
      <c r="H274" s="9"/>
    </row>
    <row r="275" spans="1:8" ht="30" customHeight="1" x14ac:dyDescent="0.3">
      <c r="A275" s="2"/>
      <c r="B275" s="2"/>
      <c r="C275" s="9"/>
      <c r="D275" s="12"/>
      <c r="E275" s="10"/>
      <c r="F275" s="2"/>
      <c r="G275" s="2"/>
      <c r="H275" s="9"/>
    </row>
    <row r="276" spans="1:8" ht="30" customHeight="1" x14ac:dyDescent="0.3">
      <c r="A276" s="2"/>
      <c r="B276" s="2"/>
      <c r="C276" s="9"/>
      <c r="D276" s="12"/>
      <c r="E276" s="10"/>
      <c r="F276" s="2"/>
      <c r="G276" s="2"/>
      <c r="H276" s="9"/>
    </row>
    <row r="277" spans="1:8" ht="30" customHeight="1" x14ac:dyDescent="0.3">
      <c r="A277" s="2"/>
      <c r="B277" s="2"/>
      <c r="C277" s="9"/>
      <c r="D277" s="12"/>
      <c r="E277" s="10"/>
      <c r="F277" s="2"/>
      <c r="G277" s="2"/>
      <c r="H277" s="9"/>
    </row>
    <row r="278" spans="1:8" ht="30" customHeight="1" x14ac:dyDescent="0.3">
      <c r="A278" s="2"/>
      <c r="B278" s="2"/>
      <c r="C278" s="9"/>
      <c r="D278" s="12"/>
      <c r="E278" s="10"/>
      <c r="F278" s="2"/>
      <c r="G278" s="2"/>
      <c r="H278" s="9"/>
    </row>
    <row r="279" spans="1:8" ht="30" customHeight="1" x14ac:dyDescent="0.3">
      <c r="A279" s="2"/>
      <c r="B279" s="2"/>
      <c r="C279" s="9"/>
      <c r="D279" s="12"/>
      <c r="E279" s="10"/>
      <c r="F279" s="2"/>
      <c r="G279" s="2"/>
      <c r="H279" s="9"/>
    </row>
    <row r="280" spans="1:8" ht="30" customHeight="1" x14ac:dyDescent="0.3">
      <c r="A280" s="2"/>
      <c r="B280" s="2"/>
      <c r="C280" s="9"/>
      <c r="D280" s="12"/>
      <c r="E280" s="10"/>
      <c r="F280" s="2"/>
      <c r="G280" s="2"/>
      <c r="H280" s="9"/>
    </row>
    <row r="281" spans="1:8" ht="30" customHeight="1" x14ac:dyDescent="0.3">
      <c r="A281" s="2"/>
      <c r="B281" s="2"/>
      <c r="C281" s="9"/>
      <c r="D281" s="2"/>
      <c r="E281" s="10"/>
      <c r="F281" s="2"/>
      <c r="G281" s="2"/>
      <c r="H281" s="9"/>
    </row>
    <row r="282" spans="1:8" ht="30" customHeight="1" x14ac:dyDescent="0.3">
      <c r="A282" s="2"/>
      <c r="B282" s="2"/>
      <c r="C282" s="9"/>
      <c r="D282" s="2"/>
      <c r="E282" s="10"/>
      <c r="F282" s="2"/>
      <c r="G282" s="2"/>
      <c r="H282" s="9"/>
    </row>
    <row r="283" spans="1:8" x14ac:dyDescent="0.3">
      <c r="A283" s="9"/>
      <c r="B283" s="9"/>
      <c r="C283" s="9"/>
      <c r="D283" s="9"/>
      <c r="E283" s="9"/>
      <c r="F283" s="9"/>
      <c r="G283" s="9"/>
      <c r="H283" s="9"/>
    </row>
    <row r="284" spans="1:8" x14ac:dyDescent="0.3">
      <c r="A284" s="9"/>
      <c r="B284" s="9"/>
      <c r="C284" s="9"/>
      <c r="D284" s="9"/>
      <c r="E284" s="9"/>
      <c r="F284" s="9"/>
      <c r="G284" s="9"/>
      <c r="H284" s="9"/>
    </row>
    <row r="285" spans="1:8" x14ac:dyDescent="0.3">
      <c r="A285" s="9"/>
      <c r="B285" s="9"/>
      <c r="C285" s="9"/>
      <c r="D285" s="9"/>
      <c r="E285" s="9"/>
      <c r="F285" s="9"/>
      <c r="G285" s="9"/>
      <c r="H285" s="9"/>
    </row>
    <row r="286" spans="1:8" x14ac:dyDescent="0.3">
      <c r="A286" s="9"/>
      <c r="B286" s="9"/>
      <c r="C286" s="9"/>
      <c r="D286" s="9"/>
      <c r="E286" s="9"/>
      <c r="F286" s="9"/>
      <c r="G286" s="9"/>
      <c r="H286" s="9"/>
    </row>
    <row r="287" spans="1:8" x14ac:dyDescent="0.3">
      <c r="A287" s="9"/>
      <c r="B287" s="9"/>
      <c r="C287" s="9"/>
      <c r="D287" s="9"/>
      <c r="E287" s="9"/>
      <c r="F287" s="9"/>
      <c r="G287" s="9"/>
      <c r="H287" s="9"/>
    </row>
    <row r="288" spans="1:8" x14ac:dyDescent="0.3">
      <c r="A288" s="9"/>
      <c r="B288" s="9"/>
      <c r="C288" s="9"/>
      <c r="D288" s="9"/>
      <c r="E288" s="9"/>
      <c r="F288" s="9"/>
      <c r="G288" s="9"/>
      <c r="H288" s="9"/>
    </row>
    <row r="289" spans="1:8" x14ac:dyDescent="0.3">
      <c r="A289" s="9"/>
      <c r="B289" s="9"/>
      <c r="C289" s="9"/>
      <c r="D289" s="9"/>
      <c r="E289" s="9"/>
      <c r="F289" s="9"/>
      <c r="G289" s="9"/>
      <c r="H289" s="9"/>
    </row>
    <row r="290" spans="1:8" x14ac:dyDescent="0.3">
      <c r="A290" s="9"/>
      <c r="B290" s="9"/>
      <c r="C290" s="9"/>
      <c r="D290" s="9"/>
      <c r="E290" s="9"/>
      <c r="F290" s="9"/>
      <c r="G290" s="9"/>
      <c r="H290" s="9"/>
    </row>
    <row r="291" spans="1:8" x14ac:dyDescent="0.3">
      <c r="A291" s="9"/>
      <c r="B291" s="9"/>
      <c r="C291" s="9"/>
      <c r="D291" s="9"/>
      <c r="E291" s="9"/>
      <c r="F291" s="9"/>
      <c r="G291" s="9"/>
      <c r="H291" s="9"/>
    </row>
    <row r="292" spans="1:8" x14ac:dyDescent="0.3">
      <c r="A292" s="9"/>
      <c r="B292" s="9"/>
      <c r="C292" s="9"/>
      <c r="D292" s="9"/>
      <c r="E292" s="9"/>
      <c r="F292" s="9"/>
      <c r="G292" s="9"/>
      <c r="H292" s="9"/>
    </row>
    <row r="293" spans="1:8" x14ac:dyDescent="0.3">
      <c r="A293" s="9"/>
      <c r="B293" s="9"/>
      <c r="C293" s="9"/>
      <c r="D293" s="9"/>
      <c r="E293" s="9"/>
      <c r="F293" s="9"/>
      <c r="G293" s="9"/>
      <c r="H293" s="9"/>
    </row>
    <row r="294" spans="1:8" x14ac:dyDescent="0.3">
      <c r="A294" s="9"/>
      <c r="B294" s="9"/>
      <c r="C294" s="9"/>
      <c r="D294" s="9"/>
      <c r="E294" s="9"/>
      <c r="F294" s="9"/>
      <c r="G294" s="9"/>
      <c r="H294" s="9"/>
    </row>
    <row r="295" spans="1:8" x14ac:dyDescent="0.3">
      <c r="A295" s="9"/>
      <c r="B295" s="9"/>
      <c r="C295" s="9"/>
      <c r="D295" s="9"/>
      <c r="E295" s="9"/>
      <c r="F295" s="9"/>
      <c r="G295" s="9"/>
      <c r="H295" s="9"/>
    </row>
    <row r="296" spans="1:8" x14ac:dyDescent="0.3">
      <c r="A296" s="9"/>
      <c r="B296" s="9"/>
      <c r="C296" s="9"/>
      <c r="D296" s="9"/>
      <c r="E296" s="9"/>
      <c r="F296" s="9"/>
      <c r="G296" s="9"/>
      <c r="H296" s="9"/>
    </row>
    <row r="297" spans="1:8" x14ac:dyDescent="0.3">
      <c r="A297" s="9"/>
      <c r="B297" s="9"/>
      <c r="C297" s="9"/>
      <c r="D297" s="9"/>
      <c r="E297" s="9"/>
      <c r="F297" s="9"/>
      <c r="G297" s="9"/>
      <c r="H297" s="9"/>
    </row>
    <row r="298" spans="1:8" x14ac:dyDescent="0.3">
      <c r="A298" s="9"/>
      <c r="B298" s="9"/>
      <c r="C298" s="9"/>
      <c r="D298" s="9"/>
      <c r="E298" s="9"/>
      <c r="F298" s="9"/>
      <c r="G298" s="9"/>
      <c r="H298" s="9"/>
    </row>
    <row r="299" spans="1:8" x14ac:dyDescent="0.3">
      <c r="A299" s="9"/>
      <c r="B299" s="9"/>
      <c r="C299" s="9"/>
      <c r="D299" s="9"/>
      <c r="E299" s="9"/>
      <c r="F299" s="9"/>
      <c r="G299" s="9"/>
      <c r="H299" s="9"/>
    </row>
    <row r="300" spans="1:8" x14ac:dyDescent="0.3">
      <c r="A300" s="9"/>
      <c r="B300" s="9"/>
      <c r="C300" s="9"/>
      <c r="D300" s="9"/>
      <c r="E300" s="9"/>
      <c r="F300" s="9"/>
      <c r="G300" s="9"/>
      <c r="H300" s="9"/>
    </row>
    <row r="301" spans="1:8" x14ac:dyDescent="0.3">
      <c r="A301" s="9"/>
      <c r="B301" s="9"/>
      <c r="C301" s="9"/>
      <c r="D301" s="9"/>
      <c r="E301" s="9"/>
      <c r="F301" s="9"/>
      <c r="G301" s="9"/>
      <c r="H301" s="9"/>
    </row>
    <row r="302" spans="1:8" x14ac:dyDescent="0.3">
      <c r="A302" s="9"/>
      <c r="B302" s="9"/>
      <c r="C302" s="9"/>
      <c r="D302" s="9"/>
      <c r="E302" s="9"/>
      <c r="F302" s="9"/>
      <c r="G302" s="9"/>
      <c r="H302" s="9"/>
    </row>
    <row r="303" spans="1:8" x14ac:dyDescent="0.3">
      <c r="A303" s="9"/>
      <c r="B303" s="9"/>
      <c r="C303" s="9"/>
      <c r="D303" s="9"/>
      <c r="E303" s="9"/>
      <c r="F303" s="9"/>
      <c r="G303" s="9"/>
      <c r="H303" s="9"/>
    </row>
    <row r="304" spans="1:8" x14ac:dyDescent="0.3">
      <c r="A304" s="9"/>
      <c r="B304" s="9"/>
      <c r="C304" s="9"/>
      <c r="D304" s="9"/>
      <c r="E304" s="9"/>
      <c r="F304" s="9"/>
      <c r="G304" s="9"/>
      <c r="H304" s="9"/>
    </row>
    <row r="305" spans="1:8" x14ac:dyDescent="0.3">
      <c r="A305" s="9"/>
      <c r="B305" s="9"/>
      <c r="C305" s="9"/>
      <c r="D305" s="9"/>
      <c r="E305" s="9"/>
      <c r="F305" s="9"/>
      <c r="G305" s="9"/>
      <c r="H305" s="9"/>
    </row>
    <row r="306" spans="1:8" x14ac:dyDescent="0.3">
      <c r="A306" s="9"/>
      <c r="B306" s="9"/>
      <c r="C306" s="9"/>
      <c r="D306" s="9"/>
      <c r="E306" s="9"/>
      <c r="F306" s="9"/>
      <c r="G306" s="9"/>
      <c r="H306" s="9"/>
    </row>
    <row r="307" spans="1:8" x14ac:dyDescent="0.3">
      <c r="A307" s="9"/>
      <c r="B307" s="9"/>
      <c r="C307" s="9"/>
      <c r="D307" s="9"/>
      <c r="E307" s="9"/>
      <c r="F307" s="9"/>
      <c r="G307" s="9"/>
      <c r="H307" s="9"/>
    </row>
    <row r="308" spans="1:8" x14ac:dyDescent="0.3">
      <c r="A308" s="9"/>
      <c r="B308" s="9"/>
      <c r="C308" s="9"/>
      <c r="D308" s="9"/>
      <c r="E308" s="9"/>
      <c r="F308" s="9"/>
      <c r="G308" s="9"/>
      <c r="H308" s="9"/>
    </row>
    <row r="309" spans="1:8" x14ac:dyDescent="0.3">
      <c r="A309" s="9"/>
      <c r="B309" s="9"/>
      <c r="C309" s="9"/>
      <c r="D309" s="9"/>
      <c r="E309" s="9"/>
      <c r="F309" s="9"/>
      <c r="G309" s="9"/>
      <c r="H309" s="9"/>
    </row>
    <row r="310" spans="1:8" x14ac:dyDescent="0.3">
      <c r="A310" s="9"/>
      <c r="B310" s="9"/>
      <c r="C310" s="9"/>
      <c r="D310" s="9"/>
      <c r="E310" s="9"/>
      <c r="F310" s="9"/>
      <c r="G310" s="9"/>
      <c r="H310" s="9"/>
    </row>
    <row r="311" spans="1:8" x14ac:dyDescent="0.3">
      <c r="A311" s="9"/>
      <c r="B311" s="9"/>
      <c r="C311" s="9"/>
      <c r="D311" s="9"/>
      <c r="E311" s="9"/>
      <c r="F311" s="9"/>
      <c r="G311" s="9"/>
      <c r="H311" s="9"/>
    </row>
    <row r="312" spans="1:8" x14ac:dyDescent="0.3">
      <c r="A312" s="9"/>
      <c r="B312" s="9"/>
      <c r="C312" s="9"/>
      <c r="D312" s="9"/>
      <c r="E312" s="9"/>
      <c r="F312" s="9"/>
      <c r="G312" s="9"/>
      <c r="H312" s="9"/>
    </row>
    <row r="313" spans="1:8" x14ac:dyDescent="0.3">
      <c r="A313" s="9"/>
      <c r="B313" s="9"/>
      <c r="C313" s="9"/>
      <c r="D313" s="9"/>
      <c r="E313" s="9"/>
      <c r="F313" s="9"/>
      <c r="G313" s="9"/>
      <c r="H313" s="9"/>
    </row>
    <row r="314" spans="1:8" x14ac:dyDescent="0.3">
      <c r="A314" s="9"/>
      <c r="B314" s="9"/>
      <c r="C314" s="9"/>
      <c r="D314" s="9"/>
      <c r="E314" s="9"/>
      <c r="F314" s="9"/>
      <c r="G314" s="9"/>
      <c r="H314" s="9"/>
    </row>
    <row r="315" spans="1:8" x14ac:dyDescent="0.3">
      <c r="A315" s="9"/>
      <c r="B315" s="9"/>
      <c r="C315" s="9"/>
      <c r="D315" s="9"/>
      <c r="E315" s="9"/>
      <c r="F315" s="9"/>
      <c r="G315" s="9"/>
      <c r="H315" s="9"/>
    </row>
    <row r="316" spans="1:8" x14ac:dyDescent="0.3">
      <c r="A316" s="9"/>
      <c r="B316" s="9"/>
      <c r="C316" s="9"/>
      <c r="D316" s="9"/>
      <c r="E316" s="9"/>
      <c r="F316" s="9"/>
      <c r="G316" s="9"/>
      <c r="H316" s="9"/>
    </row>
    <row r="317" spans="1:8" x14ac:dyDescent="0.3">
      <c r="A317" s="9"/>
      <c r="B317" s="9"/>
      <c r="C317" s="9"/>
      <c r="D317" s="9"/>
      <c r="E317" s="9"/>
      <c r="F317" s="9"/>
      <c r="G317" s="9"/>
      <c r="H317" s="9"/>
    </row>
    <row r="318" spans="1:8" x14ac:dyDescent="0.3">
      <c r="A318" s="9"/>
      <c r="B318" s="9"/>
      <c r="C318" s="9"/>
      <c r="D318" s="9"/>
      <c r="E318" s="9"/>
      <c r="F318" s="9"/>
      <c r="G318" s="9"/>
      <c r="H318" s="9"/>
    </row>
    <row r="319" spans="1:8" x14ac:dyDescent="0.3">
      <c r="A319" s="9"/>
      <c r="B319" s="9"/>
      <c r="C319" s="9"/>
      <c r="D319" s="9"/>
      <c r="E319" s="9"/>
      <c r="F319" s="9"/>
      <c r="G319" s="9"/>
      <c r="H319" s="9"/>
    </row>
    <row r="320" spans="1:8" x14ac:dyDescent="0.3">
      <c r="A320" s="9"/>
      <c r="B320" s="9"/>
      <c r="C320" s="9"/>
      <c r="D320" s="9"/>
      <c r="E320" s="9"/>
      <c r="F320" s="9"/>
      <c r="G320" s="9"/>
      <c r="H320" s="9"/>
    </row>
    <row r="321" spans="1:8" x14ac:dyDescent="0.3">
      <c r="A321" s="9"/>
      <c r="B321" s="9"/>
      <c r="C321" s="9"/>
      <c r="D321" s="9"/>
      <c r="E321" s="9"/>
      <c r="F321" s="9"/>
      <c r="G321" s="9"/>
      <c r="H321" s="9"/>
    </row>
    <row r="322" spans="1:8" x14ac:dyDescent="0.3">
      <c r="A322" s="9"/>
      <c r="B322" s="9"/>
      <c r="C322" s="9"/>
      <c r="D322" s="9"/>
      <c r="E322" s="9"/>
      <c r="F322" s="9"/>
      <c r="G322" s="9"/>
      <c r="H322" s="9"/>
    </row>
    <row r="323" spans="1:8" x14ac:dyDescent="0.3">
      <c r="A323" s="9"/>
      <c r="B323" s="9"/>
      <c r="C323" s="9"/>
      <c r="D323" s="9"/>
      <c r="E323" s="9"/>
      <c r="F323" s="9"/>
      <c r="G323" s="9"/>
      <c r="H323" s="9"/>
    </row>
    <row r="324" spans="1:8" x14ac:dyDescent="0.3">
      <c r="A324" s="9"/>
      <c r="B324" s="9"/>
      <c r="C324" s="9"/>
      <c r="D324" s="9"/>
      <c r="E324" s="9"/>
      <c r="F324" s="9"/>
      <c r="G324" s="9"/>
      <c r="H324" s="9"/>
    </row>
    <row r="325" spans="1:8" x14ac:dyDescent="0.3">
      <c r="A325" s="9"/>
      <c r="B325" s="9"/>
      <c r="C325" s="9"/>
      <c r="D325" s="9"/>
      <c r="E325" s="9"/>
      <c r="F325" s="9"/>
      <c r="G325" s="9"/>
      <c r="H325" s="9"/>
    </row>
    <row r="326" spans="1:8" x14ac:dyDescent="0.3">
      <c r="A326" s="9"/>
      <c r="B326" s="9"/>
      <c r="C326" s="9"/>
      <c r="D326" s="9"/>
      <c r="E326" s="9"/>
      <c r="F326" s="9"/>
      <c r="G326" s="9"/>
      <c r="H326" s="9"/>
    </row>
    <row r="327" spans="1:8" x14ac:dyDescent="0.3">
      <c r="A327" s="9"/>
      <c r="B327" s="9"/>
      <c r="C327" s="9"/>
      <c r="D327" s="9"/>
      <c r="E327" s="9"/>
      <c r="F327" s="9"/>
      <c r="G327" s="9"/>
      <c r="H327" s="9"/>
    </row>
    <row r="328" spans="1:8" x14ac:dyDescent="0.3">
      <c r="A328" s="9"/>
      <c r="B328" s="9"/>
      <c r="C328" s="9"/>
      <c r="D328" s="9"/>
      <c r="E328" s="9"/>
      <c r="F328" s="9"/>
      <c r="G328" s="9"/>
      <c r="H328" s="9"/>
    </row>
    <row r="329" spans="1:8" x14ac:dyDescent="0.3">
      <c r="A329" s="9"/>
      <c r="B329" s="9"/>
      <c r="C329" s="9"/>
      <c r="D329" s="9"/>
      <c r="E329" s="9"/>
      <c r="F329" s="9"/>
      <c r="G329" s="9"/>
      <c r="H329" s="9"/>
    </row>
    <row r="330" spans="1:8" x14ac:dyDescent="0.3">
      <c r="A330" s="9"/>
      <c r="B330" s="9"/>
      <c r="C330" s="9"/>
      <c r="D330" s="9"/>
      <c r="E330" s="9"/>
      <c r="F330" s="9"/>
      <c r="G330" s="9"/>
      <c r="H330" s="9"/>
    </row>
    <row r="331" spans="1:8" x14ac:dyDescent="0.3">
      <c r="A331" s="9"/>
      <c r="B331" s="9"/>
      <c r="C331" s="9"/>
      <c r="D331" s="9"/>
      <c r="E331" s="9"/>
      <c r="F331" s="9"/>
      <c r="G331" s="9"/>
      <c r="H331" s="9"/>
    </row>
    <row r="332" spans="1:8" x14ac:dyDescent="0.3">
      <c r="A332" s="9"/>
      <c r="B332" s="9"/>
      <c r="C332" s="9"/>
      <c r="D332" s="9"/>
      <c r="E332" s="9"/>
      <c r="F332" s="9"/>
      <c r="G332" s="9"/>
      <c r="H332" s="9"/>
    </row>
    <row r="333" spans="1:8" x14ac:dyDescent="0.3">
      <c r="A333" s="9"/>
      <c r="B333" s="9"/>
      <c r="C333" s="9"/>
      <c r="D333" s="9"/>
      <c r="E333" s="9"/>
      <c r="F333" s="9"/>
      <c r="G333" s="9"/>
      <c r="H333" s="9"/>
    </row>
    <row r="334" spans="1:8" x14ac:dyDescent="0.3">
      <c r="A334" s="9"/>
      <c r="B334" s="9"/>
      <c r="C334" s="9"/>
      <c r="D334" s="9"/>
      <c r="E334" s="9"/>
      <c r="F334" s="9"/>
      <c r="G334" s="9"/>
      <c r="H334" s="9"/>
    </row>
    <row r="335" spans="1:8" x14ac:dyDescent="0.3">
      <c r="A335" s="9"/>
      <c r="B335" s="9"/>
      <c r="C335" s="9"/>
      <c r="D335" s="9"/>
      <c r="E335" s="9"/>
      <c r="F335" s="9"/>
      <c r="G335" s="9"/>
      <c r="H335" s="9"/>
    </row>
    <row r="336" spans="1:8" x14ac:dyDescent="0.3">
      <c r="A336" s="9"/>
      <c r="B336" s="9"/>
      <c r="C336" s="9"/>
      <c r="D336" s="9"/>
      <c r="E336" s="9"/>
      <c r="F336" s="9"/>
      <c r="G336" s="9"/>
      <c r="H336" s="9"/>
    </row>
    <row r="337" spans="1:8" x14ac:dyDescent="0.3">
      <c r="A337" s="9"/>
      <c r="B337" s="9"/>
      <c r="C337" s="9"/>
      <c r="D337" s="9"/>
      <c r="E337" s="9"/>
      <c r="F337" s="9"/>
      <c r="G337" s="9"/>
      <c r="H337" s="9"/>
    </row>
    <row r="338" spans="1:8" x14ac:dyDescent="0.3">
      <c r="A338" s="9"/>
      <c r="B338" s="9"/>
      <c r="C338" s="9"/>
      <c r="D338" s="9"/>
      <c r="E338" s="9"/>
      <c r="F338" s="9"/>
      <c r="G338" s="9"/>
      <c r="H338" s="9"/>
    </row>
    <row r="339" spans="1:8" x14ac:dyDescent="0.3">
      <c r="A339" s="9"/>
      <c r="B339" s="9"/>
      <c r="C339" s="9"/>
      <c r="D339" s="9"/>
      <c r="E339" s="9"/>
      <c r="F339" s="9"/>
      <c r="G339" s="9"/>
      <c r="H339" s="9"/>
    </row>
    <row r="340" spans="1:8" x14ac:dyDescent="0.3">
      <c r="A340" s="9"/>
      <c r="B340" s="9"/>
      <c r="C340" s="9"/>
      <c r="D340" s="9"/>
      <c r="E340" s="9"/>
      <c r="F340" s="9"/>
      <c r="G340" s="9"/>
      <c r="H340" s="9"/>
    </row>
    <row r="341" spans="1:8" x14ac:dyDescent="0.3">
      <c r="A341" s="9"/>
      <c r="B341" s="9"/>
      <c r="C341" s="9"/>
      <c r="D341" s="9"/>
      <c r="E341" s="9"/>
      <c r="F341" s="9"/>
      <c r="G341" s="9"/>
      <c r="H341" s="9"/>
    </row>
    <row r="342" spans="1:8" x14ac:dyDescent="0.3">
      <c r="A342" s="9"/>
      <c r="B342" s="9"/>
      <c r="C342" s="9"/>
      <c r="D342" s="9"/>
      <c r="E342" s="9"/>
      <c r="F342" s="9"/>
      <c r="G342" s="9"/>
      <c r="H342" s="9"/>
    </row>
    <row r="343" spans="1:8" x14ac:dyDescent="0.3">
      <c r="A343" s="9"/>
      <c r="B343" s="9"/>
      <c r="C343" s="9"/>
      <c r="D343" s="9"/>
      <c r="E343" s="9"/>
      <c r="F343" s="9"/>
      <c r="G343" s="9"/>
      <c r="H343" s="9"/>
    </row>
    <row r="344" spans="1:8" x14ac:dyDescent="0.3">
      <c r="A344" s="9"/>
      <c r="B344" s="9"/>
      <c r="C344" s="9"/>
      <c r="D344" s="9"/>
      <c r="E344" s="9"/>
      <c r="F344" s="9"/>
      <c r="G344" s="9"/>
      <c r="H344" s="9"/>
    </row>
    <row r="345" spans="1:8" x14ac:dyDescent="0.3">
      <c r="A345" s="9"/>
      <c r="B345" s="9"/>
      <c r="C345" s="9"/>
      <c r="D345" s="9"/>
      <c r="E345" s="9"/>
      <c r="F345" s="9"/>
      <c r="G345" s="9"/>
      <c r="H345" s="9"/>
    </row>
    <row r="346" spans="1:8" x14ac:dyDescent="0.3">
      <c r="A346" s="9"/>
      <c r="B346" s="9"/>
      <c r="C346" s="9"/>
      <c r="D346" s="9"/>
      <c r="E346" s="9"/>
      <c r="F346" s="9"/>
      <c r="G346" s="9"/>
      <c r="H346" s="9"/>
    </row>
    <row r="347" spans="1:8" x14ac:dyDescent="0.3">
      <c r="A347" s="9"/>
      <c r="B347" s="9"/>
      <c r="C347" s="9"/>
      <c r="D347" s="9"/>
      <c r="E347" s="9"/>
      <c r="F347" s="9"/>
      <c r="G347" s="9"/>
      <c r="H347" s="9"/>
    </row>
    <row r="348" spans="1:8" x14ac:dyDescent="0.3">
      <c r="A348" s="9"/>
      <c r="B348" s="9"/>
      <c r="C348" s="9"/>
      <c r="D348" s="9"/>
      <c r="E348" s="9"/>
      <c r="F348" s="9"/>
      <c r="G348" s="9"/>
      <c r="H348" s="9"/>
    </row>
    <row r="349" spans="1:8" x14ac:dyDescent="0.3">
      <c r="A349" s="9"/>
      <c r="B349" s="9"/>
      <c r="C349" s="9"/>
      <c r="D349" s="9"/>
      <c r="E349" s="9"/>
      <c r="F349" s="9"/>
      <c r="G349" s="9"/>
      <c r="H349" s="9"/>
    </row>
    <row r="350" spans="1:8" x14ac:dyDescent="0.3">
      <c r="A350" s="9"/>
      <c r="B350" s="9"/>
      <c r="C350" s="9"/>
      <c r="D350" s="9"/>
      <c r="E350" s="9"/>
      <c r="F350" s="9"/>
      <c r="G350" s="9"/>
      <c r="H350" s="9"/>
    </row>
    <row r="351" spans="1:8" x14ac:dyDescent="0.3">
      <c r="A351" s="9"/>
      <c r="B351" s="9"/>
      <c r="C351" s="9"/>
      <c r="D351" s="9"/>
      <c r="E351" s="9"/>
      <c r="F351" s="9"/>
      <c r="G351" s="9"/>
      <c r="H351" s="9"/>
    </row>
    <row r="352" spans="1:8" x14ac:dyDescent="0.3">
      <c r="A352" s="9"/>
      <c r="B352" s="9"/>
      <c r="C352" s="9"/>
      <c r="D352" s="9"/>
      <c r="E352" s="9"/>
      <c r="F352" s="9"/>
      <c r="G352" s="9"/>
      <c r="H352" s="9"/>
    </row>
    <row r="353" spans="1:8" x14ac:dyDescent="0.3">
      <c r="A353" s="9"/>
      <c r="B353" s="9"/>
      <c r="C353" s="9"/>
      <c r="D353" s="9"/>
      <c r="E353" s="9"/>
      <c r="F353" s="9"/>
      <c r="G353" s="9"/>
      <c r="H353" s="9"/>
    </row>
    <row r="354" spans="1:8" x14ac:dyDescent="0.3">
      <c r="A354" s="9"/>
      <c r="B354" s="9"/>
      <c r="C354" s="9"/>
      <c r="D354" s="9"/>
      <c r="E354" s="9"/>
      <c r="F354" s="9"/>
      <c r="G354" s="9"/>
      <c r="H354" s="9"/>
    </row>
    <row r="355" spans="1:8" x14ac:dyDescent="0.3">
      <c r="A355" s="9"/>
      <c r="B355" s="9"/>
      <c r="C355" s="9"/>
      <c r="D355" s="9"/>
      <c r="E355" s="9"/>
      <c r="F355" s="9"/>
      <c r="G355" s="9"/>
      <c r="H355" s="9"/>
    </row>
    <row r="356" spans="1:8" x14ac:dyDescent="0.3">
      <c r="A356" s="9"/>
      <c r="B356" s="9"/>
      <c r="C356" s="9"/>
      <c r="D356" s="9"/>
      <c r="E356" s="9"/>
      <c r="F356" s="9"/>
      <c r="G356" s="9"/>
      <c r="H356" s="9"/>
    </row>
    <row r="357" spans="1:8" x14ac:dyDescent="0.3">
      <c r="A357" s="9"/>
      <c r="B357" s="9"/>
      <c r="C357" s="9"/>
      <c r="D357" s="9"/>
      <c r="E357" s="9"/>
      <c r="F357" s="9"/>
      <c r="G357" s="9"/>
      <c r="H357" s="9"/>
    </row>
    <row r="358" spans="1:8" x14ac:dyDescent="0.3">
      <c r="A358" s="9"/>
      <c r="B358" s="9"/>
      <c r="C358" s="9"/>
      <c r="D358" s="9"/>
      <c r="E358" s="9"/>
      <c r="F358" s="9"/>
      <c r="G358" s="9"/>
      <c r="H358" s="9"/>
    </row>
    <row r="359" spans="1:8" x14ac:dyDescent="0.3">
      <c r="A359" s="9"/>
      <c r="B359" s="9"/>
      <c r="C359" s="9"/>
      <c r="D359" s="9"/>
      <c r="E359" s="9"/>
      <c r="F359" s="9"/>
      <c r="G359" s="9"/>
      <c r="H359" s="9"/>
    </row>
    <row r="360" spans="1:8" x14ac:dyDescent="0.3">
      <c r="A360" s="9"/>
      <c r="B360" s="9"/>
      <c r="C360" s="9"/>
      <c r="D360" s="9"/>
      <c r="E360" s="9"/>
      <c r="F360" s="9"/>
      <c r="G360" s="9"/>
      <c r="H360" s="9"/>
    </row>
    <row r="361" spans="1:8" x14ac:dyDescent="0.3">
      <c r="A361" s="9"/>
      <c r="B361" s="9"/>
      <c r="C361" s="9"/>
      <c r="D361" s="9"/>
      <c r="E361" s="9"/>
      <c r="F361" s="9"/>
      <c r="G361" s="9"/>
      <c r="H361" s="9"/>
    </row>
    <row r="362" spans="1:8" x14ac:dyDescent="0.3">
      <c r="A362" s="9"/>
      <c r="B362" s="9"/>
      <c r="C362" s="9"/>
      <c r="D362" s="9"/>
      <c r="E362" s="9"/>
      <c r="F362" s="9"/>
      <c r="G362" s="9"/>
      <c r="H362" s="9"/>
    </row>
    <row r="363" spans="1:8" x14ac:dyDescent="0.3">
      <c r="A363" s="9"/>
      <c r="B363" s="9"/>
      <c r="C363" s="9"/>
      <c r="D363" s="9"/>
      <c r="E363" s="9"/>
      <c r="F363" s="9"/>
      <c r="G363" s="9"/>
      <c r="H363" s="9"/>
    </row>
    <row r="364" spans="1:8" x14ac:dyDescent="0.3">
      <c r="A364" s="9"/>
      <c r="B364" s="9"/>
      <c r="C364" s="9"/>
      <c r="D364" s="9"/>
      <c r="E364" s="9"/>
      <c r="F364" s="9"/>
      <c r="G364" s="9"/>
      <c r="H364" s="9"/>
    </row>
    <row r="365" spans="1:8" x14ac:dyDescent="0.3">
      <c r="A365" s="9"/>
      <c r="B365" s="9"/>
      <c r="C365" s="9"/>
      <c r="D365" s="9"/>
      <c r="E365" s="9"/>
      <c r="F365" s="9"/>
      <c r="G365" s="9"/>
      <c r="H365" s="9"/>
    </row>
    <row r="366" spans="1:8" x14ac:dyDescent="0.3">
      <c r="A366" s="9"/>
      <c r="B366" s="9"/>
      <c r="C366" s="9"/>
      <c r="D366" s="9"/>
      <c r="E366" s="9"/>
      <c r="F366" s="9"/>
      <c r="G366" s="9"/>
      <c r="H366" s="9"/>
    </row>
    <row r="367" spans="1:8" x14ac:dyDescent="0.3">
      <c r="A367" s="9"/>
      <c r="B367" s="9"/>
      <c r="C367" s="9"/>
      <c r="D367" s="9"/>
      <c r="E367" s="9"/>
      <c r="F367" s="9"/>
      <c r="G367" s="9"/>
      <c r="H367" s="9"/>
    </row>
    <row r="368" spans="1:8" x14ac:dyDescent="0.3">
      <c r="A368" s="9"/>
      <c r="B368" s="9"/>
      <c r="C368" s="9"/>
      <c r="D368" s="9"/>
      <c r="E368" s="9"/>
      <c r="F368" s="9"/>
      <c r="G368" s="9"/>
      <c r="H368" s="9"/>
    </row>
    <row r="369" spans="1:8" x14ac:dyDescent="0.3">
      <c r="A369" s="9"/>
      <c r="B369" s="9"/>
      <c r="C369" s="9"/>
      <c r="D369" s="9"/>
      <c r="E369" s="9"/>
      <c r="F369" s="9"/>
      <c r="G369" s="9"/>
      <c r="H369" s="9"/>
    </row>
    <row r="370" spans="1:8" x14ac:dyDescent="0.3">
      <c r="A370" s="9"/>
      <c r="B370" s="9"/>
      <c r="C370" s="9"/>
      <c r="D370" s="9"/>
      <c r="E370" s="9"/>
      <c r="F370" s="9"/>
      <c r="G370" s="9"/>
      <c r="H370" s="9"/>
    </row>
    <row r="371" spans="1:8" x14ac:dyDescent="0.3">
      <c r="A371" s="9"/>
      <c r="B371" s="9"/>
      <c r="C371" s="9"/>
      <c r="D371" s="9"/>
      <c r="E371" s="9"/>
      <c r="F371" s="9"/>
      <c r="G371" s="9"/>
      <c r="H371" s="9"/>
    </row>
    <row r="372" spans="1:8" x14ac:dyDescent="0.3">
      <c r="A372" s="9"/>
      <c r="B372" s="9"/>
      <c r="C372" s="9"/>
      <c r="D372" s="9"/>
      <c r="E372" s="9"/>
      <c r="F372" s="9"/>
      <c r="G372" s="9"/>
      <c r="H372" s="9"/>
    </row>
    <row r="373" spans="1:8" x14ac:dyDescent="0.3">
      <c r="A373" s="9"/>
      <c r="B373" s="9"/>
      <c r="C373" s="9"/>
      <c r="D373" s="9"/>
      <c r="E373" s="9"/>
      <c r="F373" s="9"/>
      <c r="G373" s="9"/>
      <c r="H373" s="9"/>
    </row>
    <row r="374" spans="1:8" x14ac:dyDescent="0.3">
      <c r="A374" s="9"/>
      <c r="B374" s="9"/>
      <c r="C374" s="9"/>
      <c r="D374" s="9"/>
      <c r="E374" s="9"/>
      <c r="F374" s="9"/>
      <c r="G374" s="9"/>
      <c r="H374" s="9"/>
    </row>
    <row r="375" spans="1:8" x14ac:dyDescent="0.3">
      <c r="A375" s="9"/>
      <c r="B375" s="9"/>
      <c r="C375" s="9"/>
      <c r="D375" s="9"/>
      <c r="E375" s="9"/>
      <c r="F375" s="9"/>
      <c r="G375" s="9"/>
      <c r="H375" s="9"/>
    </row>
    <row r="376" spans="1:8" x14ac:dyDescent="0.3">
      <c r="A376" s="9"/>
      <c r="B376" s="9"/>
      <c r="C376" s="9"/>
      <c r="D376" s="9"/>
      <c r="E376" s="9"/>
      <c r="F376" s="9"/>
      <c r="G376" s="9"/>
      <c r="H376" s="9"/>
    </row>
    <row r="377" spans="1:8" x14ac:dyDescent="0.3">
      <c r="A377" s="9"/>
      <c r="B377" s="9"/>
      <c r="C377" s="9"/>
      <c r="D377" s="9"/>
      <c r="E377" s="9"/>
      <c r="F377" s="9"/>
      <c r="G377" s="9"/>
      <c r="H377" s="9"/>
    </row>
    <row r="378" spans="1:8" x14ac:dyDescent="0.3">
      <c r="A378" s="9"/>
      <c r="B378" s="9"/>
      <c r="C378" s="9"/>
      <c r="D378" s="9"/>
      <c r="E378" s="9"/>
      <c r="F378" s="9"/>
      <c r="G378" s="9"/>
      <c r="H378" s="9"/>
    </row>
    <row r="379" spans="1:8" x14ac:dyDescent="0.3">
      <c r="A379" s="9"/>
      <c r="B379" s="9"/>
      <c r="C379" s="9"/>
      <c r="D379" s="9"/>
      <c r="E379" s="9"/>
      <c r="F379" s="9"/>
      <c r="G379" s="9"/>
      <c r="H379" s="9"/>
    </row>
    <row r="380" spans="1:8" x14ac:dyDescent="0.3">
      <c r="A380" s="9"/>
      <c r="B380" s="9"/>
      <c r="C380" s="9"/>
      <c r="D380" s="9"/>
      <c r="E380" s="9"/>
      <c r="F380" s="9"/>
      <c r="G380" s="9"/>
      <c r="H380" s="9"/>
    </row>
    <row r="381" spans="1:8" x14ac:dyDescent="0.3">
      <c r="A381" s="9"/>
      <c r="B381" s="9"/>
      <c r="C381" s="9"/>
      <c r="D381" s="9"/>
      <c r="E381" s="9"/>
      <c r="F381" s="9"/>
      <c r="G381" s="9"/>
      <c r="H381" s="9"/>
    </row>
    <row r="382" spans="1:8" x14ac:dyDescent="0.3">
      <c r="A382" s="9"/>
      <c r="B382" s="9"/>
      <c r="C382" s="9"/>
      <c r="D382" s="9"/>
      <c r="E382" s="9"/>
      <c r="F382" s="9"/>
      <c r="G382" s="9"/>
      <c r="H382" s="9"/>
    </row>
    <row r="383" spans="1:8" x14ac:dyDescent="0.3">
      <c r="A383" s="9"/>
      <c r="B383" s="9"/>
      <c r="C383" s="9"/>
      <c r="D383" s="9"/>
      <c r="E383" s="9"/>
      <c r="F383" s="9"/>
      <c r="G383" s="9"/>
      <c r="H383" s="9"/>
    </row>
    <row r="384" spans="1:8" x14ac:dyDescent="0.3">
      <c r="A384" s="9"/>
      <c r="B384" s="9"/>
      <c r="C384" s="9"/>
      <c r="D384" s="9"/>
      <c r="E384" s="9"/>
      <c r="F384" s="9"/>
      <c r="G384" s="9"/>
      <c r="H384" s="9"/>
    </row>
    <row r="385" spans="1:8" x14ac:dyDescent="0.3">
      <c r="A385" s="9"/>
      <c r="B385" s="9"/>
      <c r="C385" s="9"/>
      <c r="D385" s="9"/>
      <c r="E385" s="9"/>
      <c r="F385" s="9"/>
      <c r="G385" s="9"/>
      <c r="H385" s="9"/>
    </row>
    <row r="386" spans="1:8" x14ac:dyDescent="0.3">
      <c r="A386" s="9"/>
      <c r="B386" s="9"/>
      <c r="C386" s="9"/>
      <c r="D386" s="9"/>
      <c r="E386" s="9"/>
      <c r="F386" s="9"/>
      <c r="G386" s="9"/>
      <c r="H386" s="9"/>
    </row>
    <row r="387" spans="1:8" x14ac:dyDescent="0.3">
      <c r="A387" s="9"/>
      <c r="B387" s="9"/>
      <c r="C387" s="9"/>
      <c r="D387" s="9"/>
      <c r="E387" s="9"/>
      <c r="F387" s="9"/>
      <c r="G387" s="9"/>
      <c r="H387" s="9"/>
    </row>
    <row r="388" spans="1:8" x14ac:dyDescent="0.3">
      <c r="A388" s="9"/>
      <c r="B388" s="9"/>
      <c r="C388" s="9"/>
      <c r="D388" s="9"/>
      <c r="E388" s="9"/>
      <c r="F388" s="9"/>
      <c r="G388" s="9"/>
      <c r="H388" s="9"/>
    </row>
    <row r="389" spans="1:8" x14ac:dyDescent="0.3">
      <c r="A389" s="9"/>
      <c r="B389" s="9"/>
      <c r="C389" s="9"/>
      <c r="D389" s="9"/>
      <c r="E389" s="9"/>
      <c r="F389" s="9"/>
      <c r="G389" s="9"/>
      <c r="H389" s="9"/>
    </row>
    <row r="390" spans="1:8" x14ac:dyDescent="0.3">
      <c r="A390" s="9"/>
      <c r="B390" s="9"/>
      <c r="C390" s="9"/>
      <c r="D390" s="9"/>
      <c r="E390" s="9"/>
      <c r="F390" s="9"/>
      <c r="G390" s="9"/>
      <c r="H390" s="9"/>
    </row>
    <row r="391" spans="1:8" x14ac:dyDescent="0.3">
      <c r="A391" s="9"/>
      <c r="B391" s="9"/>
      <c r="C391" s="9"/>
      <c r="D391" s="9"/>
      <c r="E391" s="9"/>
      <c r="F391" s="9"/>
      <c r="G391" s="9"/>
      <c r="H391" s="9"/>
    </row>
    <row r="392" spans="1:8" x14ac:dyDescent="0.3">
      <c r="A392" s="9"/>
      <c r="B392" s="9"/>
      <c r="C392" s="9"/>
      <c r="D392" s="9"/>
      <c r="E392" s="9"/>
      <c r="F392" s="9"/>
      <c r="G392" s="9"/>
      <c r="H392" s="9"/>
    </row>
    <row r="393" spans="1:8" x14ac:dyDescent="0.3">
      <c r="A393" s="9"/>
      <c r="B393" s="9"/>
      <c r="C393" s="9"/>
      <c r="D393" s="9"/>
      <c r="E393" s="9"/>
      <c r="F393" s="9"/>
      <c r="G393" s="9"/>
      <c r="H393" s="9"/>
    </row>
    <row r="394" spans="1:8" x14ac:dyDescent="0.3">
      <c r="A394" s="9"/>
      <c r="B394" s="9"/>
      <c r="C394" s="9"/>
      <c r="D394" s="9"/>
      <c r="E394" s="9"/>
      <c r="F394" s="9"/>
      <c r="G394" s="9"/>
      <c r="H394" s="9"/>
    </row>
    <row r="395" spans="1:8" x14ac:dyDescent="0.3">
      <c r="A395" s="9"/>
      <c r="B395" s="9"/>
      <c r="C395" s="9"/>
      <c r="D395" s="9"/>
      <c r="E395" s="9"/>
      <c r="F395" s="9"/>
      <c r="G395" s="9"/>
      <c r="H395" s="9"/>
    </row>
    <row r="396" spans="1:8" x14ac:dyDescent="0.3">
      <c r="A396" s="9"/>
      <c r="B396" s="9"/>
      <c r="C396" s="9"/>
      <c r="D396" s="9"/>
      <c r="E396" s="9"/>
      <c r="F396" s="9"/>
      <c r="G396" s="9"/>
      <c r="H396" s="9"/>
    </row>
    <row r="397" spans="1:8" x14ac:dyDescent="0.3">
      <c r="A397" s="9"/>
      <c r="B397" s="9"/>
      <c r="C397" s="9"/>
      <c r="D397" s="9"/>
      <c r="E397" s="9"/>
      <c r="F397" s="9"/>
      <c r="G397" s="9"/>
      <c r="H397" s="9"/>
    </row>
    <row r="398" spans="1:8" x14ac:dyDescent="0.3">
      <c r="A398" s="9"/>
      <c r="B398" s="9"/>
      <c r="C398" s="9"/>
      <c r="D398" s="9"/>
      <c r="E398" s="9"/>
      <c r="F398" s="9"/>
      <c r="G398" s="9"/>
      <c r="H398" s="9"/>
    </row>
    <row r="399" spans="1:8" x14ac:dyDescent="0.3">
      <c r="A399" s="9"/>
      <c r="B399" s="9"/>
      <c r="C399" s="9"/>
      <c r="D399" s="9"/>
      <c r="E399" s="9"/>
      <c r="F399" s="9"/>
      <c r="G399" s="9"/>
      <c r="H399" s="9"/>
    </row>
    <row r="400" spans="1:8" x14ac:dyDescent="0.3">
      <c r="A400" s="9"/>
      <c r="B400" s="9"/>
      <c r="C400" s="9"/>
      <c r="D400" s="9"/>
      <c r="E400" s="9"/>
      <c r="F400" s="9"/>
      <c r="G400" s="9"/>
      <c r="H400" s="9"/>
    </row>
    <row r="401" spans="1:8" x14ac:dyDescent="0.3">
      <c r="A401" s="9"/>
      <c r="B401" s="9"/>
      <c r="C401" s="9"/>
      <c r="D401" s="9"/>
      <c r="E401" s="9"/>
      <c r="F401" s="9"/>
      <c r="G401" s="9"/>
      <c r="H401" s="9"/>
    </row>
    <row r="402" spans="1:8" x14ac:dyDescent="0.3">
      <c r="A402" s="9"/>
      <c r="B402" s="9"/>
      <c r="C402" s="9"/>
      <c r="D402" s="9"/>
      <c r="E402" s="9"/>
      <c r="F402" s="9"/>
      <c r="G402" s="9"/>
      <c r="H402" s="9"/>
    </row>
    <row r="403" spans="1:8" x14ac:dyDescent="0.3">
      <c r="A403" s="9"/>
      <c r="B403" s="9"/>
      <c r="C403" s="9"/>
      <c r="D403" s="9"/>
      <c r="E403" s="9"/>
      <c r="F403" s="9"/>
      <c r="G403" s="9"/>
      <c r="H403" s="9"/>
    </row>
    <row r="404" spans="1:8" x14ac:dyDescent="0.3">
      <c r="A404" s="9"/>
      <c r="B404" s="9"/>
      <c r="C404" s="9"/>
      <c r="D404" s="9"/>
      <c r="E404" s="9"/>
      <c r="F404" s="9"/>
      <c r="G404" s="9"/>
      <c r="H404" s="9"/>
    </row>
    <row r="405" spans="1:8" x14ac:dyDescent="0.3">
      <c r="A405" s="9"/>
      <c r="B405" s="9"/>
      <c r="C405" s="9"/>
      <c r="D405" s="9"/>
      <c r="E405" s="9"/>
      <c r="F405" s="9"/>
      <c r="G405" s="9"/>
      <c r="H405" s="9"/>
    </row>
    <row r="406" spans="1:8" x14ac:dyDescent="0.3">
      <c r="A406" s="9"/>
      <c r="B406" s="9"/>
      <c r="C406" s="9"/>
      <c r="D406" s="9"/>
      <c r="E406" s="9"/>
      <c r="F406" s="9"/>
      <c r="G406" s="9"/>
      <c r="H406" s="9"/>
    </row>
    <row r="407" spans="1:8" x14ac:dyDescent="0.3">
      <c r="A407" s="9"/>
      <c r="B407" s="9"/>
      <c r="C407" s="9"/>
      <c r="D407" s="9"/>
      <c r="E407" s="9"/>
      <c r="F407" s="9"/>
      <c r="G407" s="9"/>
      <c r="H407" s="9"/>
    </row>
    <row r="408" spans="1:8" x14ac:dyDescent="0.3">
      <c r="A408" s="9"/>
      <c r="B408" s="9"/>
      <c r="C408" s="9"/>
      <c r="D408" s="9"/>
      <c r="E408" s="9"/>
      <c r="F408" s="9"/>
      <c r="G408" s="9"/>
      <c r="H408" s="9"/>
    </row>
    <row r="409" spans="1:8" x14ac:dyDescent="0.3">
      <c r="A409" s="9"/>
      <c r="B409" s="9"/>
      <c r="C409" s="9"/>
      <c r="D409" s="9"/>
      <c r="E409" s="9"/>
      <c r="F409" s="9"/>
      <c r="G409" s="9"/>
      <c r="H409" s="9"/>
    </row>
    <row r="410" spans="1:8" x14ac:dyDescent="0.3">
      <c r="A410" s="9"/>
      <c r="B410" s="9"/>
      <c r="C410" s="9"/>
      <c r="D410" s="9"/>
      <c r="E410" s="9"/>
      <c r="F410" s="9"/>
      <c r="G410" s="9"/>
      <c r="H410" s="9"/>
    </row>
    <row r="411" spans="1:8" x14ac:dyDescent="0.3">
      <c r="A411" s="9"/>
      <c r="B411" s="9"/>
      <c r="C411" s="9"/>
      <c r="D411" s="9"/>
      <c r="E411" s="9"/>
      <c r="F411" s="9"/>
      <c r="G411" s="9"/>
      <c r="H411" s="9"/>
    </row>
    <row r="412" spans="1:8" x14ac:dyDescent="0.3">
      <c r="A412" s="9"/>
      <c r="B412" s="9"/>
      <c r="C412" s="9"/>
      <c r="D412" s="9"/>
      <c r="E412" s="9"/>
      <c r="F412" s="9"/>
      <c r="G412" s="9"/>
      <c r="H412" s="9"/>
    </row>
  </sheetData>
  <mergeCells count="8">
    <mergeCell ref="A1:H1"/>
    <mergeCell ref="A3:B3"/>
    <mergeCell ref="C3:C4"/>
    <mergeCell ref="D3:D4"/>
    <mergeCell ref="E3:E4"/>
    <mergeCell ref="F3:F4"/>
    <mergeCell ref="G3:G4"/>
    <mergeCell ref="H3:H4"/>
  </mergeCells>
  <phoneticPr fontId="5" type="noConversion"/>
  <pageMargins left="0.7" right="0.7" top="0.75" bottom="0.75" header="0.3" footer="0.3"/>
  <pageSetup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DAA5C-52EA-4567-945D-E9E20857847D}">
  <dimension ref="A1:K412"/>
  <sheetViews>
    <sheetView tabSelected="1" zoomScale="70" zoomScaleNormal="70" workbookViewId="0">
      <pane ySplit="4" topLeftCell="A26" activePane="bottomLeft" state="frozen"/>
      <selection pane="bottomLeft" activeCell="F44" sqref="F44"/>
    </sheetView>
  </sheetViews>
  <sheetFormatPr defaultRowHeight="20.25" x14ac:dyDescent="0.3"/>
  <cols>
    <col min="1" max="2" width="20.7109375" style="1" customWidth="1"/>
    <col min="3" max="3" width="15.7109375" style="1" customWidth="1"/>
    <col min="4" max="4" width="80.7109375" style="1" customWidth="1"/>
    <col min="5" max="5" width="35.140625" style="1" customWidth="1"/>
    <col min="6" max="6" width="54" style="1" customWidth="1"/>
    <col min="7" max="7" width="80.7109375" style="1" customWidth="1"/>
    <col min="8" max="8" width="45.7109375" style="1" customWidth="1"/>
    <col min="9" max="9" width="21" style="1" customWidth="1"/>
    <col min="10" max="16384" width="9.140625" style="1"/>
  </cols>
  <sheetData>
    <row r="1" spans="1:9" ht="30" x14ac:dyDescent="0.4">
      <c r="A1" s="109" t="s">
        <v>113</v>
      </c>
      <c r="B1" s="109"/>
      <c r="C1" s="109"/>
      <c r="D1" s="109"/>
      <c r="E1" s="109"/>
      <c r="F1" s="109"/>
      <c r="G1" s="109"/>
      <c r="H1" s="109"/>
    </row>
    <row r="3" spans="1:9" x14ac:dyDescent="0.3">
      <c r="A3" s="110" t="s">
        <v>1</v>
      </c>
      <c r="B3" s="110"/>
      <c r="C3" s="110" t="s">
        <v>4</v>
      </c>
      <c r="D3" s="110" t="s">
        <v>139</v>
      </c>
      <c r="E3" s="116" t="s">
        <v>140</v>
      </c>
      <c r="F3" s="110" t="s">
        <v>141</v>
      </c>
      <c r="G3" s="110" t="s">
        <v>7</v>
      </c>
      <c r="H3" s="110" t="s">
        <v>11</v>
      </c>
      <c r="I3" s="110" t="s">
        <v>706</v>
      </c>
    </row>
    <row r="4" spans="1:9" x14ac:dyDescent="0.3">
      <c r="A4" s="4" t="s">
        <v>2</v>
      </c>
      <c r="B4" s="4" t="s">
        <v>3</v>
      </c>
      <c r="C4" s="110"/>
      <c r="D4" s="110"/>
      <c r="E4" s="116"/>
      <c r="F4" s="110"/>
      <c r="G4" s="110"/>
      <c r="H4" s="110"/>
      <c r="I4" s="110"/>
    </row>
    <row r="5" spans="1:9" ht="30" customHeight="1" x14ac:dyDescent="0.3">
      <c r="A5" s="7" t="s">
        <v>102</v>
      </c>
      <c r="B5" s="8"/>
      <c r="C5" s="8"/>
      <c r="D5" s="31" t="s">
        <v>142</v>
      </c>
      <c r="E5" s="7" t="s">
        <v>143</v>
      </c>
      <c r="F5" s="8"/>
      <c r="G5" s="23"/>
      <c r="H5" s="9"/>
      <c r="I5" s="9"/>
    </row>
    <row r="6" spans="1:9" ht="30" customHeight="1" x14ac:dyDescent="0.3">
      <c r="A6" s="7"/>
      <c r="B6" s="8"/>
      <c r="C6" s="8"/>
      <c r="D6" s="6"/>
      <c r="E6" s="7"/>
      <c r="F6" s="23"/>
      <c r="G6" s="23"/>
      <c r="H6" s="9"/>
      <c r="I6" s="9"/>
    </row>
    <row r="7" spans="1:9" ht="30" customHeight="1" x14ac:dyDescent="0.3">
      <c r="A7" s="8" t="s">
        <v>239</v>
      </c>
      <c r="B7" s="8"/>
      <c r="C7" s="8"/>
      <c r="D7" s="6" t="s">
        <v>257</v>
      </c>
      <c r="E7" s="32" t="s">
        <v>258</v>
      </c>
      <c r="F7" s="23"/>
      <c r="G7" s="23"/>
      <c r="H7" s="9"/>
      <c r="I7" s="9"/>
    </row>
    <row r="8" spans="1:9" ht="30" customHeight="1" x14ac:dyDescent="0.3">
      <c r="A8" s="8" t="s">
        <v>263</v>
      </c>
      <c r="B8" s="8"/>
      <c r="C8" s="8"/>
      <c r="D8" s="6" t="s">
        <v>307</v>
      </c>
      <c r="E8" s="32" t="s">
        <v>311</v>
      </c>
      <c r="F8" s="23"/>
      <c r="G8" s="23" t="s">
        <v>312</v>
      </c>
      <c r="H8" s="9"/>
      <c r="I8" s="9"/>
    </row>
    <row r="9" spans="1:9" ht="30" customHeight="1" x14ac:dyDescent="0.3">
      <c r="A9" s="7"/>
      <c r="B9" s="8"/>
      <c r="C9" s="8"/>
      <c r="D9" s="6" t="s">
        <v>308</v>
      </c>
      <c r="E9" s="32" t="s">
        <v>311</v>
      </c>
      <c r="F9" s="23"/>
      <c r="G9" s="23" t="s">
        <v>312</v>
      </c>
      <c r="H9" s="9"/>
      <c r="I9" s="9"/>
    </row>
    <row r="10" spans="1:9" s="26" customFormat="1" ht="30" customHeight="1" x14ac:dyDescent="0.3">
      <c r="A10" s="14"/>
      <c r="B10" s="15"/>
      <c r="C10" s="8"/>
      <c r="D10" s="49" t="s">
        <v>309</v>
      </c>
      <c r="E10" s="32" t="s">
        <v>311</v>
      </c>
      <c r="F10" s="24"/>
      <c r="G10" s="23" t="s">
        <v>312</v>
      </c>
      <c r="H10" s="20"/>
      <c r="I10" s="20"/>
    </row>
    <row r="11" spans="1:9" ht="30" customHeight="1" x14ac:dyDescent="0.3">
      <c r="A11" s="8"/>
      <c r="B11" s="8"/>
      <c r="C11" s="8"/>
      <c r="D11" s="31" t="s">
        <v>310</v>
      </c>
      <c r="E11" s="32" t="s">
        <v>311</v>
      </c>
      <c r="F11" s="23"/>
      <c r="G11" s="23" t="s">
        <v>312</v>
      </c>
      <c r="H11" s="9"/>
      <c r="I11" s="9"/>
    </row>
    <row r="12" spans="1:9" ht="30" customHeight="1" x14ac:dyDescent="0.3">
      <c r="A12" s="8"/>
      <c r="B12" s="8"/>
      <c r="C12" s="8"/>
      <c r="D12" s="6"/>
      <c r="E12" s="7"/>
      <c r="F12" s="23"/>
      <c r="G12" s="23"/>
      <c r="H12" s="9"/>
      <c r="I12" s="9"/>
    </row>
    <row r="13" spans="1:9" ht="30" customHeight="1" x14ac:dyDescent="0.3">
      <c r="A13" s="8" t="s">
        <v>263</v>
      </c>
      <c r="B13" s="8"/>
      <c r="C13" s="8"/>
      <c r="D13" s="31" t="s">
        <v>334</v>
      </c>
      <c r="E13" s="7" t="s">
        <v>407</v>
      </c>
      <c r="F13" s="23" t="s">
        <v>335</v>
      </c>
      <c r="G13" s="23" t="s">
        <v>336</v>
      </c>
      <c r="H13" s="9"/>
      <c r="I13" s="9"/>
    </row>
    <row r="14" spans="1:9" ht="30" customHeight="1" x14ac:dyDescent="0.3">
      <c r="A14" s="8" t="s">
        <v>390</v>
      </c>
      <c r="B14" s="8"/>
      <c r="C14" s="8"/>
      <c r="D14" s="6" t="s">
        <v>449</v>
      </c>
      <c r="E14" s="7" t="s">
        <v>450</v>
      </c>
      <c r="F14" s="23"/>
      <c r="G14" s="23" t="s">
        <v>451</v>
      </c>
      <c r="H14" s="9"/>
      <c r="I14" s="9"/>
    </row>
    <row r="15" spans="1:9" ht="30" customHeight="1" x14ac:dyDescent="0.3">
      <c r="A15" s="8"/>
      <c r="B15" s="8"/>
      <c r="C15" s="8"/>
      <c r="D15" s="6" t="s">
        <v>452</v>
      </c>
      <c r="E15" s="7"/>
      <c r="F15" s="23"/>
      <c r="G15" s="23"/>
      <c r="H15" s="9"/>
      <c r="I15" s="9"/>
    </row>
    <row r="16" spans="1:9" ht="30" customHeight="1" x14ac:dyDescent="0.3">
      <c r="A16" s="8"/>
      <c r="B16" s="8"/>
      <c r="C16" s="8"/>
      <c r="D16" s="6" t="s">
        <v>453</v>
      </c>
      <c r="E16" s="6" t="s">
        <v>454</v>
      </c>
      <c r="F16" s="23"/>
      <c r="G16" s="23"/>
      <c r="H16" s="9"/>
      <c r="I16" s="9"/>
    </row>
    <row r="17" spans="1:11" ht="30" customHeight="1" x14ac:dyDescent="0.3">
      <c r="A17" s="8"/>
      <c r="B17" s="8"/>
      <c r="C17" s="8"/>
      <c r="D17" s="6"/>
      <c r="E17" s="7"/>
      <c r="F17" s="23"/>
      <c r="G17" s="23"/>
      <c r="H17" s="9"/>
      <c r="I17" s="9"/>
    </row>
    <row r="18" spans="1:11" ht="30" customHeight="1" x14ac:dyDescent="0.3">
      <c r="A18" s="8" t="s">
        <v>639</v>
      </c>
      <c r="B18" s="8"/>
      <c r="C18" s="8"/>
      <c r="D18" s="6" t="s">
        <v>660</v>
      </c>
      <c r="E18" s="7" t="s">
        <v>661</v>
      </c>
      <c r="F18" s="23" t="s">
        <v>401</v>
      </c>
      <c r="G18" s="23" t="s">
        <v>662</v>
      </c>
      <c r="H18" s="9" t="s">
        <v>407</v>
      </c>
      <c r="I18" s="9"/>
    </row>
    <row r="19" spans="1:11" ht="30" customHeight="1" x14ac:dyDescent="0.3">
      <c r="A19" s="8" t="s">
        <v>1006</v>
      </c>
      <c r="B19" s="8"/>
      <c r="C19" s="8"/>
      <c r="D19" s="31" t="s">
        <v>1039</v>
      </c>
      <c r="E19" s="32" t="s">
        <v>1040</v>
      </c>
      <c r="F19" s="23"/>
      <c r="G19" s="23"/>
      <c r="H19" s="9"/>
      <c r="I19" s="54" t="str">
        <f>HYPERLINK("https://drive.google.com/file/d/1QccR48k_twh3ntx6gA0c5jnHkqyxL3Sn/view?usp=sharing", "LORRAINE")</f>
        <v>LORRAINE</v>
      </c>
    </row>
    <row r="20" spans="1:11" ht="30" customHeight="1" x14ac:dyDescent="0.3">
      <c r="A20" s="8"/>
      <c r="B20" s="8"/>
      <c r="C20" s="8"/>
      <c r="D20" s="6"/>
      <c r="E20" s="7"/>
      <c r="F20" s="23"/>
      <c r="G20" s="23"/>
      <c r="H20" s="9"/>
      <c r="I20" s="54" t="str">
        <f>HYPERLINK("https://drive.google.com/file/d/1HPNxWh3IuTHc6ZV_tjE8en9Y16-WEHRo/view?usp=sharing", "GOV")</f>
        <v>GOV</v>
      </c>
    </row>
    <row r="21" spans="1:11" ht="30" customHeight="1" x14ac:dyDescent="0.3">
      <c r="A21" s="7" t="s">
        <v>1818</v>
      </c>
      <c r="B21" s="8"/>
      <c r="C21" s="8"/>
      <c r="D21" s="31" t="s">
        <v>1833</v>
      </c>
      <c r="E21" s="32" t="s">
        <v>1834</v>
      </c>
      <c r="F21" s="23" t="s">
        <v>1835</v>
      </c>
      <c r="G21" s="23"/>
      <c r="H21" s="9"/>
      <c r="I21" s="54" t="str">
        <f>HYPERLINK("https://drive.google.com/file/d/1HPNxWh3IuTHc6ZV_tjE8en9Y16-WEHRo/view?usp=sharing,https://drive.google.com/file/d/1dT2nC3P8ue9wYeL1lQLICsRLHqhICFEo/view?usp=sharing", "CSM")</f>
        <v>CSM</v>
      </c>
      <c r="J21" s="58" t="str">
        <f>HYPERLINK("https://drive.google.com/file/d/1dT2nC3P8ue9wYeL1lQLICsRLHqhICFEo/view?usp=sharing", "CSM 2")</f>
        <v>CSM 2</v>
      </c>
      <c r="K21" s="58" t="str">
        <f>HYPERLINK("https://drive.google.com/file/d/1ZZdvvd-vCOLb34lJ-Q-pyckq7QDqyMJF/view?usp=sharing", "CSM 3")</f>
        <v>CSM 3</v>
      </c>
    </row>
    <row r="22" spans="1:11" ht="30" customHeight="1" x14ac:dyDescent="0.3">
      <c r="A22" s="8" t="s">
        <v>2062</v>
      </c>
      <c r="B22" s="8"/>
      <c r="C22" s="8"/>
      <c r="D22" s="31" t="s">
        <v>2099</v>
      </c>
      <c r="E22" s="7"/>
      <c r="F22" s="23" t="s">
        <v>2066</v>
      </c>
      <c r="G22" s="23"/>
      <c r="H22" s="9"/>
      <c r="I22" s="54" t="str">
        <f>HYPERLINK("https://drive.google.com/file/d/1im5CDwJvUj6xyixNEJyKcXAJL84BMytQ/view?usp=sharing", "HR")</f>
        <v>HR</v>
      </c>
    </row>
    <row r="23" spans="1:11" ht="30" customHeight="1" x14ac:dyDescent="0.3">
      <c r="A23" s="8" t="s">
        <v>2104</v>
      </c>
      <c r="B23" s="8"/>
      <c r="C23" s="8"/>
      <c r="D23" s="6" t="s">
        <v>2114</v>
      </c>
      <c r="E23" s="7" t="s">
        <v>2115</v>
      </c>
      <c r="F23" s="23" t="s">
        <v>2116</v>
      </c>
      <c r="G23" s="23"/>
      <c r="H23" s="9"/>
      <c r="I23" s="54" t="str">
        <f>HYPERLINK("https://drive.google.com/file/d/1S_vLE0ZgnqF_Txb75x95yVCCYfIxGqme/view?usp=sharingg", "REYMAR TERCERO")</f>
        <v>REYMAR TERCERO</v>
      </c>
    </row>
    <row r="24" spans="1:11" ht="30" customHeight="1" x14ac:dyDescent="0.3">
      <c r="A24" s="8"/>
      <c r="B24" s="8"/>
      <c r="C24" s="8"/>
      <c r="D24" s="31" t="s">
        <v>2117</v>
      </c>
      <c r="E24" s="7" t="s">
        <v>143</v>
      </c>
      <c r="F24" s="23" t="s">
        <v>2066</v>
      </c>
      <c r="G24" s="23"/>
      <c r="H24" s="9"/>
      <c r="I24" s="54" t="str">
        <f>HYPERLINK("https://drive.google.com/file/d/1-phOcgzxHRR4DZxsmvjaCQCEIJRR2Wuk/view?usp=sharing", "MAAM SHINE REYES")</f>
        <v>MAAM SHINE REYES</v>
      </c>
    </row>
    <row r="25" spans="1:11" ht="30" customHeight="1" x14ac:dyDescent="0.3">
      <c r="A25" s="8" t="s">
        <v>2148</v>
      </c>
      <c r="B25" s="8"/>
      <c r="C25" s="8"/>
      <c r="D25" s="31" t="s">
        <v>2147</v>
      </c>
      <c r="E25" s="7" t="s">
        <v>143</v>
      </c>
      <c r="F25" s="23" t="s">
        <v>2066</v>
      </c>
      <c r="G25" s="23"/>
      <c r="H25" s="9"/>
      <c r="I25" s="54" t="str">
        <f>HYPERLINK("https://drive.google.com/file/d/1sDuk-zhWw_XFyk5CwrrQcjT-TcTRhmor/view?usp=sharing", "MANDATORY LEAVE")</f>
        <v>MANDATORY LEAVE</v>
      </c>
    </row>
    <row r="26" spans="1:11" ht="30" customHeight="1" x14ac:dyDescent="0.3">
      <c r="A26" s="8"/>
      <c r="B26" s="8"/>
      <c r="C26" s="8"/>
      <c r="D26" s="31" t="s">
        <v>2149</v>
      </c>
      <c r="E26" s="7" t="s">
        <v>143</v>
      </c>
      <c r="F26" s="23" t="s">
        <v>2066</v>
      </c>
      <c r="G26" s="23"/>
      <c r="H26" s="9"/>
      <c r="I26" s="54" t="str">
        <f>HYPERLINK("https://drive.google.com/file/d/1fb5ATXvu1sxNqkLuhO-WOJpW3uv6neGe/view?usp=sharing", "SALN")</f>
        <v>SALN</v>
      </c>
    </row>
    <row r="27" spans="1:11" ht="30" customHeight="1" x14ac:dyDescent="0.3">
      <c r="A27" s="8"/>
      <c r="B27" s="8"/>
      <c r="C27" s="8"/>
      <c r="D27" s="31" t="s">
        <v>2209</v>
      </c>
      <c r="E27" s="7" t="s">
        <v>143</v>
      </c>
      <c r="F27" s="23" t="s">
        <v>401</v>
      </c>
      <c r="G27" s="23"/>
      <c r="H27" s="9"/>
      <c r="I27" s="54" t="str">
        <f>HYPERLINK("https://drive.google.com/file/d/1OFq4pt_zB975_Gj-QW23xupbOIWSn9xu/view?usp=sharing", "RHETT ANGARA")</f>
        <v>RHETT ANGARA</v>
      </c>
    </row>
    <row r="28" spans="1:11" ht="30" customHeight="1" x14ac:dyDescent="0.3">
      <c r="A28" s="7" t="s">
        <v>2081</v>
      </c>
      <c r="B28" s="8"/>
      <c r="C28" s="8"/>
      <c r="D28" s="31" t="s">
        <v>2227</v>
      </c>
      <c r="E28" s="7" t="s">
        <v>143</v>
      </c>
      <c r="F28" s="23" t="s">
        <v>2066</v>
      </c>
      <c r="G28" s="23"/>
      <c r="H28" s="9"/>
      <c r="I28" s="54" t="str">
        <f>HYPERLINK("https://drive.google.com/file/d/1T13Q_HzcMeliKAIUZHaVsdSuTi6f1xxX/view?usp=sharing", "AGRI TOURISM DEVELOPMENT PROJECT (CA JOCELYN)")</f>
        <v>AGRI TOURISM DEVELOPMENT PROJECT (CA JOCELYN)</v>
      </c>
    </row>
    <row r="29" spans="1:11" ht="30" customHeight="1" x14ac:dyDescent="0.3">
      <c r="A29" s="8"/>
      <c r="B29" s="8"/>
      <c r="C29" s="8"/>
      <c r="D29" s="31" t="s">
        <v>2228</v>
      </c>
      <c r="E29" s="7" t="s">
        <v>143</v>
      </c>
      <c r="F29" s="23" t="s">
        <v>2066</v>
      </c>
      <c r="G29" s="21"/>
      <c r="H29" s="9"/>
      <c r="I29" s="54" t="str">
        <f>HYPERLINK("https://drive.google.com/file/d/1a5VGOJzVrY9GyuyOy18bpvNL91kajjSX/view?usp=sharing", "TRAVEL ORDER MANUEL AMATORIO")</f>
        <v>TRAVEL ORDER MANUEL AMATORIO</v>
      </c>
    </row>
    <row r="30" spans="1:11" ht="30" customHeight="1" x14ac:dyDescent="0.3">
      <c r="A30" s="8" t="s">
        <v>2506</v>
      </c>
      <c r="B30" s="8"/>
      <c r="C30" s="8"/>
      <c r="D30" s="31" t="s">
        <v>2507</v>
      </c>
      <c r="E30" s="7" t="s">
        <v>143</v>
      </c>
      <c r="F30" s="21"/>
      <c r="G30" s="21"/>
      <c r="H30" s="9"/>
      <c r="I30" s="54" t="str">
        <f>HYPERLINK("https://drive.google.com/file/d/1A43GeiXElXi0ahxq-SAco96ynyzI_MNN/view?usp=sharing", "BIR")</f>
        <v>BIR</v>
      </c>
    </row>
    <row r="31" spans="1:11" ht="30" customHeight="1" x14ac:dyDescent="0.3">
      <c r="A31" s="8" t="s">
        <v>2398</v>
      </c>
      <c r="B31" s="8"/>
      <c r="C31" s="8"/>
      <c r="D31" s="31" t="s">
        <v>2556</v>
      </c>
      <c r="E31" s="7" t="s">
        <v>143</v>
      </c>
      <c r="F31" s="21"/>
      <c r="G31" s="21"/>
      <c r="H31" s="9"/>
      <c r="I31" s="9"/>
    </row>
    <row r="32" spans="1:11" ht="30" customHeight="1" x14ac:dyDescent="0.3">
      <c r="A32" s="8" t="s">
        <v>2533</v>
      </c>
      <c r="B32" s="8"/>
      <c r="C32" s="8"/>
      <c r="D32" s="31" t="s">
        <v>2672</v>
      </c>
      <c r="E32" s="7" t="s">
        <v>143</v>
      </c>
      <c r="F32" s="25"/>
      <c r="G32" s="25"/>
      <c r="H32" s="9"/>
      <c r="I32" s="9"/>
    </row>
    <row r="33" spans="1:9" ht="30" customHeight="1" x14ac:dyDescent="0.3">
      <c r="A33" s="8"/>
      <c r="B33" s="8"/>
      <c r="C33" s="8"/>
      <c r="D33" s="6" t="s">
        <v>2677</v>
      </c>
      <c r="E33" s="7" t="s">
        <v>143</v>
      </c>
      <c r="F33" s="21"/>
      <c r="G33" s="21"/>
      <c r="H33" s="9"/>
      <c r="I33" s="9"/>
    </row>
    <row r="34" spans="1:9" ht="30" customHeight="1" x14ac:dyDescent="0.3">
      <c r="A34" s="8"/>
      <c r="B34" s="8"/>
      <c r="C34" s="8"/>
      <c r="D34" s="31" t="s">
        <v>2680</v>
      </c>
      <c r="E34" s="7" t="s">
        <v>143</v>
      </c>
      <c r="F34" s="21"/>
      <c r="G34" s="21"/>
      <c r="H34" s="9"/>
      <c r="I34" s="9"/>
    </row>
    <row r="35" spans="1:9" ht="30" customHeight="1" x14ac:dyDescent="0.3">
      <c r="A35" s="8"/>
      <c r="B35" s="8"/>
      <c r="C35" s="8"/>
      <c r="D35" s="31" t="s">
        <v>2714</v>
      </c>
      <c r="E35" s="8" t="s">
        <v>868</v>
      </c>
      <c r="F35" s="21"/>
      <c r="G35" s="21"/>
      <c r="H35" s="9"/>
      <c r="I35" s="9"/>
    </row>
    <row r="36" spans="1:9" ht="30" customHeight="1" x14ac:dyDescent="0.3">
      <c r="A36" s="8" t="s">
        <v>2887</v>
      </c>
      <c r="B36" s="8"/>
      <c r="C36" s="8"/>
      <c r="D36" s="31" t="s">
        <v>2946</v>
      </c>
      <c r="E36" s="8" t="s">
        <v>1197</v>
      </c>
      <c r="F36" s="21"/>
      <c r="G36" s="21"/>
      <c r="H36" s="9"/>
      <c r="I36" s="9"/>
    </row>
    <row r="37" spans="1:9" ht="30" customHeight="1" x14ac:dyDescent="0.3">
      <c r="A37" s="8" t="s">
        <v>2874</v>
      </c>
      <c r="B37" s="8"/>
      <c r="C37" s="8"/>
      <c r="D37" s="31" t="s">
        <v>2998</v>
      </c>
      <c r="E37" s="8"/>
      <c r="F37" s="21"/>
      <c r="G37" s="21"/>
      <c r="H37" s="9"/>
      <c r="I37" s="9"/>
    </row>
    <row r="38" spans="1:9" ht="30" customHeight="1" x14ac:dyDescent="0.3">
      <c r="A38" s="8"/>
      <c r="B38" s="8"/>
      <c r="C38" s="8"/>
      <c r="D38" s="31" t="s">
        <v>2999</v>
      </c>
      <c r="E38" s="8"/>
      <c r="F38" s="21"/>
      <c r="G38" s="21"/>
      <c r="H38" s="9"/>
      <c r="I38" s="9"/>
    </row>
    <row r="39" spans="1:9" ht="30" customHeight="1" x14ac:dyDescent="0.3">
      <c r="A39" s="8"/>
      <c r="B39" s="8"/>
      <c r="C39" s="8"/>
      <c r="D39" s="31" t="s">
        <v>3033</v>
      </c>
      <c r="E39" s="8"/>
      <c r="F39" s="21" t="s">
        <v>401</v>
      </c>
      <c r="G39" s="21"/>
      <c r="H39" s="9"/>
      <c r="I39" s="9"/>
    </row>
    <row r="40" spans="1:9" ht="30" customHeight="1" x14ac:dyDescent="0.3">
      <c r="A40" s="8" t="s">
        <v>3781</v>
      </c>
      <c r="B40" s="8"/>
      <c r="C40" s="8"/>
      <c r="D40" s="31" t="s">
        <v>3782</v>
      </c>
      <c r="E40" s="8" t="s">
        <v>3783</v>
      </c>
      <c r="F40" s="21"/>
      <c r="G40" s="21"/>
      <c r="H40" s="9"/>
      <c r="I40" s="9"/>
    </row>
    <row r="41" spans="1:9" ht="30" customHeight="1" x14ac:dyDescent="0.3">
      <c r="A41" s="8"/>
      <c r="B41" s="8"/>
      <c r="C41" s="8"/>
      <c r="D41" s="6"/>
      <c r="E41" s="8"/>
      <c r="F41" s="21"/>
      <c r="G41" s="21"/>
      <c r="H41" s="9"/>
      <c r="I41" s="9"/>
    </row>
    <row r="42" spans="1:9" ht="30" customHeight="1" x14ac:dyDescent="0.3">
      <c r="A42" s="8"/>
      <c r="B42" s="8"/>
      <c r="C42" s="8"/>
      <c r="D42" s="6"/>
      <c r="E42" s="8"/>
      <c r="F42" s="21"/>
      <c r="G42" s="21"/>
      <c r="H42" s="9"/>
      <c r="I42" s="9"/>
    </row>
    <row r="43" spans="1:9" ht="30" customHeight="1" x14ac:dyDescent="0.3">
      <c r="A43" s="8"/>
      <c r="B43" s="8"/>
      <c r="C43" s="8"/>
      <c r="D43" s="6"/>
      <c r="E43" s="8"/>
      <c r="F43" s="21"/>
      <c r="G43" s="21"/>
      <c r="H43" s="9"/>
      <c r="I43" s="9"/>
    </row>
    <row r="44" spans="1:9" ht="30" customHeight="1" x14ac:dyDescent="0.3">
      <c r="A44" s="8"/>
      <c r="B44" s="8"/>
      <c r="C44" s="8"/>
      <c r="D44" s="6"/>
      <c r="E44" s="8"/>
      <c r="F44" s="21"/>
      <c r="G44" s="21"/>
      <c r="H44" s="9"/>
      <c r="I44" s="9"/>
    </row>
    <row r="45" spans="1:9" ht="30" customHeight="1" x14ac:dyDescent="0.3">
      <c r="A45" s="8"/>
      <c r="B45" s="8"/>
      <c r="C45" s="8"/>
      <c r="D45" s="6"/>
      <c r="E45" s="8"/>
      <c r="F45" s="21"/>
      <c r="G45" s="21"/>
      <c r="H45" s="9"/>
      <c r="I45" s="9"/>
    </row>
    <row r="46" spans="1:9" ht="30" customHeight="1" x14ac:dyDescent="0.3">
      <c r="A46" s="8"/>
      <c r="B46" s="8"/>
      <c r="C46" s="8"/>
      <c r="D46" s="6"/>
      <c r="E46" s="8"/>
      <c r="F46" s="21"/>
      <c r="G46" s="21"/>
      <c r="H46" s="9"/>
      <c r="I46" s="9"/>
    </row>
    <row r="47" spans="1:9" ht="30" customHeight="1" x14ac:dyDescent="0.3">
      <c r="A47" s="8"/>
      <c r="B47" s="8"/>
      <c r="C47" s="8"/>
      <c r="D47" s="6"/>
      <c r="E47" s="8"/>
      <c r="F47" s="21"/>
      <c r="G47" s="21"/>
      <c r="H47" s="9"/>
      <c r="I47" s="9"/>
    </row>
    <row r="48" spans="1:9" ht="30" customHeight="1" x14ac:dyDescent="0.3">
      <c r="A48" s="8"/>
      <c r="B48" s="8"/>
      <c r="C48" s="8"/>
      <c r="D48" s="6"/>
      <c r="E48" s="8"/>
      <c r="F48" s="21"/>
      <c r="G48" s="21"/>
      <c r="H48" s="9"/>
      <c r="I48" s="9"/>
    </row>
    <row r="49" spans="1:9" ht="30" customHeight="1" x14ac:dyDescent="0.3">
      <c r="A49" s="8"/>
      <c r="B49" s="8"/>
      <c r="C49" s="8"/>
      <c r="D49" s="6"/>
      <c r="E49" s="8"/>
      <c r="F49" s="21"/>
      <c r="G49" s="21"/>
      <c r="H49" s="9"/>
      <c r="I49" s="9"/>
    </row>
    <row r="50" spans="1:9" ht="30" customHeight="1" x14ac:dyDescent="0.3">
      <c r="A50" s="8"/>
      <c r="B50" s="8"/>
      <c r="C50" s="8"/>
      <c r="D50" s="6"/>
      <c r="E50" s="8"/>
      <c r="F50" s="21"/>
      <c r="G50" s="21"/>
      <c r="H50" s="9"/>
      <c r="I50" s="9"/>
    </row>
    <row r="51" spans="1:9" ht="30" customHeight="1" x14ac:dyDescent="0.3">
      <c r="A51" s="8"/>
      <c r="B51" s="8"/>
      <c r="C51" s="8"/>
      <c r="D51" s="6"/>
      <c r="E51" s="8"/>
      <c r="F51" s="21"/>
      <c r="G51" s="21"/>
      <c r="H51" s="9"/>
      <c r="I51" s="9"/>
    </row>
    <row r="52" spans="1:9" ht="30" customHeight="1" x14ac:dyDescent="0.3">
      <c r="A52" s="8"/>
      <c r="B52" s="8"/>
      <c r="C52" s="8"/>
      <c r="D52" s="6"/>
      <c r="E52" s="8"/>
      <c r="F52" s="21"/>
      <c r="G52" s="21"/>
      <c r="H52" s="9"/>
      <c r="I52" s="9"/>
    </row>
    <row r="53" spans="1:9" ht="30" customHeight="1" x14ac:dyDescent="0.3">
      <c r="A53" s="8"/>
      <c r="B53" s="8"/>
      <c r="C53" s="8"/>
      <c r="D53" s="6"/>
      <c r="E53" s="8"/>
      <c r="F53" s="21"/>
      <c r="G53" s="21"/>
      <c r="H53" s="9"/>
      <c r="I53" s="9"/>
    </row>
    <row r="54" spans="1:9" ht="30" customHeight="1" x14ac:dyDescent="0.3">
      <c r="A54" s="8"/>
      <c r="B54" s="8"/>
      <c r="C54" s="8"/>
      <c r="D54" s="6"/>
      <c r="E54" s="8"/>
      <c r="F54" s="21"/>
      <c r="G54" s="21"/>
      <c r="H54" s="9"/>
      <c r="I54" s="9"/>
    </row>
    <row r="55" spans="1:9" ht="30" customHeight="1" x14ac:dyDescent="0.3">
      <c r="A55" s="8"/>
      <c r="B55" s="8"/>
      <c r="C55" s="8"/>
      <c r="D55" s="6"/>
      <c r="E55" s="8"/>
      <c r="F55" s="21"/>
      <c r="G55" s="21"/>
      <c r="H55" s="9"/>
      <c r="I55" s="9"/>
    </row>
    <row r="56" spans="1:9" ht="30" customHeight="1" x14ac:dyDescent="0.3">
      <c r="A56" s="8"/>
      <c r="B56" s="8"/>
      <c r="C56" s="8"/>
      <c r="D56" s="6"/>
      <c r="E56" s="8"/>
      <c r="F56" s="21"/>
      <c r="G56" s="21"/>
      <c r="H56" s="9"/>
      <c r="I56" s="9"/>
    </row>
    <row r="57" spans="1:9" ht="30" customHeight="1" x14ac:dyDescent="0.3">
      <c r="A57" s="8"/>
      <c r="B57" s="8"/>
      <c r="C57" s="8"/>
      <c r="D57" s="6"/>
      <c r="E57" s="8"/>
      <c r="F57" s="21"/>
      <c r="G57" s="21"/>
      <c r="H57" s="9"/>
      <c r="I57" s="9"/>
    </row>
    <row r="58" spans="1:9" ht="30" customHeight="1" x14ac:dyDescent="0.3">
      <c r="A58" s="8"/>
      <c r="B58" s="8"/>
      <c r="C58" s="8"/>
      <c r="D58" s="6"/>
      <c r="E58" s="8"/>
      <c r="F58" s="21"/>
      <c r="G58" s="21"/>
      <c r="H58" s="9"/>
      <c r="I58" s="9"/>
    </row>
    <row r="59" spans="1:9" ht="30" customHeight="1" x14ac:dyDescent="0.3">
      <c r="A59" s="8"/>
      <c r="B59" s="8"/>
      <c r="C59" s="8"/>
      <c r="D59" s="6"/>
      <c r="E59" s="8"/>
      <c r="F59" s="21"/>
      <c r="G59" s="21"/>
      <c r="H59" s="9"/>
      <c r="I59" s="9"/>
    </row>
    <row r="60" spans="1:9" ht="30" customHeight="1" x14ac:dyDescent="0.3">
      <c r="A60" s="8"/>
      <c r="B60" s="8"/>
      <c r="C60" s="8"/>
      <c r="D60" s="6"/>
      <c r="E60" s="8"/>
      <c r="F60" s="21"/>
      <c r="G60" s="21"/>
      <c r="H60" s="9"/>
      <c r="I60" s="9"/>
    </row>
    <row r="61" spans="1:9" ht="30" customHeight="1" x14ac:dyDescent="0.3">
      <c r="A61" s="8"/>
      <c r="B61" s="8"/>
      <c r="C61" s="8"/>
      <c r="D61" s="6"/>
      <c r="E61" s="8"/>
      <c r="F61" s="21"/>
      <c r="G61" s="21"/>
      <c r="H61" s="9"/>
      <c r="I61" s="9"/>
    </row>
    <row r="62" spans="1:9" ht="30" customHeight="1" x14ac:dyDescent="0.3">
      <c r="A62" s="8"/>
      <c r="B62" s="8"/>
      <c r="C62" s="8"/>
      <c r="D62" s="6"/>
      <c r="E62" s="8"/>
      <c r="F62" s="25"/>
      <c r="G62" s="25"/>
      <c r="H62" s="9"/>
      <c r="I62" s="9"/>
    </row>
    <row r="63" spans="1:9" ht="30" customHeight="1" x14ac:dyDescent="0.3">
      <c r="A63" s="8"/>
      <c r="B63" s="8"/>
      <c r="C63" s="8"/>
      <c r="D63" s="6"/>
      <c r="E63" s="8"/>
      <c r="F63" s="25"/>
      <c r="G63" s="25"/>
      <c r="H63" s="9"/>
      <c r="I63" s="9"/>
    </row>
    <row r="64" spans="1:9" ht="30" customHeight="1" x14ac:dyDescent="0.3">
      <c r="A64" s="8"/>
      <c r="B64" s="8"/>
      <c r="C64" s="8"/>
      <c r="D64" s="6"/>
      <c r="E64" s="8"/>
      <c r="F64" s="21"/>
      <c r="G64" s="21"/>
      <c r="H64" s="9"/>
      <c r="I64" s="9"/>
    </row>
    <row r="65" spans="1:9" ht="30" customHeight="1" x14ac:dyDescent="0.3">
      <c r="A65" s="8"/>
      <c r="B65" s="8"/>
      <c r="C65" s="8"/>
      <c r="D65" s="6"/>
      <c r="E65" s="8"/>
      <c r="F65" s="21"/>
      <c r="G65" s="21"/>
      <c r="H65" s="9"/>
      <c r="I65" s="9"/>
    </row>
    <row r="66" spans="1:9" ht="30" customHeight="1" x14ac:dyDescent="0.3">
      <c r="A66" s="8"/>
      <c r="B66" s="8"/>
      <c r="C66" s="8"/>
      <c r="D66" s="6"/>
      <c r="E66" s="8"/>
      <c r="F66" s="21"/>
      <c r="G66" s="21"/>
      <c r="H66" s="9"/>
      <c r="I66" s="9"/>
    </row>
    <row r="67" spans="1:9" ht="30" customHeight="1" x14ac:dyDescent="0.3">
      <c r="A67" s="8"/>
      <c r="B67" s="8"/>
      <c r="C67" s="8"/>
      <c r="D67" s="6"/>
      <c r="E67" s="8"/>
      <c r="F67" s="21"/>
      <c r="G67" s="21"/>
      <c r="H67" s="9"/>
      <c r="I67" s="9"/>
    </row>
    <row r="68" spans="1:9" ht="30" customHeight="1" x14ac:dyDescent="0.3">
      <c r="A68" s="8"/>
      <c r="B68" s="8"/>
      <c r="C68" s="8"/>
      <c r="D68" s="6"/>
      <c r="E68" s="8"/>
      <c r="F68" s="21"/>
      <c r="G68" s="21"/>
      <c r="H68" s="9"/>
      <c r="I68" s="9"/>
    </row>
    <row r="69" spans="1:9" ht="30" customHeight="1" x14ac:dyDescent="0.3">
      <c r="A69" s="8"/>
      <c r="B69" s="8"/>
      <c r="C69" s="8"/>
      <c r="D69" s="6"/>
      <c r="E69" s="8"/>
      <c r="F69" s="21"/>
      <c r="G69" s="21"/>
      <c r="H69" s="9"/>
      <c r="I69" s="9"/>
    </row>
    <row r="70" spans="1:9" ht="30" customHeight="1" x14ac:dyDescent="0.3">
      <c r="A70" s="8"/>
      <c r="B70" s="8"/>
      <c r="C70" s="8"/>
      <c r="D70" s="6"/>
      <c r="E70" s="8"/>
      <c r="F70" s="21"/>
      <c r="G70" s="21"/>
      <c r="H70" s="9"/>
      <c r="I70" s="9"/>
    </row>
    <row r="71" spans="1:9" ht="30" customHeight="1" x14ac:dyDescent="0.3">
      <c r="A71" s="8"/>
      <c r="B71" s="8"/>
      <c r="C71" s="8"/>
      <c r="D71" s="6"/>
      <c r="E71" s="8"/>
      <c r="F71" s="21"/>
      <c r="G71" s="21"/>
      <c r="H71" s="9"/>
      <c r="I71" s="9"/>
    </row>
    <row r="72" spans="1:9" ht="30" customHeight="1" x14ac:dyDescent="0.3">
      <c r="A72" s="8"/>
      <c r="B72" s="8"/>
      <c r="C72" s="8"/>
      <c r="D72" s="6"/>
      <c r="E72" s="8"/>
      <c r="F72" s="21"/>
      <c r="G72" s="21"/>
      <c r="H72" s="9"/>
      <c r="I72" s="9"/>
    </row>
    <row r="73" spans="1:9" ht="30" customHeight="1" x14ac:dyDescent="0.3">
      <c r="A73" s="8"/>
      <c r="B73" s="8"/>
      <c r="C73" s="8"/>
      <c r="D73" s="6"/>
      <c r="E73" s="8"/>
      <c r="F73" s="25"/>
      <c r="G73" s="25"/>
      <c r="H73" s="9"/>
      <c r="I73" s="9"/>
    </row>
    <row r="74" spans="1:9" ht="30" customHeight="1" x14ac:dyDescent="0.3">
      <c r="A74" s="8"/>
      <c r="B74" s="8"/>
      <c r="C74" s="8"/>
      <c r="D74" s="6"/>
      <c r="E74" s="8"/>
      <c r="F74" s="21"/>
      <c r="G74" s="21"/>
      <c r="H74" s="9"/>
      <c r="I74" s="9"/>
    </row>
    <row r="75" spans="1:9" ht="30" customHeight="1" x14ac:dyDescent="0.3">
      <c r="A75" s="8"/>
      <c r="B75" s="8"/>
      <c r="C75" s="8"/>
      <c r="D75" s="6"/>
      <c r="E75" s="8"/>
      <c r="F75" s="25"/>
      <c r="G75" s="25"/>
      <c r="H75" s="9"/>
      <c r="I75" s="9"/>
    </row>
    <row r="76" spans="1:9" ht="30" customHeight="1" x14ac:dyDescent="0.3">
      <c r="A76" s="8"/>
      <c r="B76" s="8"/>
      <c r="C76" s="8"/>
      <c r="D76" s="6"/>
      <c r="E76" s="8"/>
      <c r="F76" s="21"/>
      <c r="G76" s="21"/>
      <c r="H76" s="9"/>
      <c r="I76" s="9"/>
    </row>
    <row r="77" spans="1:9" ht="30" customHeight="1" x14ac:dyDescent="0.3">
      <c r="A77" s="8"/>
      <c r="B77" s="8"/>
      <c r="C77" s="8"/>
      <c r="D77" s="6"/>
      <c r="E77" s="8"/>
      <c r="F77" s="21"/>
      <c r="G77" s="21"/>
      <c r="H77" s="9"/>
      <c r="I77" s="9"/>
    </row>
    <row r="78" spans="1:9" ht="30" customHeight="1" x14ac:dyDescent="0.3">
      <c r="A78" s="8"/>
      <c r="B78" s="8"/>
      <c r="C78" s="8"/>
      <c r="D78" s="6"/>
      <c r="E78" s="8"/>
      <c r="F78" s="21"/>
      <c r="G78" s="21"/>
      <c r="H78" s="9"/>
      <c r="I78" s="9"/>
    </row>
    <row r="79" spans="1:9" ht="30" customHeight="1" x14ac:dyDescent="0.3">
      <c r="A79" s="8"/>
      <c r="B79" s="8"/>
      <c r="C79" s="8"/>
      <c r="D79" s="6"/>
      <c r="E79" s="8"/>
      <c r="F79" s="21"/>
      <c r="G79" s="21"/>
      <c r="H79" s="9"/>
      <c r="I79" s="9"/>
    </row>
    <row r="80" spans="1:9" ht="30" customHeight="1" x14ac:dyDescent="0.3">
      <c r="A80" s="8"/>
      <c r="B80" s="8"/>
      <c r="C80" s="8"/>
      <c r="D80" s="6"/>
      <c r="E80" s="8"/>
      <c r="F80" s="21"/>
      <c r="G80" s="21"/>
      <c r="H80" s="9"/>
      <c r="I80" s="9"/>
    </row>
    <row r="81" spans="1:9" ht="30" customHeight="1" x14ac:dyDescent="0.3">
      <c r="A81" s="8"/>
      <c r="B81" s="8"/>
      <c r="C81" s="8"/>
      <c r="D81" s="6"/>
      <c r="E81" s="8"/>
      <c r="F81" s="21"/>
      <c r="G81" s="21"/>
      <c r="H81" s="9"/>
      <c r="I81" s="9"/>
    </row>
    <row r="82" spans="1:9" ht="30" customHeight="1" x14ac:dyDescent="0.3">
      <c r="A82" s="8"/>
      <c r="B82" s="8"/>
      <c r="C82" s="8"/>
      <c r="D82" s="6"/>
      <c r="E82" s="8"/>
      <c r="F82" s="21"/>
      <c r="G82" s="21"/>
      <c r="H82" s="9"/>
      <c r="I82" s="9"/>
    </row>
    <row r="83" spans="1:9" ht="30" customHeight="1" x14ac:dyDescent="0.3">
      <c r="A83" s="8"/>
      <c r="B83" s="8"/>
      <c r="C83" s="8"/>
      <c r="D83" s="6"/>
      <c r="E83" s="8"/>
      <c r="F83" s="21"/>
      <c r="G83" s="21"/>
      <c r="H83" s="9"/>
      <c r="I83" s="9"/>
    </row>
    <row r="84" spans="1:9" ht="30" customHeight="1" x14ac:dyDescent="0.3">
      <c r="A84" s="8"/>
      <c r="B84" s="8"/>
      <c r="C84" s="8"/>
      <c r="D84" s="6"/>
      <c r="E84" s="8"/>
      <c r="F84" s="21"/>
      <c r="G84" s="21"/>
      <c r="H84" s="9"/>
      <c r="I84" s="9"/>
    </row>
    <row r="85" spans="1:9" ht="30" customHeight="1" x14ac:dyDescent="0.3">
      <c r="A85" s="8"/>
      <c r="B85" s="8"/>
      <c r="C85" s="8"/>
      <c r="D85" s="6"/>
      <c r="E85" s="8"/>
      <c r="F85" s="21"/>
      <c r="G85" s="21"/>
      <c r="H85" s="9"/>
      <c r="I85" s="9"/>
    </row>
    <row r="86" spans="1:9" ht="30" customHeight="1" x14ac:dyDescent="0.3">
      <c r="A86" s="8"/>
      <c r="B86" s="8"/>
      <c r="C86" s="8"/>
      <c r="D86" s="6"/>
      <c r="E86" s="8"/>
      <c r="F86" s="21"/>
      <c r="G86" s="21"/>
      <c r="H86" s="9"/>
      <c r="I86" s="9"/>
    </row>
    <row r="87" spans="1:9" ht="30" customHeight="1" x14ac:dyDescent="0.3">
      <c r="A87" s="8"/>
      <c r="B87" s="8"/>
      <c r="C87" s="8"/>
      <c r="D87" s="6"/>
      <c r="E87" s="8"/>
      <c r="F87" s="21"/>
      <c r="G87" s="21"/>
      <c r="H87" s="9"/>
      <c r="I87" s="9"/>
    </row>
    <row r="88" spans="1:9" ht="30" customHeight="1" x14ac:dyDescent="0.3">
      <c r="A88" s="8"/>
      <c r="B88" s="8"/>
      <c r="C88" s="8"/>
      <c r="D88" s="6"/>
      <c r="E88" s="8"/>
      <c r="F88" s="21"/>
      <c r="G88" s="21"/>
      <c r="H88" s="9"/>
      <c r="I88" s="9"/>
    </row>
    <row r="89" spans="1:9" ht="30" customHeight="1" x14ac:dyDescent="0.3">
      <c r="A89" s="8"/>
      <c r="B89" s="8"/>
      <c r="C89" s="8"/>
      <c r="D89" s="6"/>
      <c r="E89" s="8"/>
      <c r="F89" s="21"/>
      <c r="G89" s="21"/>
      <c r="H89" s="9"/>
      <c r="I89" s="9"/>
    </row>
    <row r="90" spans="1:9" ht="30" customHeight="1" x14ac:dyDescent="0.3">
      <c r="A90" s="8"/>
      <c r="B90" s="8"/>
      <c r="C90" s="8"/>
      <c r="D90" s="6"/>
      <c r="E90" s="8"/>
      <c r="F90" s="21"/>
      <c r="G90" s="21"/>
      <c r="H90" s="9"/>
      <c r="I90" s="9"/>
    </row>
    <row r="91" spans="1:9" ht="30" customHeight="1" x14ac:dyDescent="0.3">
      <c r="A91" s="8"/>
      <c r="B91" s="8"/>
      <c r="C91" s="8"/>
      <c r="D91" s="6"/>
      <c r="E91" s="8"/>
      <c r="F91" s="21"/>
      <c r="G91" s="21"/>
      <c r="H91" s="9"/>
      <c r="I91" s="9"/>
    </row>
    <row r="92" spans="1:9" ht="30" customHeight="1" x14ac:dyDescent="0.3">
      <c r="A92" s="8"/>
      <c r="B92" s="8"/>
      <c r="C92" s="8"/>
      <c r="D92" s="6"/>
      <c r="E92" s="8"/>
      <c r="F92" s="21"/>
      <c r="G92" s="21"/>
      <c r="H92" s="9"/>
      <c r="I92" s="9"/>
    </row>
    <row r="93" spans="1:9" ht="30" customHeight="1" x14ac:dyDescent="0.3">
      <c r="A93" s="8"/>
      <c r="B93" s="8"/>
      <c r="C93" s="8"/>
      <c r="D93" s="6"/>
      <c r="E93" s="8"/>
      <c r="F93" s="21"/>
      <c r="G93" s="21"/>
      <c r="H93" s="9"/>
      <c r="I93" s="9"/>
    </row>
    <row r="94" spans="1:9" ht="30" customHeight="1" x14ac:dyDescent="0.3">
      <c r="A94" s="8"/>
      <c r="B94" s="8"/>
      <c r="C94" s="8"/>
      <c r="D94" s="6"/>
      <c r="E94" s="8"/>
      <c r="F94" s="21"/>
      <c r="G94" s="21"/>
      <c r="H94" s="9"/>
      <c r="I94" s="9"/>
    </row>
    <row r="95" spans="1:9" ht="30" customHeight="1" x14ac:dyDescent="0.3">
      <c r="A95" s="8"/>
      <c r="B95" s="8"/>
      <c r="C95" s="8"/>
      <c r="D95" s="6"/>
      <c r="E95" s="8"/>
      <c r="F95" s="21"/>
      <c r="G95" s="21"/>
      <c r="H95" s="9"/>
      <c r="I95" s="9"/>
    </row>
    <row r="96" spans="1:9" ht="30" customHeight="1" x14ac:dyDescent="0.3">
      <c r="A96" s="8"/>
      <c r="B96" s="8"/>
      <c r="C96" s="8"/>
      <c r="D96" s="6"/>
      <c r="E96" s="8"/>
      <c r="F96" s="21"/>
      <c r="G96" s="21"/>
      <c r="H96" s="9"/>
      <c r="I96" s="9"/>
    </row>
    <row r="97" spans="1:9" ht="30" customHeight="1" x14ac:dyDescent="0.3">
      <c r="A97" s="8"/>
      <c r="B97" s="8"/>
      <c r="C97" s="8"/>
      <c r="D97" s="6"/>
      <c r="E97" s="8"/>
      <c r="F97" s="21"/>
      <c r="G97" s="21"/>
      <c r="H97" s="9"/>
      <c r="I97" s="9"/>
    </row>
    <row r="98" spans="1:9" ht="30" customHeight="1" x14ac:dyDescent="0.3">
      <c r="A98" s="8"/>
      <c r="B98" s="8"/>
      <c r="C98" s="8"/>
      <c r="D98" s="6"/>
      <c r="E98" s="8"/>
      <c r="F98" s="21"/>
      <c r="G98" s="21"/>
      <c r="H98" s="9"/>
      <c r="I98" s="9"/>
    </row>
    <row r="99" spans="1:9" ht="30" customHeight="1" x14ac:dyDescent="0.3">
      <c r="A99" s="5"/>
      <c r="B99" s="3"/>
      <c r="C99" s="8"/>
      <c r="D99" s="6"/>
      <c r="E99" s="8"/>
      <c r="F99" s="21"/>
      <c r="G99" s="21"/>
      <c r="H99" s="9"/>
      <c r="I99" s="9"/>
    </row>
    <row r="100" spans="1:9" ht="30" customHeight="1" x14ac:dyDescent="0.3">
      <c r="A100" s="5"/>
      <c r="B100" s="3"/>
      <c r="C100" s="8"/>
      <c r="D100" s="6"/>
      <c r="E100" s="8"/>
      <c r="F100" s="21"/>
      <c r="G100" s="21"/>
      <c r="H100" s="9"/>
      <c r="I100" s="9"/>
    </row>
    <row r="101" spans="1:9" ht="30" customHeight="1" x14ac:dyDescent="0.3">
      <c r="A101" s="5"/>
      <c r="B101" s="3"/>
      <c r="C101" s="8"/>
      <c r="D101" s="6"/>
      <c r="E101" s="8"/>
      <c r="F101" s="21"/>
      <c r="G101" s="21"/>
      <c r="H101" s="9"/>
      <c r="I101" s="9"/>
    </row>
    <row r="102" spans="1:9" ht="30" customHeight="1" x14ac:dyDescent="0.3">
      <c r="A102" s="5"/>
      <c r="B102" s="3"/>
      <c r="C102" s="8"/>
      <c r="D102" s="6"/>
      <c r="E102" s="8"/>
      <c r="F102" s="21"/>
      <c r="G102" s="21"/>
      <c r="H102" s="9"/>
      <c r="I102" s="9"/>
    </row>
    <row r="103" spans="1:9" ht="30" customHeight="1" x14ac:dyDescent="0.3">
      <c r="A103" s="5"/>
      <c r="B103" s="3"/>
      <c r="C103" s="8"/>
      <c r="D103" s="6"/>
      <c r="E103" s="8"/>
      <c r="F103" s="21"/>
      <c r="G103" s="21"/>
      <c r="H103" s="9"/>
      <c r="I103" s="9"/>
    </row>
    <row r="104" spans="1:9" ht="30" customHeight="1" x14ac:dyDescent="0.3">
      <c r="A104" s="5"/>
      <c r="B104" s="3"/>
      <c r="C104" s="8"/>
      <c r="D104" s="6"/>
      <c r="E104" s="8"/>
      <c r="F104" s="21"/>
      <c r="G104" s="21"/>
      <c r="H104" s="9"/>
      <c r="I104" s="9"/>
    </row>
    <row r="105" spans="1:9" ht="30" customHeight="1" x14ac:dyDescent="0.3">
      <c r="A105" s="5"/>
      <c r="B105" s="3"/>
      <c r="C105" s="8"/>
      <c r="D105" s="6"/>
      <c r="E105" s="8"/>
      <c r="F105" s="21"/>
      <c r="G105" s="21"/>
      <c r="H105" s="9"/>
      <c r="I105" s="9"/>
    </row>
    <row r="106" spans="1:9" ht="30" customHeight="1" x14ac:dyDescent="0.3">
      <c r="A106" s="5"/>
      <c r="B106" s="3"/>
      <c r="C106" s="8"/>
      <c r="D106" s="6"/>
      <c r="E106" s="8"/>
      <c r="F106" s="21"/>
      <c r="G106" s="21"/>
      <c r="H106" s="9"/>
      <c r="I106" s="9"/>
    </row>
    <row r="107" spans="1:9" ht="30" customHeight="1" x14ac:dyDescent="0.3">
      <c r="A107" s="5"/>
      <c r="B107" s="3"/>
      <c r="C107" s="8"/>
      <c r="D107" s="6"/>
      <c r="E107" s="8"/>
      <c r="F107" s="21"/>
      <c r="G107" s="21"/>
      <c r="H107" s="9"/>
      <c r="I107" s="9"/>
    </row>
    <row r="108" spans="1:9" ht="30" customHeight="1" x14ac:dyDescent="0.3">
      <c r="A108" s="5"/>
      <c r="B108" s="3"/>
      <c r="C108" s="8"/>
      <c r="D108" s="6"/>
      <c r="E108" s="8"/>
      <c r="F108" s="21"/>
      <c r="G108" s="21"/>
      <c r="H108" s="9"/>
      <c r="I108" s="9"/>
    </row>
    <row r="109" spans="1:9" ht="30" customHeight="1" x14ac:dyDescent="0.3">
      <c r="A109" s="5"/>
      <c r="B109" s="3"/>
      <c r="C109" s="8"/>
      <c r="D109" s="6"/>
      <c r="E109" s="8"/>
      <c r="F109" s="21"/>
      <c r="G109" s="21"/>
      <c r="H109" s="9"/>
      <c r="I109" s="9"/>
    </row>
    <row r="110" spans="1:9" ht="30" customHeight="1" x14ac:dyDescent="0.3">
      <c r="A110" s="5"/>
      <c r="B110" s="3"/>
      <c r="C110" s="8"/>
      <c r="D110" s="6"/>
      <c r="E110" s="8"/>
      <c r="F110" s="21"/>
      <c r="G110" s="21"/>
      <c r="H110" s="9"/>
      <c r="I110" s="9"/>
    </row>
    <row r="111" spans="1:9" ht="30" customHeight="1" x14ac:dyDescent="0.3">
      <c r="A111" s="5"/>
      <c r="B111" s="3"/>
      <c r="C111" s="8"/>
      <c r="D111" s="6"/>
      <c r="E111" s="8"/>
      <c r="F111" s="21"/>
      <c r="G111" s="21"/>
      <c r="H111" s="9"/>
      <c r="I111" s="9"/>
    </row>
    <row r="112" spans="1:9" ht="30" customHeight="1" x14ac:dyDescent="0.3">
      <c r="A112" s="5"/>
      <c r="B112" s="3"/>
      <c r="C112" s="8"/>
      <c r="D112" s="6"/>
      <c r="E112" s="8"/>
      <c r="F112" s="21"/>
      <c r="G112" s="21"/>
      <c r="H112" s="9"/>
      <c r="I112" s="9"/>
    </row>
    <row r="113" spans="1:9" ht="30" customHeight="1" x14ac:dyDescent="0.3">
      <c r="A113" s="5"/>
      <c r="B113" s="3"/>
      <c r="C113" s="8"/>
      <c r="D113" s="6"/>
      <c r="E113" s="8"/>
      <c r="F113" s="21"/>
      <c r="G113" s="21"/>
      <c r="H113" s="9"/>
      <c r="I113" s="9"/>
    </row>
    <row r="114" spans="1:9" ht="30" customHeight="1" x14ac:dyDescent="0.3">
      <c r="A114" s="5"/>
      <c r="B114" s="3"/>
      <c r="C114" s="8"/>
      <c r="D114" s="6"/>
      <c r="E114" s="8"/>
      <c r="F114" s="21"/>
      <c r="G114" s="21"/>
      <c r="H114" s="9"/>
      <c r="I114" s="9"/>
    </row>
    <row r="115" spans="1:9" ht="30" customHeight="1" x14ac:dyDescent="0.3">
      <c r="A115" s="5"/>
      <c r="B115" s="3"/>
      <c r="C115" s="8"/>
      <c r="D115" s="6"/>
      <c r="E115" s="8"/>
      <c r="F115" s="21"/>
      <c r="G115" s="21"/>
      <c r="H115" s="9"/>
      <c r="I115" s="9"/>
    </row>
    <row r="116" spans="1:9" ht="30" customHeight="1" x14ac:dyDescent="0.3">
      <c r="A116" s="5"/>
      <c r="B116" s="3"/>
      <c r="C116" s="8"/>
      <c r="D116" s="6"/>
      <c r="E116" s="8"/>
      <c r="F116" s="21"/>
      <c r="G116" s="21"/>
      <c r="H116" s="9"/>
      <c r="I116" s="9"/>
    </row>
    <row r="117" spans="1:9" ht="30" customHeight="1" x14ac:dyDescent="0.3">
      <c r="A117" s="5"/>
      <c r="B117" s="3"/>
      <c r="C117" s="8"/>
      <c r="D117" s="6"/>
      <c r="E117" s="8"/>
      <c r="F117" s="21"/>
      <c r="G117" s="21"/>
      <c r="H117" s="9"/>
      <c r="I117" s="9"/>
    </row>
    <row r="118" spans="1:9" ht="30" customHeight="1" x14ac:dyDescent="0.3">
      <c r="A118" s="5"/>
      <c r="B118" s="3"/>
      <c r="C118" s="8"/>
      <c r="D118" s="6"/>
      <c r="E118" s="8"/>
      <c r="F118" s="21"/>
      <c r="G118" s="21"/>
      <c r="H118" s="9"/>
      <c r="I118" s="9"/>
    </row>
    <row r="119" spans="1:9" ht="30" customHeight="1" x14ac:dyDescent="0.3">
      <c r="A119" s="5"/>
      <c r="B119" s="3"/>
      <c r="C119" s="8"/>
      <c r="D119" s="6"/>
      <c r="E119" s="8"/>
      <c r="F119" s="21"/>
      <c r="G119" s="21"/>
      <c r="H119" s="9"/>
      <c r="I119" s="9"/>
    </row>
    <row r="120" spans="1:9" ht="30" customHeight="1" x14ac:dyDescent="0.3">
      <c r="A120" s="5"/>
      <c r="B120" s="3"/>
      <c r="C120" s="8"/>
      <c r="D120" s="6"/>
      <c r="E120" s="8"/>
      <c r="F120" s="21"/>
      <c r="G120" s="21"/>
      <c r="H120" s="9"/>
      <c r="I120" s="9"/>
    </row>
    <row r="121" spans="1:9" ht="30" customHeight="1" x14ac:dyDescent="0.3">
      <c r="A121" s="5"/>
      <c r="B121" s="3"/>
      <c r="C121" s="8"/>
      <c r="D121" s="6"/>
      <c r="E121" s="8"/>
      <c r="F121" s="21"/>
      <c r="G121" s="21"/>
      <c r="H121" s="9"/>
      <c r="I121" s="9"/>
    </row>
    <row r="122" spans="1:9" ht="30" customHeight="1" x14ac:dyDescent="0.3">
      <c r="A122" s="5"/>
      <c r="B122" s="3"/>
      <c r="C122" s="8"/>
      <c r="D122" s="6"/>
      <c r="E122" s="8"/>
      <c r="F122" s="21"/>
      <c r="G122" s="21"/>
      <c r="H122" s="9"/>
      <c r="I122" s="9"/>
    </row>
    <row r="123" spans="1:9" ht="30" customHeight="1" x14ac:dyDescent="0.3">
      <c r="A123" s="5"/>
      <c r="B123" s="3"/>
      <c r="C123" s="8"/>
      <c r="D123" s="6"/>
      <c r="E123" s="8"/>
      <c r="F123" s="21"/>
      <c r="G123" s="21"/>
      <c r="H123" s="9"/>
      <c r="I123" s="9"/>
    </row>
    <row r="124" spans="1:9" ht="30" customHeight="1" x14ac:dyDescent="0.3">
      <c r="A124" s="5"/>
      <c r="B124" s="3"/>
      <c r="C124" s="8"/>
      <c r="D124" s="6"/>
      <c r="E124" s="8"/>
      <c r="F124" s="21"/>
      <c r="G124" s="21"/>
      <c r="H124" s="9"/>
      <c r="I124" s="9"/>
    </row>
    <row r="125" spans="1:9" ht="30" customHeight="1" x14ac:dyDescent="0.3">
      <c r="A125" s="5"/>
      <c r="B125" s="3"/>
      <c r="C125" s="8"/>
      <c r="D125" s="6"/>
      <c r="E125" s="8"/>
      <c r="F125" s="21"/>
      <c r="G125" s="21"/>
      <c r="H125" s="9"/>
      <c r="I125" s="9"/>
    </row>
    <row r="126" spans="1:9" ht="30" customHeight="1" x14ac:dyDescent="0.3">
      <c r="A126" s="5"/>
      <c r="B126" s="3"/>
      <c r="C126" s="8"/>
      <c r="D126" s="6"/>
      <c r="E126" s="8"/>
      <c r="F126" s="21"/>
      <c r="G126" s="21"/>
      <c r="H126" s="9"/>
      <c r="I126" s="9"/>
    </row>
    <row r="127" spans="1:9" ht="30" customHeight="1" x14ac:dyDescent="0.3">
      <c r="A127" s="5"/>
      <c r="B127" s="3"/>
      <c r="C127" s="8"/>
      <c r="D127" s="6"/>
      <c r="E127" s="8"/>
      <c r="F127" s="21"/>
      <c r="G127" s="21"/>
      <c r="H127" s="9"/>
      <c r="I127" s="9"/>
    </row>
    <row r="128" spans="1:9" ht="30" customHeight="1" x14ac:dyDescent="0.3">
      <c r="A128" s="5"/>
      <c r="B128" s="3"/>
      <c r="C128" s="8"/>
      <c r="D128" s="6"/>
      <c r="E128" s="8"/>
      <c r="F128" s="21"/>
      <c r="G128" s="21"/>
      <c r="H128" s="9"/>
      <c r="I128" s="9"/>
    </row>
    <row r="129" spans="1:9" ht="30" customHeight="1" x14ac:dyDescent="0.3">
      <c r="A129" s="5"/>
      <c r="B129" s="3"/>
      <c r="C129" s="8"/>
      <c r="D129" s="6"/>
      <c r="E129" s="8"/>
      <c r="F129" s="21"/>
      <c r="G129" s="21"/>
      <c r="H129" s="9"/>
      <c r="I129" s="9"/>
    </row>
    <row r="130" spans="1:9" ht="30" customHeight="1" x14ac:dyDescent="0.3">
      <c r="A130" s="5"/>
      <c r="B130" s="3"/>
      <c r="C130" s="8"/>
      <c r="D130" s="6"/>
      <c r="E130" s="8"/>
      <c r="F130" s="21"/>
      <c r="G130" s="21"/>
      <c r="H130" s="9"/>
      <c r="I130" s="9"/>
    </row>
    <row r="131" spans="1:9" ht="30" customHeight="1" x14ac:dyDescent="0.3">
      <c r="A131" s="5"/>
      <c r="B131" s="3"/>
      <c r="C131" s="8"/>
      <c r="D131" s="6"/>
      <c r="E131" s="8"/>
      <c r="F131" s="21"/>
      <c r="G131" s="21"/>
      <c r="H131" s="9"/>
      <c r="I131" s="9"/>
    </row>
    <row r="132" spans="1:9" ht="30" customHeight="1" x14ac:dyDescent="0.3">
      <c r="A132" s="5"/>
      <c r="B132" s="3"/>
      <c r="C132" s="8"/>
      <c r="D132" s="6"/>
      <c r="E132" s="8"/>
      <c r="F132" s="21"/>
      <c r="G132" s="21"/>
      <c r="H132" s="9"/>
      <c r="I132" s="9"/>
    </row>
    <row r="133" spans="1:9" ht="30" customHeight="1" x14ac:dyDescent="0.3">
      <c r="A133" s="5"/>
      <c r="B133" s="3"/>
      <c r="C133" s="8"/>
      <c r="D133" s="6"/>
      <c r="E133" s="8"/>
      <c r="F133" s="21"/>
      <c r="G133" s="21"/>
      <c r="H133" s="9"/>
      <c r="I133" s="9"/>
    </row>
    <row r="134" spans="1:9" ht="30" customHeight="1" x14ac:dyDescent="0.3">
      <c r="A134" s="5"/>
      <c r="B134" s="3"/>
      <c r="C134" s="8"/>
      <c r="D134" s="6"/>
      <c r="E134" s="8"/>
      <c r="F134" s="21"/>
      <c r="G134" s="21"/>
      <c r="H134" s="9"/>
      <c r="I134" s="9"/>
    </row>
    <row r="135" spans="1:9" ht="30" customHeight="1" x14ac:dyDescent="0.3">
      <c r="A135" s="5"/>
      <c r="B135" s="3"/>
      <c r="C135" s="8"/>
      <c r="D135" s="6"/>
      <c r="E135" s="8"/>
      <c r="F135" s="21"/>
      <c r="G135" s="21"/>
      <c r="H135" s="9"/>
      <c r="I135" s="9"/>
    </row>
    <row r="136" spans="1:9" ht="30" customHeight="1" x14ac:dyDescent="0.3">
      <c r="A136" s="5"/>
      <c r="B136" s="3"/>
      <c r="C136" s="8"/>
      <c r="D136" s="6"/>
      <c r="E136" s="8"/>
      <c r="F136" s="21"/>
      <c r="G136" s="21"/>
      <c r="H136" s="9"/>
      <c r="I136" s="9"/>
    </row>
    <row r="137" spans="1:9" ht="30" customHeight="1" x14ac:dyDescent="0.3">
      <c r="A137" s="5"/>
      <c r="B137" s="3"/>
      <c r="C137" s="8"/>
      <c r="D137" s="6"/>
      <c r="E137" s="8"/>
      <c r="F137" s="21"/>
      <c r="G137" s="21"/>
      <c r="H137" s="9"/>
      <c r="I137" s="9"/>
    </row>
    <row r="138" spans="1:9" ht="30" customHeight="1" x14ac:dyDescent="0.3">
      <c r="A138" s="5"/>
      <c r="B138" s="3"/>
      <c r="C138" s="8"/>
      <c r="D138" s="6"/>
      <c r="E138" s="8"/>
      <c r="F138" s="21"/>
      <c r="G138" s="21"/>
      <c r="H138" s="9"/>
      <c r="I138" s="9"/>
    </row>
    <row r="139" spans="1:9" ht="30" customHeight="1" x14ac:dyDescent="0.3">
      <c r="A139" s="5"/>
      <c r="B139" s="3"/>
      <c r="C139" s="8"/>
      <c r="D139" s="6"/>
      <c r="E139" s="8"/>
      <c r="F139" s="21"/>
      <c r="G139" s="21"/>
      <c r="H139" s="9"/>
      <c r="I139" s="9"/>
    </row>
    <row r="140" spans="1:9" ht="30" customHeight="1" x14ac:dyDescent="0.3">
      <c r="A140" s="5"/>
      <c r="B140" s="3"/>
      <c r="C140" s="8"/>
      <c r="D140" s="6"/>
      <c r="E140" s="8"/>
      <c r="F140" s="21"/>
      <c r="G140" s="21"/>
      <c r="H140" s="9"/>
      <c r="I140" s="9"/>
    </row>
    <row r="141" spans="1:9" ht="30" customHeight="1" x14ac:dyDescent="0.3">
      <c r="A141" s="5"/>
      <c r="B141" s="3"/>
      <c r="C141" s="8"/>
      <c r="D141" s="6"/>
      <c r="E141" s="8"/>
      <c r="F141" s="21"/>
      <c r="G141" s="21"/>
      <c r="H141" s="9"/>
      <c r="I141" s="9"/>
    </row>
    <row r="142" spans="1:9" ht="30" customHeight="1" x14ac:dyDescent="0.3">
      <c r="A142" s="5"/>
      <c r="B142" s="3"/>
      <c r="C142" s="8"/>
      <c r="D142" s="6"/>
      <c r="E142" s="8"/>
      <c r="F142" s="21"/>
      <c r="G142" s="21"/>
      <c r="H142" s="9"/>
      <c r="I142" s="9"/>
    </row>
    <row r="143" spans="1:9" ht="30" customHeight="1" x14ac:dyDescent="0.3">
      <c r="A143" s="5"/>
      <c r="B143" s="3"/>
      <c r="C143" s="8"/>
      <c r="D143" s="6"/>
      <c r="E143" s="8"/>
      <c r="F143" s="21"/>
      <c r="G143" s="21"/>
      <c r="H143" s="9"/>
      <c r="I143" s="9"/>
    </row>
    <row r="144" spans="1:9" ht="30" customHeight="1" x14ac:dyDescent="0.3">
      <c r="A144" s="5"/>
      <c r="B144" s="3"/>
      <c r="C144" s="8"/>
      <c r="D144" s="6"/>
      <c r="E144" s="8"/>
      <c r="F144" s="21"/>
      <c r="G144" s="21"/>
      <c r="H144" s="9"/>
      <c r="I144" s="9"/>
    </row>
    <row r="145" spans="1:9" ht="30" customHeight="1" x14ac:dyDescent="0.3">
      <c r="A145" s="5"/>
      <c r="B145" s="3"/>
      <c r="C145" s="8"/>
      <c r="D145" s="6"/>
      <c r="E145" s="8"/>
      <c r="F145" s="21"/>
      <c r="G145" s="21"/>
      <c r="H145" s="9"/>
      <c r="I145" s="9"/>
    </row>
    <row r="146" spans="1:9" ht="30" customHeight="1" x14ac:dyDescent="0.3">
      <c r="A146" s="5"/>
      <c r="B146" s="3"/>
      <c r="C146" s="8"/>
      <c r="D146" s="6"/>
      <c r="E146" s="8"/>
      <c r="F146" s="21"/>
      <c r="G146" s="21"/>
      <c r="H146" s="9"/>
      <c r="I146" s="9"/>
    </row>
    <row r="147" spans="1:9" ht="30" customHeight="1" x14ac:dyDescent="0.3">
      <c r="A147" s="5"/>
      <c r="B147" s="3"/>
      <c r="C147" s="8"/>
      <c r="D147" s="6"/>
      <c r="E147" s="8"/>
      <c r="F147" s="21"/>
      <c r="G147" s="21"/>
      <c r="H147" s="9"/>
      <c r="I147" s="9"/>
    </row>
    <row r="148" spans="1:9" ht="30" customHeight="1" x14ac:dyDescent="0.3">
      <c r="A148" s="5"/>
      <c r="B148" s="3"/>
      <c r="C148" s="8"/>
      <c r="D148" s="6"/>
      <c r="E148" s="8"/>
      <c r="F148" s="21"/>
      <c r="G148" s="21"/>
      <c r="H148" s="9"/>
      <c r="I148" s="9"/>
    </row>
    <row r="149" spans="1:9" ht="30" customHeight="1" x14ac:dyDescent="0.3">
      <c r="A149" s="5"/>
      <c r="B149" s="3"/>
      <c r="C149" s="8"/>
      <c r="D149" s="6"/>
      <c r="E149" s="8"/>
      <c r="F149" s="21"/>
      <c r="G149" s="21"/>
      <c r="H149" s="9"/>
      <c r="I149" s="9"/>
    </row>
    <row r="150" spans="1:9" ht="30" customHeight="1" x14ac:dyDescent="0.3">
      <c r="A150" s="5"/>
      <c r="B150" s="3"/>
      <c r="C150" s="8"/>
      <c r="D150" s="6"/>
      <c r="E150" s="8"/>
      <c r="F150" s="21"/>
      <c r="G150" s="21"/>
      <c r="H150" s="9"/>
      <c r="I150" s="9"/>
    </row>
    <row r="151" spans="1:9" ht="30" customHeight="1" x14ac:dyDescent="0.3">
      <c r="A151" s="5"/>
      <c r="B151" s="3"/>
      <c r="C151" s="8"/>
      <c r="D151" s="6"/>
      <c r="E151" s="8"/>
      <c r="F151" s="21"/>
      <c r="G151" s="21"/>
      <c r="H151" s="9"/>
      <c r="I151" s="9"/>
    </row>
    <row r="152" spans="1:9" ht="30" customHeight="1" x14ac:dyDescent="0.3">
      <c r="A152" s="5"/>
      <c r="B152" s="3"/>
      <c r="C152" s="8"/>
      <c r="D152" s="6"/>
      <c r="E152" s="8"/>
      <c r="F152" s="3"/>
      <c r="G152" s="3"/>
      <c r="H152" s="9"/>
      <c r="I152" s="9"/>
    </row>
    <row r="153" spans="1:9" ht="30" customHeight="1" x14ac:dyDescent="0.3">
      <c r="A153" s="5"/>
      <c r="B153" s="3"/>
      <c r="C153" s="8"/>
      <c r="D153" s="6"/>
      <c r="E153" s="8"/>
      <c r="F153" s="3"/>
      <c r="G153" s="3"/>
      <c r="H153" s="9"/>
      <c r="I153" s="9"/>
    </row>
    <row r="154" spans="1:9" ht="30" customHeight="1" x14ac:dyDescent="0.3">
      <c r="A154" s="5"/>
      <c r="B154" s="3"/>
      <c r="C154" s="8"/>
      <c r="D154" s="6"/>
      <c r="E154" s="8"/>
      <c r="F154" s="3"/>
      <c r="G154" s="3"/>
      <c r="H154" s="9"/>
      <c r="I154" s="9"/>
    </row>
    <row r="155" spans="1:9" ht="30" customHeight="1" x14ac:dyDescent="0.3">
      <c r="A155" s="5"/>
      <c r="B155" s="3"/>
      <c r="C155" s="8"/>
      <c r="D155" s="6"/>
      <c r="E155" s="8"/>
      <c r="F155" s="3"/>
      <c r="G155" s="3"/>
      <c r="H155" s="9"/>
      <c r="I155" s="9"/>
    </row>
    <row r="156" spans="1:9" ht="30" customHeight="1" x14ac:dyDescent="0.3">
      <c r="A156" s="5"/>
      <c r="B156" s="3"/>
      <c r="C156" s="8"/>
      <c r="D156" s="6"/>
      <c r="E156" s="8"/>
      <c r="F156" s="3"/>
      <c r="G156" s="3"/>
      <c r="H156" s="9"/>
      <c r="I156" s="9"/>
    </row>
    <row r="157" spans="1:9" ht="30" customHeight="1" x14ac:dyDescent="0.3">
      <c r="A157" s="5"/>
      <c r="B157" s="3"/>
      <c r="C157" s="8"/>
      <c r="D157" s="6"/>
      <c r="E157" s="8"/>
      <c r="F157" s="3"/>
      <c r="G157" s="3"/>
      <c r="H157" s="9"/>
      <c r="I157" s="9"/>
    </row>
    <row r="158" spans="1:9" ht="30" customHeight="1" x14ac:dyDescent="0.3">
      <c r="A158" s="5"/>
      <c r="B158" s="3"/>
      <c r="C158" s="8"/>
      <c r="D158" s="6"/>
      <c r="E158" s="8"/>
      <c r="F158" s="3"/>
      <c r="G158" s="3"/>
      <c r="H158" s="9"/>
      <c r="I158" s="9"/>
    </row>
    <row r="159" spans="1:9" ht="30" customHeight="1" x14ac:dyDescent="0.3">
      <c r="A159" s="5"/>
      <c r="B159" s="3"/>
      <c r="C159" s="8"/>
      <c r="D159" s="6"/>
      <c r="E159" s="8"/>
      <c r="F159" s="3"/>
      <c r="G159" s="3"/>
      <c r="H159" s="9"/>
      <c r="I159" s="9"/>
    </row>
    <row r="160" spans="1:9" ht="30" customHeight="1" x14ac:dyDescent="0.3">
      <c r="A160" s="5"/>
      <c r="B160" s="3"/>
      <c r="C160" s="8"/>
      <c r="D160" s="6"/>
      <c r="E160" s="8"/>
      <c r="F160" s="3"/>
      <c r="G160" s="3"/>
      <c r="H160" s="9"/>
      <c r="I160" s="9"/>
    </row>
    <row r="161" spans="1:9" ht="30" customHeight="1" x14ac:dyDescent="0.3">
      <c r="A161" s="5"/>
      <c r="B161" s="3"/>
      <c r="C161" s="8"/>
      <c r="D161" s="6"/>
      <c r="E161" s="8"/>
      <c r="F161" s="3"/>
      <c r="G161" s="3"/>
      <c r="H161" s="9"/>
      <c r="I161" s="9"/>
    </row>
    <row r="162" spans="1:9" ht="30" customHeight="1" x14ac:dyDescent="0.3">
      <c r="A162" s="5"/>
      <c r="B162" s="3"/>
      <c r="C162" s="8"/>
      <c r="D162" s="6"/>
      <c r="E162" s="8"/>
      <c r="F162" s="3"/>
      <c r="G162" s="3"/>
      <c r="H162" s="9"/>
      <c r="I162" s="9"/>
    </row>
    <row r="163" spans="1:9" ht="30" customHeight="1" x14ac:dyDescent="0.3">
      <c r="A163" s="5"/>
      <c r="B163" s="3"/>
      <c r="C163" s="8"/>
      <c r="D163" s="6"/>
      <c r="E163" s="8"/>
      <c r="F163" s="3"/>
      <c r="G163" s="3"/>
      <c r="H163" s="9"/>
      <c r="I163" s="9"/>
    </row>
    <row r="164" spans="1:9" ht="30" customHeight="1" x14ac:dyDescent="0.3">
      <c r="A164" s="5"/>
      <c r="B164" s="3"/>
      <c r="C164" s="8"/>
      <c r="D164" s="6"/>
      <c r="E164" s="8"/>
      <c r="F164" s="3"/>
      <c r="G164" s="3"/>
      <c r="H164" s="9"/>
      <c r="I164" s="9"/>
    </row>
    <row r="165" spans="1:9" ht="30" customHeight="1" x14ac:dyDescent="0.3">
      <c r="A165" s="5"/>
      <c r="B165" s="3"/>
      <c r="C165" s="8"/>
      <c r="D165" s="6"/>
      <c r="E165" s="8"/>
      <c r="F165" s="3"/>
      <c r="G165" s="3"/>
      <c r="H165" s="9"/>
      <c r="I165" s="9"/>
    </row>
    <row r="166" spans="1:9" ht="30" customHeight="1" x14ac:dyDescent="0.3">
      <c r="A166" s="5"/>
      <c r="B166" s="3"/>
      <c r="C166" s="8"/>
      <c r="D166" s="6"/>
      <c r="E166" s="8"/>
      <c r="F166" s="3"/>
      <c r="G166" s="3"/>
      <c r="H166" s="9"/>
      <c r="I166" s="9"/>
    </row>
    <row r="167" spans="1:9" ht="30" customHeight="1" x14ac:dyDescent="0.3">
      <c r="A167" s="5"/>
      <c r="B167" s="3"/>
      <c r="C167" s="8"/>
      <c r="D167" s="6"/>
      <c r="E167" s="8"/>
      <c r="F167" s="3"/>
      <c r="G167" s="3"/>
      <c r="H167" s="9"/>
      <c r="I167" s="9"/>
    </row>
    <row r="168" spans="1:9" ht="30" customHeight="1" x14ac:dyDescent="0.3">
      <c r="A168" s="5"/>
      <c r="B168" s="3"/>
      <c r="C168" s="8"/>
      <c r="D168" s="6"/>
      <c r="E168" s="8"/>
      <c r="F168" s="3"/>
      <c r="G168" s="3"/>
      <c r="H168" s="9"/>
      <c r="I168" s="9"/>
    </row>
    <row r="169" spans="1:9" ht="30" customHeight="1" x14ac:dyDescent="0.3">
      <c r="A169" s="5"/>
      <c r="B169" s="3"/>
      <c r="C169" s="8"/>
      <c r="D169" s="6"/>
      <c r="E169" s="8"/>
      <c r="F169" s="3"/>
      <c r="G169" s="3"/>
      <c r="H169" s="9"/>
      <c r="I169" s="9"/>
    </row>
    <row r="170" spans="1:9" ht="30" customHeight="1" x14ac:dyDescent="0.3">
      <c r="A170" s="5"/>
      <c r="B170" s="3"/>
      <c r="C170" s="8"/>
      <c r="D170" s="6"/>
      <c r="E170" s="8"/>
      <c r="F170" s="3"/>
      <c r="G170" s="3"/>
      <c r="H170" s="9"/>
      <c r="I170" s="9"/>
    </row>
    <row r="171" spans="1:9" ht="30" customHeight="1" x14ac:dyDescent="0.3">
      <c r="A171" s="5"/>
      <c r="B171" s="3"/>
      <c r="C171" s="8"/>
      <c r="D171" s="6"/>
      <c r="E171" s="8"/>
      <c r="F171" s="3"/>
      <c r="G171" s="3"/>
      <c r="H171" s="9"/>
      <c r="I171" s="9"/>
    </row>
    <row r="172" spans="1:9" ht="30" customHeight="1" x14ac:dyDescent="0.3">
      <c r="A172" s="5"/>
      <c r="B172" s="3"/>
      <c r="C172" s="8"/>
      <c r="D172" s="6"/>
      <c r="E172" s="8"/>
      <c r="F172" s="3"/>
      <c r="G172" s="3"/>
      <c r="H172" s="9"/>
      <c r="I172" s="9"/>
    </row>
    <row r="173" spans="1:9" ht="30" customHeight="1" x14ac:dyDescent="0.3">
      <c r="A173" s="5"/>
      <c r="B173" s="3"/>
      <c r="C173" s="10"/>
      <c r="D173" s="6"/>
      <c r="E173" s="8"/>
      <c r="F173" s="3"/>
      <c r="G173" s="3"/>
      <c r="H173" s="9"/>
      <c r="I173" s="9"/>
    </row>
    <row r="174" spans="1:9" ht="30" customHeight="1" x14ac:dyDescent="0.3">
      <c r="A174" s="5"/>
      <c r="B174" s="3"/>
      <c r="C174" s="10"/>
      <c r="D174" s="6"/>
      <c r="E174" s="8"/>
      <c r="F174" s="3"/>
      <c r="G174" s="3"/>
      <c r="H174" s="9"/>
      <c r="I174" s="9"/>
    </row>
    <row r="175" spans="1:9" ht="30" customHeight="1" x14ac:dyDescent="0.3">
      <c r="A175" s="5"/>
      <c r="B175" s="3"/>
      <c r="C175" s="10"/>
      <c r="D175" s="6"/>
      <c r="E175" s="8"/>
      <c r="F175" s="3"/>
      <c r="G175" s="3"/>
      <c r="H175" s="9"/>
      <c r="I175" s="9"/>
    </row>
    <row r="176" spans="1:9" ht="30" customHeight="1" x14ac:dyDescent="0.3">
      <c r="A176" s="5"/>
      <c r="B176" s="3"/>
      <c r="C176" s="10"/>
      <c r="D176" s="6"/>
      <c r="E176" s="8"/>
      <c r="F176" s="3"/>
      <c r="G176" s="3"/>
      <c r="H176" s="9"/>
      <c r="I176" s="9"/>
    </row>
    <row r="177" spans="1:9" ht="30" customHeight="1" x14ac:dyDescent="0.3">
      <c r="A177" s="5"/>
      <c r="B177" s="3"/>
      <c r="C177" s="10"/>
      <c r="D177" s="6"/>
      <c r="E177" s="8"/>
      <c r="F177" s="3"/>
      <c r="G177" s="3"/>
      <c r="H177" s="9"/>
      <c r="I177" s="9"/>
    </row>
    <row r="178" spans="1:9" ht="30" customHeight="1" x14ac:dyDescent="0.3">
      <c r="A178" s="5"/>
      <c r="B178" s="3"/>
      <c r="C178" s="10"/>
      <c r="D178" s="6"/>
      <c r="E178" s="8"/>
      <c r="F178" s="3"/>
      <c r="G178" s="3"/>
      <c r="H178" s="9"/>
      <c r="I178" s="9"/>
    </row>
    <row r="179" spans="1:9" ht="30" customHeight="1" x14ac:dyDescent="0.3">
      <c r="A179" s="5"/>
      <c r="B179" s="3"/>
      <c r="C179" s="10"/>
      <c r="D179" s="6"/>
      <c r="E179" s="8"/>
      <c r="F179" s="3"/>
      <c r="G179" s="3"/>
      <c r="H179" s="9"/>
      <c r="I179" s="9"/>
    </row>
    <row r="180" spans="1:9" ht="30" customHeight="1" x14ac:dyDescent="0.3">
      <c r="A180" s="5"/>
      <c r="B180" s="3"/>
      <c r="C180" s="10"/>
      <c r="D180" s="6"/>
      <c r="E180" s="8"/>
      <c r="F180" s="3"/>
      <c r="G180" s="3"/>
      <c r="H180" s="9"/>
      <c r="I180" s="9"/>
    </row>
    <row r="181" spans="1:9" ht="30" customHeight="1" x14ac:dyDescent="0.3">
      <c r="A181" s="5"/>
      <c r="B181" s="3"/>
      <c r="C181" s="9"/>
      <c r="D181" s="6"/>
      <c r="E181" s="8"/>
      <c r="F181" s="3"/>
      <c r="G181" s="3"/>
      <c r="H181" s="9"/>
      <c r="I181" s="9"/>
    </row>
    <row r="182" spans="1:9" ht="30" customHeight="1" x14ac:dyDescent="0.3">
      <c r="A182" s="5"/>
      <c r="B182" s="3"/>
      <c r="C182" s="9"/>
      <c r="D182" s="6"/>
      <c r="E182" s="8"/>
      <c r="F182" s="3"/>
      <c r="G182" s="3"/>
      <c r="H182" s="9"/>
      <c r="I182" s="9"/>
    </row>
    <row r="183" spans="1:9" ht="30" customHeight="1" x14ac:dyDescent="0.3">
      <c r="A183" s="5"/>
      <c r="B183" s="3"/>
      <c r="C183" s="9"/>
      <c r="D183" s="6"/>
      <c r="E183" s="8"/>
      <c r="F183" s="3"/>
      <c r="G183" s="3"/>
      <c r="H183" s="9"/>
      <c r="I183" s="9"/>
    </row>
    <row r="184" spans="1:9" ht="30" customHeight="1" x14ac:dyDescent="0.3">
      <c r="A184" s="5"/>
      <c r="B184" s="3"/>
      <c r="C184" s="9"/>
      <c r="D184" s="6"/>
      <c r="E184" s="8"/>
      <c r="F184" s="3"/>
      <c r="G184" s="3"/>
      <c r="H184" s="9"/>
      <c r="I184" s="9"/>
    </row>
    <row r="185" spans="1:9" ht="30" customHeight="1" x14ac:dyDescent="0.3">
      <c r="A185" s="5"/>
      <c r="B185" s="3"/>
      <c r="C185" s="9"/>
      <c r="D185" s="6"/>
      <c r="E185" s="8"/>
      <c r="F185" s="3"/>
      <c r="G185" s="3"/>
      <c r="H185" s="9"/>
      <c r="I185" s="9"/>
    </row>
    <row r="186" spans="1:9" ht="30" customHeight="1" x14ac:dyDescent="0.3">
      <c r="A186" s="5"/>
      <c r="B186" s="3"/>
      <c r="C186" s="9"/>
      <c r="D186" s="6"/>
      <c r="E186" s="8"/>
      <c r="F186" s="3"/>
      <c r="G186" s="3"/>
      <c r="H186" s="9"/>
      <c r="I186" s="9"/>
    </row>
    <row r="187" spans="1:9" ht="30" customHeight="1" x14ac:dyDescent="0.3">
      <c r="A187" s="5"/>
      <c r="B187" s="3"/>
      <c r="C187" s="9"/>
      <c r="D187" s="6"/>
      <c r="E187" s="8"/>
      <c r="F187" s="3"/>
      <c r="G187" s="3"/>
      <c r="H187" s="9"/>
      <c r="I187" s="9"/>
    </row>
    <row r="188" spans="1:9" ht="30" customHeight="1" x14ac:dyDescent="0.3">
      <c r="A188" s="5"/>
      <c r="B188" s="3"/>
      <c r="C188" s="9"/>
      <c r="D188" s="6"/>
      <c r="E188" s="8"/>
      <c r="F188" s="3"/>
      <c r="G188" s="3"/>
      <c r="H188" s="9"/>
      <c r="I188" s="9"/>
    </row>
    <row r="189" spans="1:9" ht="30" customHeight="1" x14ac:dyDescent="0.3">
      <c r="A189" s="5"/>
      <c r="B189" s="3"/>
      <c r="C189" s="9"/>
      <c r="D189" s="6"/>
      <c r="E189" s="8"/>
      <c r="F189" s="3"/>
      <c r="G189" s="3"/>
      <c r="H189" s="9"/>
      <c r="I189" s="9"/>
    </row>
    <row r="190" spans="1:9" ht="30" customHeight="1" x14ac:dyDescent="0.3">
      <c r="A190" s="5"/>
      <c r="B190" s="3"/>
      <c r="C190" s="9"/>
      <c r="D190" s="6"/>
      <c r="E190" s="8"/>
      <c r="F190" s="3"/>
      <c r="G190" s="3"/>
      <c r="H190" s="9"/>
      <c r="I190" s="9"/>
    </row>
    <row r="191" spans="1:9" ht="30" customHeight="1" x14ac:dyDescent="0.3">
      <c r="A191" s="5"/>
      <c r="B191" s="3"/>
      <c r="C191" s="9"/>
      <c r="D191" s="6"/>
      <c r="E191" s="8"/>
      <c r="F191" s="3"/>
      <c r="G191" s="3"/>
      <c r="H191" s="9"/>
      <c r="I191" s="9"/>
    </row>
    <row r="192" spans="1:9" ht="30" customHeight="1" x14ac:dyDescent="0.3">
      <c r="A192" s="5"/>
      <c r="B192" s="3"/>
      <c r="C192" s="9"/>
      <c r="D192" s="6"/>
      <c r="E192" s="8"/>
      <c r="F192" s="3"/>
      <c r="G192" s="3"/>
      <c r="H192" s="9"/>
      <c r="I192" s="9"/>
    </row>
    <row r="193" spans="1:9" ht="30" customHeight="1" x14ac:dyDescent="0.3">
      <c r="A193" s="5"/>
      <c r="B193" s="3"/>
      <c r="C193" s="9"/>
      <c r="D193" s="6"/>
      <c r="E193" s="8"/>
      <c r="F193" s="3"/>
      <c r="G193" s="3"/>
      <c r="H193" s="9"/>
      <c r="I193" s="9"/>
    </row>
    <row r="194" spans="1:9" ht="30" customHeight="1" x14ac:dyDescent="0.3">
      <c r="A194" s="5"/>
      <c r="B194" s="3"/>
      <c r="C194" s="9"/>
      <c r="D194" s="6"/>
      <c r="E194" s="8"/>
      <c r="F194" s="3"/>
      <c r="G194" s="3"/>
      <c r="H194" s="9"/>
      <c r="I194" s="9"/>
    </row>
    <row r="195" spans="1:9" ht="30" customHeight="1" x14ac:dyDescent="0.3">
      <c r="A195" s="5"/>
      <c r="B195" s="3"/>
      <c r="C195" s="9"/>
      <c r="D195" s="6"/>
      <c r="E195" s="8"/>
      <c r="F195" s="3"/>
      <c r="G195" s="3"/>
      <c r="H195" s="9"/>
      <c r="I195" s="9"/>
    </row>
    <row r="196" spans="1:9" ht="30" customHeight="1" x14ac:dyDescent="0.3">
      <c r="A196" s="5"/>
      <c r="B196" s="3"/>
      <c r="C196" s="9"/>
      <c r="D196" s="6"/>
      <c r="E196" s="8"/>
      <c r="F196" s="3"/>
      <c r="G196" s="3"/>
      <c r="H196" s="9"/>
      <c r="I196" s="9"/>
    </row>
    <row r="197" spans="1:9" ht="30" customHeight="1" x14ac:dyDescent="0.3">
      <c r="A197" s="5"/>
      <c r="B197" s="3"/>
      <c r="C197" s="9"/>
      <c r="D197" s="6"/>
      <c r="E197" s="8"/>
      <c r="F197" s="3"/>
      <c r="G197" s="3"/>
      <c r="H197" s="9"/>
      <c r="I197" s="9"/>
    </row>
    <row r="198" spans="1:9" ht="30" customHeight="1" x14ac:dyDescent="0.3">
      <c r="A198" s="5"/>
      <c r="B198" s="3"/>
      <c r="C198" s="9"/>
      <c r="D198" s="6"/>
      <c r="E198" s="8"/>
      <c r="F198" s="3"/>
      <c r="G198" s="3"/>
      <c r="H198" s="9"/>
      <c r="I198" s="9"/>
    </row>
    <row r="199" spans="1:9" ht="30" customHeight="1" x14ac:dyDescent="0.3">
      <c r="A199" s="5"/>
      <c r="B199" s="3"/>
      <c r="C199" s="9"/>
      <c r="D199" s="6"/>
      <c r="E199" s="8"/>
      <c r="F199" s="3"/>
      <c r="G199" s="3"/>
      <c r="H199" s="9"/>
      <c r="I199" s="9"/>
    </row>
    <row r="200" spans="1:9" ht="30" customHeight="1" x14ac:dyDescent="0.3">
      <c r="A200" s="5"/>
      <c r="B200" s="3"/>
      <c r="C200" s="9"/>
      <c r="D200" s="6"/>
      <c r="E200" s="8"/>
      <c r="F200" s="3"/>
      <c r="G200" s="3"/>
      <c r="H200" s="9"/>
      <c r="I200" s="9"/>
    </row>
    <row r="201" spans="1:9" ht="30" customHeight="1" x14ac:dyDescent="0.3">
      <c r="A201" s="5"/>
      <c r="B201" s="3"/>
      <c r="C201" s="9"/>
      <c r="D201" s="6"/>
      <c r="E201" s="8"/>
      <c r="F201" s="3"/>
      <c r="G201" s="3"/>
      <c r="H201" s="9"/>
      <c r="I201" s="9"/>
    </row>
    <row r="202" spans="1:9" ht="30" customHeight="1" x14ac:dyDescent="0.3">
      <c r="A202" s="5"/>
      <c r="B202" s="3"/>
      <c r="C202" s="9"/>
      <c r="D202" s="6"/>
      <c r="E202" s="8"/>
      <c r="F202" s="3"/>
      <c r="G202" s="3"/>
      <c r="H202" s="9"/>
      <c r="I202" s="9"/>
    </row>
    <row r="203" spans="1:9" ht="30" customHeight="1" x14ac:dyDescent="0.3">
      <c r="A203" s="5"/>
      <c r="B203" s="3"/>
      <c r="C203" s="9"/>
      <c r="D203" s="6"/>
      <c r="E203" s="8"/>
      <c r="F203" s="3"/>
      <c r="G203" s="3"/>
      <c r="H203" s="9"/>
      <c r="I203" s="9"/>
    </row>
    <row r="204" spans="1:9" ht="30" customHeight="1" x14ac:dyDescent="0.3">
      <c r="A204" s="5"/>
      <c r="B204" s="3"/>
      <c r="C204" s="9"/>
      <c r="D204" s="6"/>
      <c r="E204" s="8"/>
      <c r="F204" s="3"/>
      <c r="G204" s="3"/>
      <c r="H204" s="9"/>
      <c r="I204" s="9"/>
    </row>
    <row r="205" spans="1:9" ht="30" customHeight="1" x14ac:dyDescent="0.3">
      <c r="A205" s="5"/>
      <c r="B205" s="3"/>
      <c r="C205" s="9"/>
      <c r="D205" s="6"/>
      <c r="E205" s="8"/>
      <c r="F205" s="3"/>
      <c r="G205" s="3"/>
      <c r="H205" s="9"/>
      <c r="I205" s="9"/>
    </row>
    <row r="206" spans="1:9" ht="30" customHeight="1" x14ac:dyDescent="0.3">
      <c r="A206" s="5"/>
      <c r="B206" s="3"/>
      <c r="C206" s="9"/>
      <c r="D206" s="6"/>
      <c r="E206" s="8"/>
      <c r="F206" s="3"/>
      <c r="G206" s="3"/>
      <c r="H206" s="9"/>
      <c r="I206" s="9"/>
    </row>
    <row r="207" spans="1:9" ht="30" customHeight="1" x14ac:dyDescent="0.3">
      <c r="A207" s="5"/>
      <c r="B207" s="3"/>
      <c r="C207" s="9"/>
      <c r="D207" s="6"/>
      <c r="E207" s="8"/>
      <c r="F207" s="3"/>
      <c r="G207" s="3"/>
      <c r="H207" s="9"/>
      <c r="I207" s="9"/>
    </row>
    <row r="208" spans="1:9" ht="30" customHeight="1" x14ac:dyDescent="0.3">
      <c r="A208" s="5"/>
      <c r="B208" s="3"/>
      <c r="C208" s="9"/>
      <c r="D208" s="6"/>
      <c r="E208" s="8"/>
      <c r="F208" s="3"/>
      <c r="G208" s="3"/>
      <c r="H208" s="9"/>
      <c r="I208" s="9"/>
    </row>
    <row r="209" spans="1:9" ht="30" customHeight="1" x14ac:dyDescent="0.3">
      <c r="A209" s="5"/>
      <c r="B209" s="3"/>
      <c r="C209" s="9"/>
      <c r="D209" s="6"/>
      <c r="E209" s="8"/>
      <c r="F209" s="3"/>
      <c r="G209" s="3"/>
      <c r="H209" s="9"/>
      <c r="I209" s="9"/>
    </row>
    <row r="210" spans="1:9" ht="30" customHeight="1" x14ac:dyDescent="0.3">
      <c r="A210" s="5"/>
      <c r="B210" s="3"/>
      <c r="C210" s="9"/>
      <c r="D210" s="6"/>
      <c r="E210" s="8"/>
      <c r="F210" s="3"/>
      <c r="G210" s="3"/>
      <c r="H210" s="9"/>
      <c r="I210" s="9"/>
    </row>
    <row r="211" spans="1:9" ht="30" customHeight="1" x14ac:dyDescent="0.3">
      <c r="A211" s="5"/>
      <c r="B211" s="3"/>
      <c r="C211" s="9"/>
      <c r="D211" s="6"/>
      <c r="E211" s="8"/>
      <c r="F211" s="3"/>
      <c r="G211" s="3"/>
      <c r="H211" s="9"/>
      <c r="I211" s="9"/>
    </row>
    <row r="212" spans="1:9" ht="30" customHeight="1" x14ac:dyDescent="0.3">
      <c r="A212" s="5"/>
      <c r="B212" s="3"/>
      <c r="C212" s="9"/>
      <c r="D212" s="6"/>
      <c r="E212" s="8"/>
      <c r="F212" s="3"/>
      <c r="G212" s="3"/>
      <c r="H212" s="9"/>
      <c r="I212" s="9"/>
    </row>
    <row r="213" spans="1:9" ht="30" customHeight="1" x14ac:dyDescent="0.3">
      <c r="A213" s="5"/>
      <c r="B213" s="3"/>
      <c r="C213" s="9"/>
      <c r="D213" s="6"/>
      <c r="E213" s="8"/>
      <c r="F213" s="3"/>
      <c r="G213" s="3"/>
      <c r="H213" s="9"/>
      <c r="I213" s="9"/>
    </row>
    <row r="214" spans="1:9" ht="30" customHeight="1" x14ac:dyDescent="0.3">
      <c r="A214" s="5"/>
      <c r="B214" s="3"/>
      <c r="C214" s="9"/>
      <c r="D214" s="6"/>
      <c r="E214" s="8"/>
      <c r="F214" s="3"/>
      <c r="G214" s="3"/>
      <c r="H214" s="9"/>
      <c r="I214" s="9"/>
    </row>
    <row r="215" spans="1:9" ht="30" customHeight="1" x14ac:dyDescent="0.3">
      <c r="A215" s="5"/>
      <c r="B215" s="3"/>
      <c r="C215" s="9"/>
      <c r="D215" s="6"/>
      <c r="E215" s="8"/>
      <c r="F215" s="3"/>
      <c r="G215" s="3"/>
      <c r="H215" s="9"/>
      <c r="I215" s="9"/>
    </row>
    <row r="216" spans="1:9" ht="30" customHeight="1" x14ac:dyDescent="0.3">
      <c r="A216" s="5"/>
      <c r="B216" s="3"/>
      <c r="C216" s="9"/>
      <c r="D216" s="6"/>
      <c r="E216" s="8"/>
      <c r="F216" s="3"/>
      <c r="G216" s="3"/>
      <c r="H216" s="9"/>
      <c r="I216" s="9"/>
    </row>
    <row r="217" spans="1:9" ht="30" customHeight="1" x14ac:dyDescent="0.3">
      <c r="A217" s="5"/>
      <c r="B217" s="3"/>
      <c r="C217" s="9"/>
      <c r="D217" s="6"/>
      <c r="E217" s="8"/>
      <c r="F217" s="3"/>
      <c r="G217" s="3"/>
      <c r="H217" s="9"/>
      <c r="I217" s="9"/>
    </row>
    <row r="218" spans="1:9" ht="30" customHeight="1" x14ac:dyDescent="0.3">
      <c r="A218" s="5"/>
      <c r="B218" s="3"/>
      <c r="C218" s="9"/>
      <c r="D218" s="6"/>
      <c r="E218" s="8"/>
      <c r="F218" s="3"/>
      <c r="G218" s="3"/>
      <c r="H218" s="9"/>
      <c r="I218" s="9"/>
    </row>
    <row r="219" spans="1:9" ht="30" customHeight="1" x14ac:dyDescent="0.3">
      <c r="A219" s="5"/>
      <c r="B219" s="3"/>
      <c r="C219" s="9"/>
      <c r="D219" s="6"/>
      <c r="E219" s="8"/>
      <c r="F219" s="3"/>
      <c r="G219" s="3"/>
      <c r="H219" s="9"/>
      <c r="I219" s="9"/>
    </row>
    <row r="220" spans="1:9" ht="30" customHeight="1" x14ac:dyDescent="0.3">
      <c r="A220" s="5"/>
      <c r="B220" s="3"/>
      <c r="C220" s="9"/>
      <c r="D220" s="6"/>
      <c r="E220" s="8"/>
      <c r="F220" s="3"/>
      <c r="G220" s="3"/>
      <c r="H220" s="9"/>
      <c r="I220" s="9"/>
    </row>
    <row r="221" spans="1:9" ht="30" customHeight="1" x14ac:dyDescent="0.3">
      <c r="A221" s="5"/>
      <c r="B221" s="3"/>
      <c r="C221" s="9"/>
      <c r="D221" s="6"/>
      <c r="E221" s="8"/>
      <c r="F221" s="3"/>
      <c r="G221" s="3"/>
      <c r="H221" s="9"/>
      <c r="I221" s="9"/>
    </row>
    <row r="222" spans="1:9" ht="30" customHeight="1" x14ac:dyDescent="0.3">
      <c r="A222" s="5"/>
      <c r="B222" s="3"/>
      <c r="C222" s="9"/>
      <c r="D222" s="6"/>
      <c r="E222" s="8"/>
      <c r="F222" s="3"/>
      <c r="G222" s="3"/>
      <c r="H222" s="9"/>
      <c r="I222" s="9"/>
    </row>
    <row r="223" spans="1:9" ht="30" customHeight="1" x14ac:dyDescent="0.3">
      <c r="A223" s="5"/>
      <c r="B223" s="3"/>
      <c r="C223" s="9"/>
      <c r="D223" s="6"/>
      <c r="E223" s="8"/>
      <c r="F223" s="3"/>
      <c r="G223" s="3"/>
      <c r="H223" s="9"/>
      <c r="I223" s="9"/>
    </row>
    <row r="224" spans="1:9" ht="30" customHeight="1" x14ac:dyDescent="0.3">
      <c r="A224" s="5"/>
      <c r="B224" s="3"/>
      <c r="C224" s="9"/>
      <c r="D224" s="6"/>
      <c r="E224" s="8"/>
      <c r="F224" s="3"/>
      <c r="G224" s="3"/>
      <c r="H224" s="9"/>
      <c r="I224" s="9"/>
    </row>
    <row r="225" spans="1:9" ht="30" customHeight="1" x14ac:dyDescent="0.3">
      <c r="A225" s="5"/>
      <c r="B225" s="3"/>
      <c r="C225" s="9"/>
      <c r="D225" s="6"/>
      <c r="E225" s="8"/>
      <c r="F225" s="3"/>
      <c r="G225" s="3"/>
      <c r="H225" s="9"/>
      <c r="I225" s="9"/>
    </row>
    <row r="226" spans="1:9" ht="30" customHeight="1" x14ac:dyDescent="0.3">
      <c r="A226" s="5"/>
      <c r="B226" s="3"/>
      <c r="C226" s="9"/>
      <c r="D226" s="6"/>
      <c r="E226" s="8"/>
      <c r="F226" s="3"/>
      <c r="G226" s="3"/>
      <c r="H226" s="9"/>
      <c r="I226" s="9"/>
    </row>
    <row r="227" spans="1:9" ht="30" customHeight="1" x14ac:dyDescent="0.3">
      <c r="A227" s="5"/>
      <c r="B227" s="3"/>
      <c r="C227" s="9"/>
      <c r="D227" s="6"/>
      <c r="E227" s="8"/>
      <c r="F227" s="3"/>
      <c r="G227" s="3"/>
      <c r="H227" s="9"/>
      <c r="I227" s="9"/>
    </row>
    <row r="228" spans="1:9" ht="30" customHeight="1" x14ac:dyDescent="0.3">
      <c r="A228" s="5"/>
      <c r="B228" s="3"/>
      <c r="C228" s="9"/>
      <c r="D228" s="6"/>
      <c r="E228" s="8"/>
      <c r="F228" s="3"/>
      <c r="G228" s="3"/>
      <c r="H228" s="9"/>
      <c r="I228" s="9"/>
    </row>
    <row r="229" spans="1:9" ht="30" customHeight="1" x14ac:dyDescent="0.3">
      <c r="A229" s="5"/>
      <c r="B229" s="3"/>
      <c r="C229" s="9"/>
      <c r="D229" s="6"/>
      <c r="E229" s="8"/>
      <c r="F229" s="3"/>
      <c r="G229" s="3"/>
      <c r="H229" s="9"/>
      <c r="I229" s="9"/>
    </row>
    <row r="230" spans="1:9" ht="30" customHeight="1" x14ac:dyDescent="0.3">
      <c r="A230" s="5"/>
      <c r="B230" s="3"/>
      <c r="C230" s="9"/>
      <c r="D230" s="6"/>
      <c r="E230" s="8"/>
      <c r="F230" s="3"/>
      <c r="G230" s="3"/>
      <c r="H230" s="9"/>
      <c r="I230" s="9"/>
    </row>
    <row r="231" spans="1:9" ht="30" customHeight="1" x14ac:dyDescent="0.3">
      <c r="A231" s="5"/>
      <c r="B231" s="3"/>
      <c r="C231" s="9"/>
      <c r="D231" s="6"/>
      <c r="E231" s="8"/>
      <c r="F231" s="3"/>
      <c r="G231" s="3"/>
      <c r="H231" s="9"/>
      <c r="I231" s="9"/>
    </row>
    <row r="232" spans="1:9" ht="30" customHeight="1" x14ac:dyDescent="0.3">
      <c r="A232" s="5"/>
      <c r="B232" s="3"/>
      <c r="C232" s="9"/>
      <c r="D232" s="6"/>
      <c r="E232" s="8"/>
      <c r="F232" s="3"/>
      <c r="G232" s="3"/>
      <c r="H232" s="9"/>
      <c r="I232" s="9"/>
    </row>
    <row r="233" spans="1:9" ht="30" customHeight="1" x14ac:dyDescent="0.3">
      <c r="A233" s="5"/>
      <c r="B233" s="3"/>
      <c r="C233" s="9"/>
      <c r="D233" s="6"/>
      <c r="E233" s="8"/>
      <c r="F233" s="3"/>
      <c r="G233" s="3"/>
      <c r="H233" s="9"/>
      <c r="I233" s="9"/>
    </row>
    <row r="234" spans="1:9" ht="30" customHeight="1" x14ac:dyDescent="0.3">
      <c r="A234" s="5"/>
      <c r="B234" s="3"/>
      <c r="C234" s="9"/>
      <c r="D234" s="6"/>
      <c r="E234" s="8"/>
      <c r="F234" s="3"/>
      <c r="G234" s="3"/>
      <c r="H234" s="9"/>
      <c r="I234" s="9"/>
    </row>
    <row r="235" spans="1:9" ht="30" customHeight="1" x14ac:dyDescent="0.3">
      <c r="A235" s="5"/>
      <c r="B235" s="3"/>
      <c r="C235" s="9"/>
      <c r="D235" s="6"/>
      <c r="E235" s="8"/>
      <c r="F235" s="3"/>
      <c r="G235" s="3"/>
      <c r="H235" s="9"/>
      <c r="I235" s="9"/>
    </row>
    <row r="236" spans="1:9" ht="30" customHeight="1" x14ac:dyDescent="0.3">
      <c r="A236" s="5"/>
      <c r="B236" s="3"/>
      <c r="C236" s="9"/>
      <c r="D236" s="6"/>
      <c r="E236" s="8"/>
      <c r="F236" s="3"/>
      <c r="G236" s="3"/>
      <c r="H236" s="9"/>
      <c r="I236" s="9"/>
    </row>
    <row r="237" spans="1:9" ht="30" customHeight="1" x14ac:dyDescent="0.3">
      <c r="A237" s="5"/>
      <c r="B237" s="3"/>
      <c r="C237" s="9"/>
      <c r="D237" s="6"/>
      <c r="E237" s="8"/>
      <c r="F237" s="3"/>
      <c r="G237" s="3"/>
      <c r="H237" s="9"/>
      <c r="I237" s="9"/>
    </row>
    <row r="238" spans="1:9" ht="30" customHeight="1" x14ac:dyDescent="0.3">
      <c r="A238" s="5"/>
      <c r="B238" s="3"/>
      <c r="C238" s="9"/>
      <c r="D238" s="6"/>
      <c r="E238" s="8"/>
      <c r="F238" s="3"/>
      <c r="G238" s="3"/>
      <c r="H238" s="9"/>
      <c r="I238" s="9"/>
    </row>
    <row r="239" spans="1:9" ht="30" customHeight="1" x14ac:dyDescent="0.3">
      <c r="A239" s="5"/>
      <c r="B239" s="3"/>
      <c r="C239" s="9"/>
      <c r="D239" s="6"/>
      <c r="E239" s="8"/>
      <c r="F239" s="3"/>
      <c r="G239" s="3"/>
      <c r="H239" s="9"/>
      <c r="I239" s="9"/>
    </row>
    <row r="240" spans="1:9" ht="30" customHeight="1" x14ac:dyDescent="0.3">
      <c r="A240" s="5"/>
      <c r="B240" s="3"/>
      <c r="C240" s="9"/>
      <c r="D240" s="6"/>
      <c r="E240" s="8"/>
      <c r="F240" s="3"/>
      <c r="G240" s="3"/>
      <c r="H240" s="9"/>
      <c r="I240" s="9"/>
    </row>
    <row r="241" spans="1:9" ht="30" customHeight="1" x14ac:dyDescent="0.3">
      <c r="A241" s="5"/>
      <c r="B241" s="3"/>
      <c r="C241" s="9"/>
      <c r="D241" s="6"/>
      <c r="E241" s="8"/>
      <c r="F241" s="3"/>
      <c r="G241" s="3"/>
      <c r="H241" s="9"/>
      <c r="I241" s="9"/>
    </row>
    <row r="242" spans="1:9" ht="30" customHeight="1" x14ac:dyDescent="0.3">
      <c r="A242" s="5"/>
      <c r="B242" s="3"/>
      <c r="C242" s="9"/>
      <c r="D242" s="6"/>
      <c r="E242" s="8"/>
      <c r="F242" s="3"/>
      <c r="G242" s="3"/>
      <c r="H242" s="9"/>
      <c r="I242" s="9"/>
    </row>
    <row r="243" spans="1:9" ht="30" customHeight="1" x14ac:dyDescent="0.3">
      <c r="A243" s="5"/>
      <c r="B243" s="3"/>
      <c r="C243" s="9"/>
      <c r="D243" s="6"/>
      <c r="E243" s="8"/>
      <c r="F243" s="3"/>
      <c r="G243" s="3"/>
      <c r="H243" s="9"/>
      <c r="I243" s="9"/>
    </row>
    <row r="244" spans="1:9" ht="30" customHeight="1" x14ac:dyDescent="0.3">
      <c r="A244" s="5"/>
      <c r="B244" s="3"/>
      <c r="C244" s="9"/>
      <c r="D244" s="6"/>
      <c r="E244" s="8"/>
      <c r="F244" s="3"/>
      <c r="G244" s="3"/>
      <c r="H244" s="9"/>
      <c r="I244" s="9"/>
    </row>
    <row r="245" spans="1:9" ht="30" customHeight="1" x14ac:dyDescent="0.3">
      <c r="A245" s="5"/>
      <c r="B245" s="3"/>
      <c r="C245" s="9"/>
      <c r="D245" s="6"/>
      <c r="E245" s="8"/>
      <c r="F245" s="3"/>
      <c r="G245" s="3"/>
      <c r="H245" s="9"/>
      <c r="I245" s="9"/>
    </row>
    <row r="246" spans="1:9" ht="30" customHeight="1" x14ac:dyDescent="0.3">
      <c r="A246" s="5"/>
      <c r="B246" s="3"/>
      <c r="C246" s="9"/>
      <c r="D246" s="6"/>
      <c r="E246" s="8"/>
      <c r="F246" s="3"/>
      <c r="G246" s="3"/>
      <c r="H246" s="9"/>
      <c r="I246" s="9"/>
    </row>
    <row r="247" spans="1:9" ht="30" customHeight="1" x14ac:dyDescent="0.3">
      <c r="A247" s="5"/>
      <c r="B247" s="3"/>
      <c r="C247" s="9"/>
      <c r="D247" s="6"/>
      <c r="E247" s="8"/>
      <c r="F247" s="3"/>
      <c r="G247" s="3"/>
      <c r="H247" s="9"/>
      <c r="I247" s="9"/>
    </row>
    <row r="248" spans="1:9" ht="30" customHeight="1" x14ac:dyDescent="0.3">
      <c r="A248" s="5"/>
      <c r="B248" s="3"/>
      <c r="C248" s="9"/>
      <c r="D248" s="6"/>
      <c r="E248" s="8"/>
      <c r="F248" s="3"/>
      <c r="G248" s="3"/>
      <c r="H248" s="9"/>
      <c r="I248" s="9"/>
    </row>
    <row r="249" spans="1:9" ht="30" customHeight="1" x14ac:dyDescent="0.3">
      <c r="A249" s="5"/>
      <c r="B249" s="3"/>
      <c r="C249" s="9"/>
      <c r="D249" s="6"/>
      <c r="E249" s="8"/>
      <c r="F249" s="3"/>
      <c r="G249" s="3"/>
      <c r="H249" s="9"/>
      <c r="I249" s="9"/>
    </row>
    <row r="250" spans="1:9" ht="30" customHeight="1" x14ac:dyDescent="0.3">
      <c r="A250" s="5"/>
      <c r="B250" s="3"/>
      <c r="C250" s="9"/>
      <c r="D250" s="6"/>
      <c r="E250" s="8"/>
      <c r="F250" s="3"/>
      <c r="G250" s="3"/>
      <c r="H250" s="9"/>
      <c r="I250" s="9"/>
    </row>
    <row r="251" spans="1:9" ht="30" customHeight="1" x14ac:dyDescent="0.3">
      <c r="A251" s="5"/>
      <c r="B251" s="3"/>
      <c r="C251" s="9"/>
      <c r="D251" s="6"/>
      <c r="E251" s="8"/>
      <c r="F251" s="3"/>
      <c r="G251" s="3"/>
      <c r="H251" s="9"/>
      <c r="I251" s="9"/>
    </row>
    <row r="252" spans="1:9" ht="30" customHeight="1" x14ac:dyDescent="0.3">
      <c r="A252" s="5"/>
      <c r="B252" s="3"/>
      <c r="C252" s="9"/>
      <c r="D252" s="6"/>
      <c r="E252" s="8"/>
      <c r="F252" s="3"/>
      <c r="G252" s="3"/>
      <c r="H252" s="9"/>
      <c r="I252" s="9"/>
    </row>
    <row r="253" spans="1:9" ht="30" customHeight="1" x14ac:dyDescent="0.3">
      <c r="A253" s="5"/>
      <c r="B253" s="3"/>
      <c r="C253" s="9"/>
      <c r="D253" s="6"/>
      <c r="E253" s="8"/>
      <c r="F253" s="3"/>
      <c r="G253" s="3"/>
      <c r="H253" s="9"/>
      <c r="I253" s="9"/>
    </row>
    <row r="254" spans="1:9" ht="30" customHeight="1" x14ac:dyDescent="0.3">
      <c r="A254" s="5"/>
      <c r="B254" s="3"/>
      <c r="C254" s="9"/>
      <c r="D254" s="6"/>
      <c r="E254" s="8"/>
      <c r="F254" s="3"/>
      <c r="G254" s="3"/>
      <c r="H254" s="9"/>
      <c r="I254" s="9"/>
    </row>
    <row r="255" spans="1:9" ht="30" customHeight="1" x14ac:dyDescent="0.3">
      <c r="A255" s="5"/>
      <c r="B255" s="3"/>
      <c r="C255" s="9"/>
      <c r="D255" s="6"/>
      <c r="E255" s="8"/>
      <c r="F255" s="3"/>
      <c r="G255" s="3"/>
      <c r="H255" s="9"/>
      <c r="I255" s="9"/>
    </row>
    <row r="256" spans="1:9" ht="30" customHeight="1" x14ac:dyDescent="0.3">
      <c r="A256" s="5"/>
      <c r="B256" s="3"/>
      <c r="C256" s="9"/>
      <c r="D256" s="6"/>
      <c r="E256" s="8"/>
      <c r="F256" s="3"/>
      <c r="G256" s="3"/>
      <c r="H256" s="9"/>
      <c r="I256" s="9"/>
    </row>
    <row r="257" spans="1:9" ht="30" customHeight="1" x14ac:dyDescent="0.3">
      <c r="A257" s="5"/>
      <c r="B257" s="3"/>
      <c r="C257" s="9"/>
      <c r="D257" s="6"/>
      <c r="E257" s="8"/>
      <c r="F257" s="3"/>
      <c r="G257" s="3"/>
      <c r="H257" s="9"/>
      <c r="I257" s="9"/>
    </row>
    <row r="258" spans="1:9" ht="30" customHeight="1" x14ac:dyDescent="0.3">
      <c r="A258" s="5"/>
      <c r="B258" s="3"/>
      <c r="C258" s="9"/>
      <c r="D258" s="6"/>
      <c r="E258" s="8"/>
      <c r="F258" s="3"/>
      <c r="G258" s="3"/>
      <c r="H258" s="9"/>
      <c r="I258" s="9"/>
    </row>
    <row r="259" spans="1:9" ht="30" customHeight="1" x14ac:dyDescent="0.3">
      <c r="A259" s="5"/>
      <c r="B259" s="3"/>
      <c r="C259" s="9"/>
      <c r="D259" s="6"/>
      <c r="E259" s="8"/>
      <c r="F259" s="3"/>
      <c r="G259" s="3"/>
      <c r="H259" s="9"/>
      <c r="I259" s="9"/>
    </row>
    <row r="260" spans="1:9" ht="30" customHeight="1" x14ac:dyDescent="0.3">
      <c r="A260" s="5"/>
      <c r="B260" s="3"/>
      <c r="C260" s="9"/>
      <c r="D260" s="6"/>
      <c r="E260" s="8"/>
      <c r="F260" s="3"/>
      <c r="G260" s="3"/>
      <c r="H260" s="9"/>
      <c r="I260" s="9"/>
    </row>
    <row r="261" spans="1:9" ht="30" customHeight="1" x14ac:dyDescent="0.3">
      <c r="A261" s="5"/>
      <c r="B261" s="3"/>
      <c r="C261" s="9"/>
      <c r="D261" s="6"/>
      <c r="E261" s="8"/>
      <c r="F261" s="3"/>
      <c r="G261" s="3"/>
      <c r="H261" s="9"/>
      <c r="I261" s="9"/>
    </row>
    <row r="262" spans="1:9" ht="30" customHeight="1" x14ac:dyDescent="0.3">
      <c r="A262" s="5"/>
      <c r="B262" s="3"/>
      <c r="C262" s="9"/>
      <c r="D262" s="6"/>
      <c r="E262" s="8"/>
      <c r="F262" s="3"/>
      <c r="G262" s="3"/>
      <c r="H262" s="9"/>
      <c r="I262" s="9"/>
    </row>
    <row r="263" spans="1:9" ht="30" customHeight="1" x14ac:dyDescent="0.3">
      <c r="A263" s="5"/>
      <c r="B263" s="3"/>
      <c r="C263" s="9"/>
      <c r="D263" s="6"/>
      <c r="E263" s="8"/>
      <c r="F263" s="3"/>
      <c r="G263" s="3"/>
      <c r="H263" s="9"/>
      <c r="I263" s="9"/>
    </row>
    <row r="264" spans="1:9" ht="30" customHeight="1" x14ac:dyDescent="0.3">
      <c r="A264" s="5"/>
      <c r="B264" s="3"/>
      <c r="C264" s="9"/>
      <c r="D264" s="6"/>
      <c r="E264" s="8"/>
      <c r="F264" s="3"/>
      <c r="G264" s="3"/>
      <c r="H264" s="9"/>
      <c r="I264" s="9"/>
    </row>
    <row r="265" spans="1:9" ht="30" customHeight="1" x14ac:dyDescent="0.3">
      <c r="A265" s="5"/>
      <c r="B265" s="3"/>
      <c r="C265" s="9"/>
      <c r="D265" s="6"/>
      <c r="E265" s="8"/>
      <c r="F265" s="3"/>
      <c r="G265" s="3"/>
      <c r="H265" s="9"/>
      <c r="I265" s="9"/>
    </row>
    <row r="266" spans="1:9" ht="30" customHeight="1" x14ac:dyDescent="0.3">
      <c r="A266" s="5"/>
      <c r="B266" s="3"/>
      <c r="C266" s="9"/>
      <c r="D266" s="6"/>
      <c r="E266" s="8"/>
      <c r="F266" s="3"/>
      <c r="G266" s="3"/>
      <c r="H266" s="9"/>
      <c r="I266" s="9"/>
    </row>
    <row r="267" spans="1:9" ht="30" customHeight="1" x14ac:dyDescent="0.3">
      <c r="A267" s="5"/>
      <c r="B267" s="3"/>
      <c r="C267" s="9"/>
      <c r="D267" s="6"/>
      <c r="E267" s="8"/>
      <c r="F267" s="3"/>
      <c r="G267" s="3"/>
      <c r="H267" s="9"/>
      <c r="I267" s="9"/>
    </row>
    <row r="268" spans="1:9" ht="30" customHeight="1" x14ac:dyDescent="0.3">
      <c r="A268" s="5"/>
      <c r="B268" s="3"/>
      <c r="C268" s="9"/>
      <c r="D268" s="6"/>
      <c r="E268" s="8"/>
      <c r="F268" s="3"/>
      <c r="G268" s="3"/>
      <c r="H268" s="9"/>
      <c r="I268" s="9"/>
    </row>
    <row r="269" spans="1:9" ht="30" customHeight="1" x14ac:dyDescent="0.3">
      <c r="A269" s="5"/>
      <c r="B269" s="3"/>
      <c r="C269" s="9"/>
      <c r="D269" s="6"/>
      <c r="E269" s="8"/>
      <c r="F269" s="3"/>
      <c r="G269" s="3"/>
      <c r="H269" s="9"/>
      <c r="I269" s="9"/>
    </row>
    <row r="270" spans="1:9" ht="30" customHeight="1" x14ac:dyDescent="0.3">
      <c r="A270" s="5"/>
      <c r="B270" s="3"/>
      <c r="C270" s="9"/>
      <c r="D270" s="6"/>
      <c r="E270" s="8"/>
      <c r="F270" s="3"/>
      <c r="G270" s="3"/>
      <c r="H270" s="9"/>
      <c r="I270" s="9"/>
    </row>
    <row r="271" spans="1:9" ht="30" customHeight="1" x14ac:dyDescent="0.3">
      <c r="A271" s="5"/>
      <c r="B271" s="3"/>
      <c r="C271" s="9"/>
      <c r="D271" s="6"/>
      <c r="E271" s="8"/>
      <c r="F271" s="3"/>
      <c r="G271" s="3"/>
      <c r="H271" s="9"/>
      <c r="I271" s="9"/>
    </row>
    <row r="272" spans="1:9" ht="30" customHeight="1" x14ac:dyDescent="0.3">
      <c r="A272" s="5"/>
      <c r="B272" s="3"/>
      <c r="C272" s="9"/>
      <c r="D272" s="6"/>
      <c r="E272" s="8"/>
      <c r="F272" s="3"/>
      <c r="G272" s="3"/>
      <c r="H272" s="9"/>
      <c r="I272" s="9"/>
    </row>
    <row r="273" spans="1:9" ht="30" customHeight="1" x14ac:dyDescent="0.3">
      <c r="A273" s="5"/>
      <c r="B273" s="3"/>
      <c r="C273" s="9"/>
      <c r="D273" s="6"/>
      <c r="E273" s="8"/>
      <c r="F273" s="3"/>
      <c r="G273" s="3"/>
      <c r="H273" s="9"/>
      <c r="I273" s="9"/>
    </row>
    <row r="274" spans="1:9" ht="30" customHeight="1" x14ac:dyDescent="0.3">
      <c r="A274" s="5"/>
      <c r="B274" s="3"/>
      <c r="C274" s="9"/>
      <c r="D274" s="6"/>
      <c r="E274" s="8"/>
      <c r="F274" s="3"/>
      <c r="G274" s="3"/>
      <c r="H274" s="9"/>
      <c r="I274" s="9"/>
    </row>
    <row r="275" spans="1:9" ht="30" customHeight="1" x14ac:dyDescent="0.3">
      <c r="A275" s="2"/>
      <c r="B275" s="2"/>
      <c r="C275" s="9"/>
      <c r="D275" s="12"/>
      <c r="E275" s="10"/>
      <c r="F275" s="2"/>
      <c r="G275" s="2"/>
      <c r="H275" s="9"/>
      <c r="I275" s="9"/>
    </row>
    <row r="276" spans="1:9" ht="30" customHeight="1" x14ac:dyDescent="0.3">
      <c r="A276" s="2"/>
      <c r="B276" s="2"/>
      <c r="C276" s="9"/>
      <c r="D276" s="12"/>
      <c r="E276" s="10"/>
      <c r="F276" s="2"/>
      <c r="G276" s="2"/>
      <c r="H276" s="9"/>
      <c r="I276" s="9"/>
    </row>
    <row r="277" spans="1:9" ht="30" customHeight="1" x14ac:dyDescent="0.3">
      <c r="A277" s="2"/>
      <c r="B277" s="2"/>
      <c r="C277" s="9"/>
      <c r="D277" s="12"/>
      <c r="E277" s="10"/>
      <c r="F277" s="2"/>
      <c r="G277" s="2"/>
      <c r="H277" s="9"/>
      <c r="I277" s="9"/>
    </row>
    <row r="278" spans="1:9" ht="30" customHeight="1" x14ac:dyDescent="0.3">
      <c r="A278" s="2"/>
      <c r="B278" s="2"/>
      <c r="C278" s="9"/>
      <c r="D278" s="12"/>
      <c r="E278" s="10"/>
      <c r="F278" s="2"/>
      <c r="G278" s="2"/>
      <c r="H278" s="9"/>
      <c r="I278" s="9"/>
    </row>
    <row r="279" spans="1:9" ht="30" customHeight="1" x14ac:dyDescent="0.3">
      <c r="A279" s="2"/>
      <c r="B279" s="2"/>
      <c r="C279" s="9"/>
      <c r="D279" s="12"/>
      <c r="E279" s="10"/>
      <c r="F279" s="2"/>
      <c r="G279" s="2"/>
      <c r="H279" s="9"/>
      <c r="I279" s="9"/>
    </row>
    <row r="280" spans="1:9" ht="30" customHeight="1" x14ac:dyDescent="0.3">
      <c r="A280" s="2"/>
      <c r="B280" s="2"/>
      <c r="C280" s="9"/>
      <c r="D280" s="12"/>
      <c r="E280" s="10"/>
      <c r="F280" s="2"/>
      <c r="G280" s="2"/>
      <c r="H280" s="9"/>
      <c r="I280" s="9"/>
    </row>
    <row r="281" spans="1:9" ht="30" customHeight="1" x14ac:dyDescent="0.3">
      <c r="A281" s="2"/>
      <c r="B281" s="2"/>
      <c r="C281" s="9"/>
      <c r="D281" s="2"/>
      <c r="E281" s="10"/>
      <c r="F281" s="2"/>
      <c r="G281" s="2"/>
      <c r="H281" s="9"/>
      <c r="I281" s="9"/>
    </row>
    <row r="282" spans="1:9" ht="30" customHeight="1" x14ac:dyDescent="0.3">
      <c r="A282" s="2"/>
      <c r="B282" s="2"/>
      <c r="C282" s="9"/>
      <c r="D282" s="2"/>
      <c r="E282" s="10"/>
      <c r="F282" s="2"/>
      <c r="G282" s="2"/>
      <c r="H282" s="9"/>
      <c r="I282" s="9"/>
    </row>
    <row r="283" spans="1:9" x14ac:dyDescent="0.3">
      <c r="A283" s="9"/>
      <c r="B283" s="9"/>
      <c r="C283" s="9"/>
      <c r="D283" s="9"/>
      <c r="E283" s="9"/>
      <c r="F283" s="9"/>
      <c r="G283" s="9"/>
      <c r="H283" s="9"/>
      <c r="I283" s="9"/>
    </row>
    <row r="284" spans="1:9" x14ac:dyDescent="0.3">
      <c r="A284" s="9"/>
      <c r="B284" s="9"/>
      <c r="C284" s="9"/>
      <c r="D284" s="9"/>
      <c r="E284" s="9"/>
      <c r="F284" s="9"/>
      <c r="G284" s="9"/>
      <c r="H284" s="9"/>
      <c r="I284" s="9"/>
    </row>
    <row r="285" spans="1:9" x14ac:dyDescent="0.3">
      <c r="A285" s="9"/>
      <c r="B285" s="9"/>
      <c r="C285" s="9"/>
      <c r="D285" s="9"/>
      <c r="E285" s="9"/>
      <c r="F285" s="9"/>
      <c r="G285" s="9"/>
      <c r="H285" s="9"/>
      <c r="I285" s="9"/>
    </row>
    <row r="286" spans="1:9" x14ac:dyDescent="0.3">
      <c r="A286" s="9"/>
      <c r="B286" s="9"/>
      <c r="C286" s="9"/>
      <c r="D286" s="9"/>
      <c r="E286" s="9"/>
      <c r="F286" s="9"/>
      <c r="G286" s="9"/>
      <c r="H286" s="9"/>
      <c r="I286" s="9"/>
    </row>
    <row r="287" spans="1:9" x14ac:dyDescent="0.3">
      <c r="A287" s="9"/>
      <c r="B287" s="9"/>
      <c r="C287" s="9"/>
      <c r="D287" s="9"/>
      <c r="E287" s="9"/>
      <c r="F287" s="9"/>
      <c r="G287" s="9"/>
      <c r="H287" s="9"/>
      <c r="I287" s="9"/>
    </row>
    <row r="288" spans="1:9" x14ac:dyDescent="0.3">
      <c r="A288" s="9"/>
      <c r="B288" s="9"/>
      <c r="C288" s="9"/>
      <c r="D288" s="9"/>
      <c r="E288" s="9"/>
      <c r="F288" s="9"/>
      <c r="G288" s="9"/>
      <c r="H288" s="9"/>
      <c r="I288" s="9"/>
    </row>
    <row r="289" spans="1:9" x14ac:dyDescent="0.3">
      <c r="A289" s="9"/>
      <c r="B289" s="9"/>
      <c r="C289" s="9"/>
      <c r="D289" s="9"/>
      <c r="E289" s="9"/>
      <c r="F289" s="9"/>
      <c r="G289" s="9"/>
      <c r="H289" s="9"/>
      <c r="I289" s="9"/>
    </row>
    <row r="290" spans="1:9" x14ac:dyDescent="0.3">
      <c r="A290" s="9"/>
      <c r="B290" s="9"/>
      <c r="C290" s="9"/>
      <c r="D290" s="9"/>
      <c r="E290" s="9"/>
      <c r="F290" s="9"/>
      <c r="G290" s="9"/>
      <c r="H290" s="9"/>
      <c r="I290" s="9"/>
    </row>
    <row r="291" spans="1:9" x14ac:dyDescent="0.3">
      <c r="A291" s="9"/>
      <c r="B291" s="9"/>
      <c r="C291" s="9"/>
      <c r="D291" s="9"/>
      <c r="E291" s="9"/>
      <c r="F291" s="9"/>
      <c r="G291" s="9"/>
      <c r="H291" s="9"/>
      <c r="I291" s="9"/>
    </row>
    <row r="292" spans="1:9" x14ac:dyDescent="0.3">
      <c r="A292" s="9"/>
      <c r="B292" s="9"/>
      <c r="C292" s="9"/>
      <c r="D292" s="9"/>
      <c r="E292" s="9"/>
      <c r="F292" s="9"/>
      <c r="G292" s="9"/>
      <c r="H292" s="9"/>
      <c r="I292" s="9"/>
    </row>
    <row r="293" spans="1:9" x14ac:dyDescent="0.3">
      <c r="A293" s="9"/>
      <c r="B293" s="9"/>
      <c r="C293" s="9"/>
      <c r="D293" s="9"/>
      <c r="E293" s="9"/>
      <c r="F293" s="9"/>
      <c r="G293" s="9"/>
      <c r="H293" s="9"/>
      <c r="I293" s="9"/>
    </row>
    <row r="294" spans="1:9" x14ac:dyDescent="0.3">
      <c r="A294" s="9"/>
      <c r="B294" s="9"/>
      <c r="C294" s="9"/>
      <c r="D294" s="9"/>
      <c r="E294" s="9"/>
      <c r="F294" s="9"/>
      <c r="G294" s="9"/>
      <c r="H294" s="9"/>
      <c r="I294" s="9"/>
    </row>
    <row r="295" spans="1:9" x14ac:dyDescent="0.3">
      <c r="A295" s="9"/>
      <c r="B295" s="9"/>
      <c r="C295" s="9"/>
      <c r="D295" s="9"/>
      <c r="E295" s="9"/>
      <c r="F295" s="9"/>
      <c r="G295" s="9"/>
      <c r="H295" s="9"/>
      <c r="I295" s="9"/>
    </row>
    <row r="296" spans="1:9" x14ac:dyDescent="0.3">
      <c r="A296" s="9"/>
      <c r="B296" s="9"/>
      <c r="C296" s="9"/>
      <c r="D296" s="9"/>
      <c r="E296" s="9"/>
      <c r="F296" s="9"/>
      <c r="G296" s="9"/>
      <c r="H296" s="9"/>
      <c r="I296" s="9"/>
    </row>
    <row r="297" spans="1:9" x14ac:dyDescent="0.3">
      <c r="A297" s="9"/>
      <c r="B297" s="9"/>
      <c r="C297" s="9"/>
      <c r="D297" s="9"/>
      <c r="E297" s="9"/>
      <c r="F297" s="9"/>
      <c r="G297" s="9"/>
      <c r="H297" s="9"/>
      <c r="I297" s="9"/>
    </row>
    <row r="298" spans="1:9" x14ac:dyDescent="0.3">
      <c r="A298" s="9"/>
      <c r="B298" s="9"/>
      <c r="C298" s="9"/>
      <c r="D298" s="9"/>
      <c r="E298" s="9"/>
      <c r="F298" s="9"/>
      <c r="G298" s="9"/>
      <c r="H298" s="9"/>
      <c r="I298" s="9"/>
    </row>
    <row r="299" spans="1:9" x14ac:dyDescent="0.3">
      <c r="A299" s="9"/>
      <c r="B299" s="9"/>
      <c r="C299" s="9"/>
      <c r="D299" s="9"/>
      <c r="E299" s="9"/>
      <c r="F299" s="9"/>
      <c r="G299" s="9"/>
      <c r="H299" s="9"/>
      <c r="I299" s="9"/>
    </row>
    <row r="300" spans="1:9" x14ac:dyDescent="0.3">
      <c r="A300" s="9"/>
      <c r="B300" s="9"/>
      <c r="C300" s="9"/>
      <c r="D300" s="9"/>
      <c r="E300" s="9"/>
      <c r="F300" s="9"/>
      <c r="G300" s="9"/>
      <c r="H300" s="9"/>
      <c r="I300" s="9"/>
    </row>
    <row r="301" spans="1:9" x14ac:dyDescent="0.3">
      <c r="A301" s="9"/>
      <c r="B301" s="9"/>
      <c r="C301" s="9"/>
      <c r="D301" s="9"/>
      <c r="E301" s="9"/>
      <c r="F301" s="9"/>
      <c r="G301" s="9"/>
      <c r="H301" s="9"/>
      <c r="I301" s="9"/>
    </row>
    <row r="302" spans="1:9" x14ac:dyDescent="0.3">
      <c r="A302" s="9"/>
      <c r="B302" s="9"/>
      <c r="C302" s="9"/>
      <c r="D302" s="9"/>
      <c r="E302" s="9"/>
      <c r="F302" s="9"/>
      <c r="G302" s="9"/>
      <c r="H302" s="9"/>
      <c r="I302" s="9"/>
    </row>
    <row r="303" spans="1:9" x14ac:dyDescent="0.3">
      <c r="A303" s="9"/>
      <c r="B303" s="9"/>
      <c r="C303" s="9"/>
      <c r="D303" s="9"/>
      <c r="E303" s="9"/>
      <c r="F303" s="9"/>
      <c r="G303" s="9"/>
      <c r="H303" s="9"/>
      <c r="I303" s="9"/>
    </row>
    <row r="304" spans="1:9" x14ac:dyDescent="0.3">
      <c r="A304" s="9"/>
      <c r="B304" s="9"/>
      <c r="C304" s="9"/>
      <c r="D304" s="9"/>
      <c r="E304" s="9"/>
      <c r="F304" s="9"/>
      <c r="G304" s="9"/>
      <c r="H304" s="9"/>
      <c r="I304" s="9"/>
    </row>
    <row r="305" spans="1:9" x14ac:dyDescent="0.3">
      <c r="A305" s="9"/>
      <c r="B305" s="9"/>
      <c r="C305" s="9"/>
      <c r="D305" s="9"/>
      <c r="E305" s="9"/>
      <c r="F305" s="9"/>
      <c r="G305" s="9"/>
      <c r="H305" s="9"/>
      <c r="I305" s="9"/>
    </row>
    <row r="306" spans="1:9" x14ac:dyDescent="0.3">
      <c r="A306" s="9"/>
      <c r="B306" s="9"/>
      <c r="C306" s="9"/>
      <c r="D306" s="9"/>
      <c r="E306" s="9"/>
      <c r="F306" s="9"/>
      <c r="G306" s="9"/>
      <c r="H306" s="9"/>
      <c r="I306" s="9"/>
    </row>
    <row r="307" spans="1:9" x14ac:dyDescent="0.3">
      <c r="A307" s="9"/>
      <c r="B307" s="9"/>
      <c r="C307" s="9"/>
      <c r="D307" s="9"/>
      <c r="E307" s="9"/>
      <c r="F307" s="9"/>
      <c r="G307" s="9"/>
      <c r="H307" s="9"/>
      <c r="I307" s="9"/>
    </row>
    <row r="308" spans="1:9" x14ac:dyDescent="0.3">
      <c r="A308" s="9"/>
      <c r="B308" s="9"/>
      <c r="C308" s="9"/>
      <c r="D308" s="9"/>
      <c r="E308" s="9"/>
      <c r="F308" s="9"/>
      <c r="G308" s="9"/>
      <c r="H308" s="9"/>
      <c r="I308" s="9"/>
    </row>
    <row r="309" spans="1:9" x14ac:dyDescent="0.3">
      <c r="A309" s="9"/>
      <c r="B309" s="9"/>
      <c r="C309" s="9"/>
      <c r="D309" s="9"/>
      <c r="E309" s="9"/>
      <c r="F309" s="9"/>
      <c r="G309" s="9"/>
      <c r="H309" s="9"/>
      <c r="I309" s="9"/>
    </row>
    <row r="310" spans="1:9" x14ac:dyDescent="0.3">
      <c r="A310" s="9"/>
      <c r="B310" s="9"/>
      <c r="C310" s="9"/>
      <c r="D310" s="9"/>
      <c r="E310" s="9"/>
      <c r="F310" s="9"/>
      <c r="G310" s="9"/>
      <c r="H310" s="9"/>
      <c r="I310" s="9"/>
    </row>
    <row r="311" spans="1:9" x14ac:dyDescent="0.3">
      <c r="A311" s="9"/>
      <c r="B311" s="9"/>
      <c r="C311" s="9"/>
      <c r="D311" s="9"/>
      <c r="E311" s="9"/>
      <c r="F311" s="9"/>
      <c r="G311" s="9"/>
      <c r="H311" s="9"/>
      <c r="I311" s="9"/>
    </row>
    <row r="312" spans="1:9" x14ac:dyDescent="0.3">
      <c r="A312" s="9"/>
      <c r="B312" s="9"/>
      <c r="C312" s="9"/>
      <c r="D312" s="9"/>
      <c r="E312" s="9"/>
      <c r="F312" s="9"/>
      <c r="G312" s="9"/>
      <c r="H312" s="9"/>
      <c r="I312" s="9"/>
    </row>
    <row r="313" spans="1:9" x14ac:dyDescent="0.3">
      <c r="A313" s="9"/>
      <c r="B313" s="9"/>
      <c r="C313" s="9"/>
      <c r="D313" s="9"/>
      <c r="E313" s="9"/>
      <c r="F313" s="9"/>
      <c r="G313" s="9"/>
      <c r="H313" s="9"/>
      <c r="I313" s="9"/>
    </row>
    <row r="314" spans="1:9" x14ac:dyDescent="0.3">
      <c r="A314" s="9"/>
      <c r="B314" s="9"/>
      <c r="C314" s="9"/>
      <c r="D314" s="9"/>
      <c r="E314" s="9"/>
      <c r="F314" s="9"/>
      <c r="G314" s="9"/>
      <c r="H314" s="9"/>
      <c r="I314" s="9"/>
    </row>
    <row r="315" spans="1:9" x14ac:dyDescent="0.3">
      <c r="A315" s="9"/>
      <c r="B315" s="9"/>
      <c r="C315" s="9"/>
      <c r="D315" s="9"/>
      <c r="E315" s="9"/>
      <c r="F315" s="9"/>
      <c r="G315" s="9"/>
      <c r="H315" s="9"/>
      <c r="I315" s="9"/>
    </row>
    <row r="316" spans="1:9" x14ac:dyDescent="0.3">
      <c r="A316" s="9"/>
      <c r="B316" s="9"/>
      <c r="C316" s="9"/>
      <c r="D316" s="9"/>
      <c r="E316" s="9"/>
      <c r="F316" s="9"/>
      <c r="G316" s="9"/>
      <c r="H316" s="9"/>
      <c r="I316" s="9"/>
    </row>
    <row r="317" spans="1:9" x14ac:dyDescent="0.3">
      <c r="A317" s="9"/>
      <c r="B317" s="9"/>
      <c r="C317" s="9"/>
      <c r="D317" s="9"/>
      <c r="E317" s="9"/>
      <c r="F317" s="9"/>
      <c r="G317" s="9"/>
      <c r="H317" s="9"/>
      <c r="I317" s="9"/>
    </row>
    <row r="318" spans="1:9" x14ac:dyDescent="0.3">
      <c r="A318" s="9"/>
      <c r="B318" s="9"/>
      <c r="C318" s="9"/>
      <c r="D318" s="9"/>
      <c r="E318" s="9"/>
      <c r="F318" s="9"/>
      <c r="G318" s="9"/>
      <c r="H318" s="9"/>
      <c r="I318" s="9"/>
    </row>
    <row r="319" spans="1:9" x14ac:dyDescent="0.3">
      <c r="A319" s="9"/>
      <c r="B319" s="9"/>
      <c r="C319" s="9"/>
      <c r="D319" s="9"/>
      <c r="E319" s="9"/>
      <c r="F319" s="9"/>
      <c r="G319" s="9"/>
      <c r="H319" s="9"/>
      <c r="I319" s="9"/>
    </row>
    <row r="320" spans="1:9" x14ac:dyDescent="0.3">
      <c r="A320" s="9"/>
      <c r="B320" s="9"/>
      <c r="C320" s="9"/>
      <c r="D320" s="9"/>
      <c r="E320" s="9"/>
      <c r="F320" s="9"/>
      <c r="G320" s="9"/>
      <c r="H320" s="9"/>
      <c r="I320" s="9"/>
    </row>
    <row r="321" spans="1:9" x14ac:dyDescent="0.3">
      <c r="A321" s="9"/>
      <c r="B321" s="9"/>
      <c r="C321" s="9"/>
      <c r="D321" s="9"/>
      <c r="E321" s="9"/>
      <c r="F321" s="9"/>
      <c r="G321" s="9"/>
      <c r="H321" s="9"/>
      <c r="I321" s="9"/>
    </row>
    <row r="322" spans="1:9" x14ac:dyDescent="0.3">
      <c r="A322" s="9"/>
      <c r="B322" s="9"/>
      <c r="C322" s="9"/>
      <c r="D322" s="9"/>
      <c r="E322" s="9"/>
      <c r="F322" s="9"/>
      <c r="G322" s="9"/>
      <c r="H322" s="9"/>
      <c r="I322" s="9"/>
    </row>
    <row r="323" spans="1:9" x14ac:dyDescent="0.3">
      <c r="A323" s="9"/>
      <c r="B323" s="9"/>
      <c r="C323" s="9"/>
      <c r="D323" s="9"/>
      <c r="E323" s="9"/>
      <c r="F323" s="9"/>
      <c r="G323" s="9"/>
      <c r="H323" s="9"/>
      <c r="I323" s="9"/>
    </row>
    <row r="324" spans="1:9" x14ac:dyDescent="0.3">
      <c r="A324" s="9"/>
      <c r="B324" s="9"/>
      <c r="C324" s="9"/>
      <c r="D324" s="9"/>
      <c r="E324" s="9"/>
      <c r="F324" s="9"/>
      <c r="G324" s="9"/>
      <c r="H324" s="9"/>
      <c r="I324" s="9"/>
    </row>
    <row r="325" spans="1:9" x14ac:dyDescent="0.3">
      <c r="A325" s="9"/>
      <c r="B325" s="9"/>
      <c r="C325" s="9"/>
      <c r="D325" s="9"/>
      <c r="E325" s="9"/>
      <c r="F325" s="9"/>
      <c r="G325" s="9"/>
      <c r="H325" s="9"/>
      <c r="I325" s="9"/>
    </row>
    <row r="326" spans="1:9" x14ac:dyDescent="0.3">
      <c r="A326" s="9"/>
      <c r="B326" s="9"/>
      <c r="C326" s="9"/>
      <c r="D326" s="9"/>
      <c r="E326" s="9"/>
      <c r="F326" s="9"/>
      <c r="G326" s="9"/>
      <c r="H326" s="9"/>
      <c r="I326" s="9"/>
    </row>
    <row r="327" spans="1:9" x14ac:dyDescent="0.3">
      <c r="A327" s="9"/>
      <c r="B327" s="9"/>
      <c r="C327" s="9"/>
      <c r="D327" s="9"/>
      <c r="E327" s="9"/>
      <c r="F327" s="9"/>
      <c r="G327" s="9"/>
      <c r="H327" s="9"/>
      <c r="I327" s="9"/>
    </row>
    <row r="328" spans="1:9" x14ac:dyDescent="0.3">
      <c r="A328" s="9"/>
      <c r="B328" s="9"/>
      <c r="C328" s="9"/>
      <c r="D328" s="9"/>
      <c r="E328" s="9"/>
      <c r="F328" s="9"/>
      <c r="G328" s="9"/>
      <c r="H328" s="9"/>
      <c r="I328" s="9"/>
    </row>
    <row r="329" spans="1:9" x14ac:dyDescent="0.3">
      <c r="A329" s="9"/>
      <c r="B329" s="9"/>
      <c r="C329" s="9"/>
      <c r="D329" s="9"/>
      <c r="E329" s="9"/>
      <c r="F329" s="9"/>
      <c r="G329" s="9"/>
      <c r="H329" s="9"/>
      <c r="I329" s="9"/>
    </row>
    <row r="330" spans="1:9" x14ac:dyDescent="0.3">
      <c r="A330" s="9"/>
      <c r="B330" s="9"/>
      <c r="C330" s="9"/>
      <c r="D330" s="9"/>
      <c r="E330" s="9"/>
      <c r="F330" s="9"/>
      <c r="G330" s="9"/>
      <c r="H330" s="9"/>
      <c r="I330" s="9"/>
    </row>
    <row r="331" spans="1:9" x14ac:dyDescent="0.3">
      <c r="A331" s="9"/>
      <c r="B331" s="9"/>
      <c r="C331" s="9"/>
      <c r="D331" s="9"/>
      <c r="E331" s="9"/>
      <c r="F331" s="9"/>
      <c r="G331" s="9"/>
      <c r="H331" s="9"/>
      <c r="I331" s="9"/>
    </row>
    <row r="332" spans="1:9" x14ac:dyDescent="0.3">
      <c r="A332" s="9"/>
      <c r="B332" s="9"/>
      <c r="C332" s="9"/>
      <c r="D332" s="9"/>
      <c r="E332" s="9"/>
      <c r="F332" s="9"/>
      <c r="G332" s="9"/>
      <c r="H332" s="9"/>
      <c r="I332" s="9"/>
    </row>
    <row r="333" spans="1:9" x14ac:dyDescent="0.3">
      <c r="A333" s="9"/>
      <c r="B333" s="9"/>
      <c r="C333" s="9"/>
      <c r="D333" s="9"/>
      <c r="E333" s="9"/>
      <c r="F333" s="9"/>
      <c r="G333" s="9"/>
      <c r="H333" s="9"/>
      <c r="I333" s="9"/>
    </row>
    <row r="334" spans="1:9" x14ac:dyDescent="0.3">
      <c r="A334" s="9"/>
      <c r="B334" s="9"/>
      <c r="C334" s="9"/>
      <c r="D334" s="9"/>
      <c r="E334" s="9"/>
      <c r="F334" s="9"/>
      <c r="G334" s="9"/>
      <c r="H334" s="9"/>
      <c r="I334" s="9"/>
    </row>
    <row r="335" spans="1:9" x14ac:dyDescent="0.3">
      <c r="A335" s="9"/>
      <c r="B335" s="9"/>
      <c r="C335" s="9"/>
      <c r="D335" s="9"/>
      <c r="E335" s="9"/>
      <c r="F335" s="9"/>
      <c r="G335" s="9"/>
      <c r="H335" s="9"/>
      <c r="I335" s="9"/>
    </row>
    <row r="336" spans="1:9" x14ac:dyDescent="0.3">
      <c r="A336" s="9"/>
      <c r="B336" s="9"/>
      <c r="C336" s="9"/>
      <c r="D336" s="9"/>
      <c r="E336" s="9"/>
      <c r="F336" s="9"/>
      <c r="G336" s="9"/>
      <c r="H336" s="9"/>
      <c r="I336" s="9"/>
    </row>
    <row r="337" spans="1:9" x14ac:dyDescent="0.3">
      <c r="A337" s="9"/>
      <c r="B337" s="9"/>
      <c r="C337" s="9"/>
      <c r="D337" s="9"/>
      <c r="E337" s="9"/>
      <c r="F337" s="9"/>
      <c r="G337" s="9"/>
      <c r="H337" s="9"/>
      <c r="I337" s="9"/>
    </row>
    <row r="338" spans="1:9" x14ac:dyDescent="0.3">
      <c r="A338" s="9"/>
      <c r="B338" s="9"/>
      <c r="C338" s="9"/>
      <c r="D338" s="9"/>
      <c r="E338" s="9"/>
      <c r="F338" s="9"/>
      <c r="G338" s="9"/>
      <c r="H338" s="9"/>
      <c r="I338" s="9"/>
    </row>
    <row r="339" spans="1:9" x14ac:dyDescent="0.3">
      <c r="A339" s="9"/>
      <c r="B339" s="9"/>
      <c r="C339" s="9"/>
      <c r="D339" s="9"/>
      <c r="E339" s="9"/>
      <c r="F339" s="9"/>
      <c r="G339" s="9"/>
      <c r="H339" s="9"/>
      <c r="I339" s="9"/>
    </row>
    <row r="340" spans="1:9" x14ac:dyDescent="0.3">
      <c r="A340" s="9"/>
      <c r="B340" s="9"/>
      <c r="C340" s="9"/>
      <c r="D340" s="9"/>
      <c r="E340" s="9"/>
      <c r="F340" s="9"/>
      <c r="G340" s="9"/>
      <c r="H340" s="9"/>
      <c r="I340" s="9"/>
    </row>
    <row r="341" spans="1:9" x14ac:dyDescent="0.3">
      <c r="A341" s="9"/>
      <c r="B341" s="9"/>
      <c r="C341" s="9"/>
      <c r="D341" s="9"/>
      <c r="E341" s="9"/>
      <c r="F341" s="9"/>
      <c r="G341" s="9"/>
      <c r="H341" s="9"/>
      <c r="I341" s="9"/>
    </row>
    <row r="342" spans="1:9" x14ac:dyDescent="0.3">
      <c r="A342" s="9"/>
      <c r="B342" s="9"/>
      <c r="C342" s="9"/>
      <c r="D342" s="9"/>
      <c r="E342" s="9"/>
      <c r="F342" s="9"/>
      <c r="G342" s="9"/>
      <c r="H342" s="9"/>
      <c r="I342" s="9"/>
    </row>
    <row r="343" spans="1:9" x14ac:dyDescent="0.3">
      <c r="A343" s="9"/>
      <c r="B343" s="9"/>
      <c r="C343" s="9"/>
      <c r="D343" s="9"/>
      <c r="E343" s="9"/>
      <c r="F343" s="9"/>
      <c r="G343" s="9"/>
      <c r="H343" s="9"/>
      <c r="I343" s="9"/>
    </row>
    <row r="344" spans="1:9" x14ac:dyDescent="0.3">
      <c r="A344" s="9"/>
      <c r="B344" s="9"/>
      <c r="C344" s="9"/>
      <c r="D344" s="9"/>
      <c r="E344" s="9"/>
      <c r="F344" s="9"/>
      <c r="G344" s="9"/>
      <c r="H344" s="9"/>
      <c r="I344" s="9"/>
    </row>
    <row r="345" spans="1:9" x14ac:dyDescent="0.3">
      <c r="A345" s="9"/>
      <c r="B345" s="9"/>
      <c r="C345" s="9"/>
      <c r="D345" s="9"/>
      <c r="E345" s="9"/>
      <c r="F345" s="9"/>
      <c r="G345" s="9"/>
      <c r="H345" s="9"/>
      <c r="I345" s="9"/>
    </row>
    <row r="346" spans="1:9" x14ac:dyDescent="0.3">
      <c r="A346" s="9"/>
      <c r="B346" s="9"/>
      <c r="C346" s="9"/>
      <c r="D346" s="9"/>
      <c r="E346" s="9"/>
      <c r="F346" s="9"/>
      <c r="G346" s="9"/>
      <c r="H346" s="9"/>
      <c r="I346" s="9"/>
    </row>
    <row r="347" spans="1:9" x14ac:dyDescent="0.3">
      <c r="A347" s="9"/>
      <c r="B347" s="9"/>
      <c r="C347" s="9"/>
      <c r="D347" s="9"/>
      <c r="E347" s="9"/>
      <c r="F347" s="9"/>
      <c r="G347" s="9"/>
      <c r="H347" s="9"/>
      <c r="I347" s="9"/>
    </row>
    <row r="348" spans="1:9" x14ac:dyDescent="0.3">
      <c r="A348" s="9"/>
      <c r="B348" s="9"/>
      <c r="C348" s="9"/>
      <c r="D348" s="9"/>
      <c r="E348" s="9"/>
      <c r="F348" s="9"/>
      <c r="G348" s="9"/>
      <c r="H348" s="9"/>
      <c r="I348" s="9"/>
    </row>
    <row r="349" spans="1:9" x14ac:dyDescent="0.3">
      <c r="A349" s="9"/>
      <c r="B349" s="9"/>
      <c r="C349" s="9"/>
      <c r="D349" s="9"/>
      <c r="E349" s="9"/>
      <c r="F349" s="9"/>
      <c r="G349" s="9"/>
      <c r="H349" s="9"/>
      <c r="I349" s="9"/>
    </row>
    <row r="350" spans="1:9" x14ac:dyDescent="0.3">
      <c r="A350" s="9"/>
      <c r="B350" s="9"/>
      <c r="C350" s="9"/>
      <c r="D350" s="9"/>
      <c r="E350" s="9"/>
      <c r="F350" s="9"/>
      <c r="G350" s="9"/>
      <c r="H350" s="9"/>
      <c r="I350" s="9"/>
    </row>
    <row r="351" spans="1:9" x14ac:dyDescent="0.3">
      <c r="A351" s="9"/>
      <c r="B351" s="9"/>
      <c r="C351" s="9"/>
      <c r="D351" s="9"/>
      <c r="E351" s="9"/>
      <c r="F351" s="9"/>
      <c r="G351" s="9"/>
      <c r="H351" s="9"/>
      <c r="I351" s="9"/>
    </row>
    <row r="352" spans="1:9" x14ac:dyDescent="0.3">
      <c r="A352" s="9"/>
      <c r="B352" s="9"/>
      <c r="C352" s="9"/>
      <c r="D352" s="9"/>
      <c r="E352" s="9"/>
      <c r="F352" s="9"/>
      <c r="G352" s="9"/>
      <c r="H352" s="9"/>
      <c r="I352" s="9"/>
    </row>
    <row r="353" spans="1:9" x14ac:dyDescent="0.3">
      <c r="A353" s="9"/>
      <c r="B353" s="9"/>
      <c r="C353" s="9"/>
      <c r="D353" s="9"/>
      <c r="E353" s="9"/>
      <c r="F353" s="9"/>
      <c r="G353" s="9"/>
      <c r="H353" s="9"/>
      <c r="I353" s="9"/>
    </row>
    <row r="354" spans="1:9" x14ac:dyDescent="0.3">
      <c r="A354" s="9"/>
      <c r="B354" s="9"/>
      <c r="C354" s="9"/>
      <c r="D354" s="9"/>
      <c r="E354" s="9"/>
      <c r="F354" s="9"/>
      <c r="G354" s="9"/>
      <c r="H354" s="9"/>
      <c r="I354" s="9"/>
    </row>
    <row r="355" spans="1:9" x14ac:dyDescent="0.3">
      <c r="A355" s="9"/>
      <c r="B355" s="9"/>
      <c r="C355" s="9"/>
      <c r="D355" s="9"/>
      <c r="E355" s="9"/>
      <c r="F355" s="9"/>
      <c r="G355" s="9"/>
      <c r="H355" s="9"/>
      <c r="I355" s="9"/>
    </row>
    <row r="356" spans="1:9" x14ac:dyDescent="0.3">
      <c r="A356" s="9"/>
      <c r="B356" s="9"/>
      <c r="C356" s="9"/>
      <c r="D356" s="9"/>
      <c r="E356" s="9"/>
      <c r="F356" s="9"/>
      <c r="G356" s="9"/>
      <c r="H356" s="9"/>
      <c r="I356" s="9"/>
    </row>
    <row r="357" spans="1:9" x14ac:dyDescent="0.3">
      <c r="A357" s="9"/>
      <c r="B357" s="9"/>
      <c r="C357" s="9"/>
      <c r="D357" s="9"/>
      <c r="E357" s="9"/>
      <c r="F357" s="9"/>
      <c r="G357" s="9"/>
      <c r="H357" s="9"/>
      <c r="I357" s="9"/>
    </row>
    <row r="358" spans="1:9" x14ac:dyDescent="0.3">
      <c r="A358" s="9"/>
      <c r="B358" s="9"/>
      <c r="C358" s="9"/>
      <c r="D358" s="9"/>
      <c r="E358" s="9"/>
      <c r="F358" s="9"/>
      <c r="G358" s="9"/>
      <c r="H358" s="9"/>
      <c r="I358" s="9"/>
    </row>
    <row r="359" spans="1:9" x14ac:dyDescent="0.3">
      <c r="A359" s="9"/>
      <c r="B359" s="9"/>
      <c r="C359" s="9"/>
      <c r="D359" s="9"/>
      <c r="E359" s="9"/>
      <c r="F359" s="9"/>
      <c r="G359" s="9"/>
      <c r="H359" s="9"/>
      <c r="I359" s="9"/>
    </row>
    <row r="360" spans="1:9" x14ac:dyDescent="0.3">
      <c r="A360" s="9"/>
      <c r="B360" s="9"/>
      <c r="C360" s="9"/>
      <c r="D360" s="9"/>
      <c r="E360" s="9"/>
      <c r="F360" s="9"/>
      <c r="G360" s="9"/>
      <c r="H360" s="9"/>
      <c r="I360" s="9"/>
    </row>
    <row r="361" spans="1:9" x14ac:dyDescent="0.3">
      <c r="A361" s="9"/>
      <c r="B361" s="9"/>
      <c r="C361" s="9"/>
      <c r="D361" s="9"/>
      <c r="E361" s="9"/>
      <c r="F361" s="9"/>
      <c r="G361" s="9"/>
      <c r="H361" s="9"/>
      <c r="I361" s="9"/>
    </row>
    <row r="362" spans="1:9" x14ac:dyDescent="0.3">
      <c r="A362" s="9"/>
      <c r="B362" s="9"/>
      <c r="C362" s="9"/>
      <c r="D362" s="9"/>
      <c r="E362" s="9"/>
      <c r="F362" s="9"/>
      <c r="G362" s="9"/>
      <c r="H362" s="9"/>
      <c r="I362" s="9"/>
    </row>
    <row r="363" spans="1:9" x14ac:dyDescent="0.3">
      <c r="A363" s="9"/>
      <c r="B363" s="9"/>
      <c r="C363" s="9"/>
      <c r="D363" s="9"/>
      <c r="E363" s="9"/>
      <c r="F363" s="9"/>
      <c r="G363" s="9"/>
      <c r="H363" s="9"/>
      <c r="I363" s="9"/>
    </row>
    <row r="364" spans="1:9" x14ac:dyDescent="0.3">
      <c r="A364" s="9"/>
      <c r="B364" s="9"/>
      <c r="C364" s="9"/>
      <c r="D364" s="9"/>
      <c r="E364" s="9"/>
      <c r="F364" s="9"/>
      <c r="G364" s="9"/>
      <c r="H364" s="9"/>
      <c r="I364" s="9"/>
    </row>
    <row r="365" spans="1:9" x14ac:dyDescent="0.3">
      <c r="A365" s="9"/>
      <c r="B365" s="9"/>
      <c r="C365" s="9"/>
      <c r="D365" s="9"/>
      <c r="E365" s="9"/>
      <c r="F365" s="9"/>
      <c r="G365" s="9"/>
      <c r="H365" s="9"/>
      <c r="I365" s="9"/>
    </row>
    <row r="366" spans="1:9" x14ac:dyDescent="0.3">
      <c r="A366" s="9"/>
      <c r="B366" s="9"/>
      <c r="C366" s="9"/>
      <c r="D366" s="9"/>
      <c r="E366" s="9"/>
      <c r="F366" s="9"/>
      <c r="G366" s="9"/>
      <c r="H366" s="9"/>
      <c r="I366" s="9"/>
    </row>
    <row r="367" spans="1:9" x14ac:dyDescent="0.3">
      <c r="A367" s="9"/>
      <c r="B367" s="9"/>
      <c r="C367" s="9"/>
      <c r="D367" s="9"/>
      <c r="E367" s="9"/>
      <c r="F367" s="9"/>
      <c r="G367" s="9"/>
      <c r="H367" s="9"/>
      <c r="I367" s="9"/>
    </row>
    <row r="368" spans="1:9" x14ac:dyDescent="0.3">
      <c r="A368" s="9"/>
      <c r="B368" s="9"/>
      <c r="C368" s="9"/>
      <c r="D368" s="9"/>
      <c r="E368" s="9"/>
      <c r="F368" s="9"/>
      <c r="G368" s="9"/>
      <c r="H368" s="9"/>
      <c r="I368" s="9"/>
    </row>
    <row r="369" spans="1:9" x14ac:dyDescent="0.3">
      <c r="A369" s="9"/>
      <c r="B369" s="9"/>
      <c r="C369" s="9"/>
      <c r="D369" s="9"/>
      <c r="E369" s="9"/>
      <c r="F369" s="9"/>
      <c r="G369" s="9"/>
      <c r="H369" s="9"/>
      <c r="I369" s="9"/>
    </row>
    <row r="370" spans="1:9" x14ac:dyDescent="0.3">
      <c r="A370" s="9"/>
      <c r="B370" s="9"/>
      <c r="C370" s="9"/>
      <c r="D370" s="9"/>
      <c r="E370" s="9"/>
      <c r="F370" s="9"/>
      <c r="G370" s="9"/>
      <c r="H370" s="9"/>
      <c r="I370" s="9"/>
    </row>
    <row r="371" spans="1:9" x14ac:dyDescent="0.3">
      <c r="A371" s="9"/>
      <c r="B371" s="9"/>
      <c r="C371" s="9"/>
      <c r="D371" s="9"/>
      <c r="E371" s="9"/>
      <c r="F371" s="9"/>
      <c r="G371" s="9"/>
      <c r="H371" s="9"/>
      <c r="I371" s="9"/>
    </row>
    <row r="372" spans="1:9" x14ac:dyDescent="0.3">
      <c r="A372" s="9"/>
      <c r="B372" s="9"/>
      <c r="C372" s="9"/>
      <c r="D372" s="9"/>
      <c r="E372" s="9"/>
      <c r="F372" s="9"/>
      <c r="G372" s="9"/>
      <c r="H372" s="9"/>
      <c r="I372" s="9"/>
    </row>
    <row r="373" spans="1:9" x14ac:dyDescent="0.3">
      <c r="A373" s="9"/>
      <c r="B373" s="9"/>
      <c r="C373" s="9"/>
      <c r="D373" s="9"/>
      <c r="E373" s="9"/>
      <c r="F373" s="9"/>
      <c r="G373" s="9"/>
      <c r="H373" s="9"/>
      <c r="I373" s="9"/>
    </row>
    <row r="374" spans="1:9" x14ac:dyDescent="0.3">
      <c r="A374" s="9"/>
      <c r="B374" s="9"/>
      <c r="C374" s="9"/>
      <c r="D374" s="9"/>
      <c r="E374" s="9"/>
      <c r="F374" s="9"/>
      <c r="G374" s="9"/>
      <c r="H374" s="9"/>
      <c r="I374" s="9"/>
    </row>
    <row r="375" spans="1:9" x14ac:dyDescent="0.3">
      <c r="A375" s="9"/>
      <c r="B375" s="9"/>
      <c r="C375" s="9"/>
      <c r="D375" s="9"/>
      <c r="E375" s="9"/>
      <c r="F375" s="9"/>
      <c r="G375" s="9"/>
      <c r="H375" s="9"/>
      <c r="I375" s="9"/>
    </row>
    <row r="376" spans="1:9" x14ac:dyDescent="0.3">
      <c r="A376" s="9"/>
      <c r="B376" s="9"/>
      <c r="C376" s="9"/>
      <c r="D376" s="9"/>
      <c r="E376" s="9"/>
      <c r="F376" s="9"/>
      <c r="G376" s="9"/>
      <c r="H376" s="9"/>
      <c r="I376" s="9"/>
    </row>
    <row r="377" spans="1:9" x14ac:dyDescent="0.3">
      <c r="A377" s="9"/>
      <c r="B377" s="9"/>
      <c r="C377" s="9"/>
      <c r="D377" s="9"/>
      <c r="E377" s="9"/>
      <c r="F377" s="9"/>
      <c r="G377" s="9"/>
      <c r="H377" s="9"/>
      <c r="I377" s="9"/>
    </row>
    <row r="378" spans="1:9" x14ac:dyDescent="0.3">
      <c r="A378" s="9"/>
      <c r="B378" s="9"/>
      <c r="C378" s="9"/>
      <c r="D378" s="9"/>
      <c r="E378" s="9"/>
      <c r="F378" s="9"/>
      <c r="G378" s="9"/>
      <c r="H378" s="9"/>
      <c r="I378" s="9"/>
    </row>
    <row r="379" spans="1:9" x14ac:dyDescent="0.3">
      <c r="A379" s="9"/>
      <c r="B379" s="9"/>
      <c r="C379" s="9"/>
      <c r="D379" s="9"/>
      <c r="E379" s="9"/>
      <c r="F379" s="9"/>
      <c r="G379" s="9"/>
      <c r="H379" s="9"/>
      <c r="I379" s="9"/>
    </row>
    <row r="380" spans="1:9" x14ac:dyDescent="0.3">
      <c r="A380" s="9"/>
      <c r="B380" s="9"/>
      <c r="C380" s="9"/>
      <c r="D380" s="9"/>
      <c r="E380" s="9"/>
      <c r="F380" s="9"/>
      <c r="G380" s="9"/>
      <c r="H380" s="9"/>
      <c r="I380" s="9"/>
    </row>
    <row r="381" spans="1:9" x14ac:dyDescent="0.3">
      <c r="A381" s="9"/>
      <c r="B381" s="9"/>
      <c r="C381" s="9"/>
      <c r="D381" s="9"/>
      <c r="E381" s="9"/>
      <c r="F381" s="9"/>
      <c r="G381" s="9"/>
      <c r="H381" s="9"/>
      <c r="I381" s="9"/>
    </row>
    <row r="382" spans="1:9" x14ac:dyDescent="0.3">
      <c r="A382" s="9"/>
      <c r="B382" s="9"/>
      <c r="C382" s="9"/>
      <c r="D382" s="9"/>
      <c r="E382" s="9"/>
      <c r="F382" s="9"/>
      <c r="G382" s="9"/>
      <c r="H382" s="9"/>
      <c r="I382" s="9"/>
    </row>
    <row r="383" spans="1:9" x14ac:dyDescent="0.3">
      <c r="A383" s="9"/>
      <c r="B383" s="9"/>
      <c r="C383" s="9"/>
      <c r="D383" s="9"/>
      <c r="E383" s="9"/>
      <c r="F383" s="9"/>
      <c r="G383" s="9"/>
      <c r="H383" s="9"/>
      <c r="I383" s="9"/>
    </row>
    <row r="384" spans="1:9" x14ac:dyDescent="0.3">
      <c r="A384" s="9"/>
      <c r="B384" s="9"/>
      <c r="C384" s="9"/>
      <c r="D384" s="9"/>
      <c r="E384" s="9"/>
      <c r="F384" s="9"/>
      <c r="G384" s="9"/>
      <c r="H384" s="9"/>
      <c r="I384" s="9"/>
    </row>
    <row r="385" spans="1:9" x14ac:dyDescent="0.3">
      <c r="A385" s="9"/>
      <c r="B385" s="9"/>
      <c r="C385" s="9"/>
      <c r="D385" s="9"/>
      <c r="E385" s="9"/>
      <c r="F385" s="9"/>
      <c r="G385" s="9"/>
      <c r="H385" s="9"/>
      <c r="I385" s="9"/>
    </row>
    <row r="386" spans="1:9" x14ac:dyDescent="0.3">
      <c r="A386" s="9"/>
      <c r="B386" s="9"/>
      <c r="C386" s="9"/>
      <c r="D386" s="9"/>
      <c r="E386" s="9"/>
      <c r="F386" s="9"/>
      <c r="G386" s="9"/>
      <c r="H386" s="9"/>
      <c r="I386" s="9"/>
    </row>
    <row r="387" spans="1:9" x14ac:dyDescent="0.3">
      <c r="A387" s="9"/>
      <c r="B387" s="9"/>
      <c r="C387" s="9"/>
      <c r="D387" s="9"/>
      <c r="E387" s="9"/>
      <c r="F387" s="9"/>
      <c r="G387" s="9"/>
      <c r="H387" s="9"/>
      <c r="I387" s="9"/>
    </row>
    <row r="388" spans="1:9" x14ac:dyDescent="0.3">
      <c r="A388" s="9"/>
      <c r="B388" s="9"/>
      <c r="C388" s="9"/>
      <c r="D388" s="9"/>
      <c r="E388" s="9"/>
      <c r="F388" s="9"/>
      <c r="G388" s="9"/>
      <c r="H388" s="9"/>
      <c r="I388" s="9"/>
    </row>
    <row r="389" spans="1:9" x14ac:dyDescent="0.3">
      <c r="A389" s="9"/>
      <c r="B389" s="9"/>
      <c r="C389" s="9"/>
      <c r="D389" s="9"/>
      <c r="E389" s="9"/>
      <c r="F389" s="9"/>
      <c r="G389" s="9"/>
      <c r="H389" s="9"/>
      <c r="I389" s="9"/>
    </row>
    <row r="390" spans="1:9" x14ac:dyDescent="0.3">
      <c r="A390" s="9"/>
      <c r="B390" s="9"/>
      <c r="C390" s="9"/>
      <c r="D390" s="9"/>
      <c r="E390" s="9"/>
      <c r="F390" s="9"/>
      <c r="G390" s="9"/>
      <c r="H390" s="9"/>
      <c r="I390" s="9"/>
    </row>
    <row r="391" spans="1:9" x14ac:dyDescent="0.3">
      <c r="A391" s="9"/>
      <c r="B391" s="9"/>
      <c r="C391" s="9"/>
      <c r="D391" s="9"/>
      <c r="E391" s="9"/>
      <c r="F391" s="9"/>
      <c r="G391" s="9"/>
      <c r="H391" s="9"/>
      <c r="I391" s="9"/>
    </row>
    <row r="392" spans="1:9" x14ac:dyDescent="0.3">
      <c r="A392" s="9"/>
      <c r="B392" s="9"/>
      <c r="C392" s="9"/>
      <c r="D392" s="9"/>
      <c r="E392" s="9"/>
      <c r="F392" s="9"/>
      <c r="G392" s="9"/>
      <c r="H392" s="9"/>
      <c r="I392" s="9"/>
    </row>
    <row r="393" spans="1:9" x14ac:dyDescent="0.3">
      <c r="A393" s="9"/>
      <c r="B393" s="9"/>
      <c r="C393" s="9"/>
      <c r="D393" s="9"/>
      <c r="E393" s="9"/>
      <c r="F393" s="9"/>
      <c r="G393" s="9"/>
      <c r="H393" s="9"/>
      <c r="I393" s="9"/>
    </row>
    <row r="394" spans="1:9" x14ac:dyDescent="0.3">
      <c r="A394" s="9"/>
      <c r="B394" s="9"/>
      <c r="C394" s="9"/>
      <c r="D394" s="9"/>
      <c r="E394" s="9"/>
      <c r="F394" s="9"/>
      <c r="G394" s="9"/>
      <c r="H394" s="9"/>
      <c r="I394" s="9"/>
    </row>
    <row r="395" spans="1:9" x14ac:dyDescent="0.3">
      <c r="A395" s="9"/>
      <c r="B395" s="9"/>
      <c r="C395" s="9"/>
      <c r="D395" s="9"/>
      <c r="E395" s="9"/>
      <c r="F395" s="9"/>
      <c r="G395" s="9"/>
      <c r="H395" s="9"/>
      <c r="I395" s="9"/>
    </row>
    <row r="396" spans="1:9" x14ac:dyDescent="0.3">
      <c r="A396" s="9"/>
      <c r="B396" s="9"/>
      <c r="C396" s="9"/>
      <c r="D396" s="9"/>
      <c r="E396" s="9"/>
      <c r="F396" s="9"/>
      <c r="G396" s="9"/>
      <c r="H396" s="9"/>
      <c r="I396" s="9"/>
    </row>
    <row r="397" spans="1:9" x14ac:dyDescent="0.3">
      <c r="A397" s="9"/>
      <c r="B397" s="9"/>
      <c r="C397" s="9"/>
      <c r="D397" s="9"/>
      <c r="E397" s="9"/>
      <c r="F397" s="9"/>
      <c r="G397" s="9"/>
      <c r="H397" s="9"/>
      <c r="I397" s="9"/>
    </row>
    <row r="398" spans="1:9" x14ac:dyDescent="0.3">
      <c r="A398" s="9"/>
      <c r="B398" s="9"/>
      <c r="C398" s="9"/>
      <c r="D398" s="9"/>
      <c r="E398" s="9"/>
      <c r="F398" s="9"/>
      <c r="G398" s="9"/>
      <c r="H398" s="9"/>
      <c r="I398" s="9"/>
    </row>
    <row r="399" spans="1:9" x14ac:dyDescent="0.3">
      <c r="A399" s="9"/>
      <c r="B399" s="9"/>
      <c r="C399" s="9"/>
      <c r="D399" s="9"/>
      <c r="E399" s="9"/>
      <c r="F399" s="9"/>
      <c r="G399" s="9"/>
      <c r="H399" s="9"/>
      <c r="I399" s="9"/>
    </row>
    <row r="400" spans="1:9" x14ac:dyDescent="0.3">
      <c r="A400" s="9"/>
      <c r="B400" s="9"/>
      <c r="C400" s="9"/>
      <c r="D400" s="9"/>
      <c r="E400" s="9"/>
      <c r="F400" s="9"/>
      <c r="G400" s="9"/>
      <c r="H400" s="9"/>
      <c r="I400" s="9"/>
    </row>
    <row r="401" spans="1:9" x14ac:dyDescent="0.3">
      <c r="A401" s="9"/>
      <c r="B401" s="9"/>
      <c r="C401" s="9"/>
      <c r="D401" s="9"/>
      <c r="E401" s="9"/>
      <c r="F401" s="9"/>
      <c r="G401" s="9"/>
      <c r="H401" s="9"/>
      <c r="I401" s="9"/>
    </row>
    <row r="402" spans="1:9" x14ac:dyDescent="0.3">
      <c r="A402" s="9"/>
      <c r="B402" s="9"/>
      <c r="C402" s="9"/>
      <c r="D402" s="9"/>
      <c r="E402" s="9"/>
      <c r="F402" s="9"/>
      <c r="G402" s="9"/>
      <c r="H402" s="9"/>
      <c r="I402" s="9"/>
    </row>
    <row r="403" spans="1:9" x14ac:dyDescent="0.3">
      <c r="A403" s="9"/>
      <c r="B403" s="9"/>
      <c r="C403" s="9"/>
      <c r="D403" s="9"/>
      <c r="E403" s="9"/>
      <c r="F403" s="9"/>
      <c r="G403" s="9"/>
      <c r="H403" s="9"/>
    </row>
    <row r="404" spans="1:9" x14ac:dyDescent="0.3">
      <c r="A404" s="9"/>
      <c r="B404" s="9"/>
      <c r="C404" s="9"/>
      <c r="D404" s="9"/>
      <c r="E404" s="9"/>
      <c r="F404" s="9"/>
      <c r="G404" s="9"/>
      <c r="H404" s="9"/>
    </row>
    <row r="405" spans="1:9" x14ac:dyDescent="0.3">
      <c r="A405" s="9"/>
      <c r="B405" s="9"/>
      <c r="C405" s="9"/>
      <c r="D405" s="9"/>
      <c r="E405" s="9"/>
      <c r="F405" s="9"/>
      <c r="G405" s="9"/>
      <c r="H405" s="9"/>
    </row>
    <row r="406" spans="1:9" x14ac:dyDescent="0.3">
      <c r="A406" s="9"/>
      <c r="B406" s="9"/>
      <c r="C406" s="9"/>
      <c r="D406" s="9"/>
      <c r="E406" s="9"/>
      <c r="F406" s="9"/>
      <c r="G406" s="9"/>
      <c r="H406" s="9"/>
    </row>
    <row r="407" spans="1:9" x14ac:dyDescent="0.3">
      <c r="A407" s="9"/>
      <c r="B407" s="9"/>
      <c r="C407" s="9"/>
      <c r="D407" s="9"/>
      <c r="E407" s="9"/>
      <c r="F407" s="9"/>
      <c r="G407" s="9"/>
      <c r="H407" s="9"/>
    </row>
    <row r="408" spans="1:9" x14ac:dyDescent="0.3">
      <c r="A408" s="9"/>
      <c r="B408" s="9"/>
      <c r="C408" s="9"/>
      <c r="D408" s="9"/>
      <c r="E408" s="9"/>
      <c r="F408" s="9"/>
      <c r="G408" s="9"/>
      <c r="H408" s="9"/>
    </row>
    <row r="409" spans="1:9" x14ac:dyDescent="0.3">
      <c r="A409" s="9"/>
      <c r="B409" s="9"/>
      <c r="C409" s="9"/>
      <c r="D409" s="9"/>
      <c r="E409" s="9"/>
      <c r="F409" s="9"/>
      <c r="G409" s="9"/>
      <c r="H409" s="9"/>
    </row>
    <row r="410" spans="1:9" x14ac:dyDescent="0.3">
      <c r="A410" s="9"/>
      <c r="B410" s="9"/>
      <c r="C410" s="9"/>
      <c r="D410" s="9"/>
      <c r="E410" s="9"/>
      <c r="F410" s="9"/>
      <c r="G410" s="9"/>
      <c r="H410" s="9"/>
    </row>
    <row r="411" spans="1:9" x14ac:dyDescent="0.3">
      <c r="A411" s="9"/>
      <c r="B411" s="9"/>
      <c r="C411" s="9"/>
      <c r="D411" s="9"/>
      <c r="E411" s="9"/>
      <c r="F411" s="9"/>
      <c r="G411" s="9"/>
      <c r="H411" s="9"/>
    </row>
    <row r="412" spans="1:9" x14ac:dyDescent="0.3">
      <c r="A412" s="9"/>
      <c r="B412" s="9"/>
      <c r="C412" s="9"/>
      <c r="D412" s="9"/>
      <c r="E412" s="9"/>
      <c r="F412" s="9"/>
      <c r="G412" s="9"/>
      <c r="H412" s="9"/>
    </row>
  </sheetData>
  <mergeCells count="9">
    <mergeCell ref="I3:I4"/>
    <mergeCell ref="A1:H1"/>
    <mergeCell ref="A3:B3"/>
    <mergeCell ref="C3:C4"/>
    <mergeCell ref="D3:D4"/>
    <mergeCell ref="E3:E4"/>
    <mergeCell ref="F3:F4"/>
    <mergeCell ref="G3:G4"/>
    <mergeCell ref="H3:H4"/>
  </mergeCells>
  <pageMargins left="0.7" right="0.7" top="0.75" bottom="0.75" header="0.3" footer="0.3"/>
  <pageSetup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D8151-B79B-4D09-86F7-EE3B39329199}">
  <dimension ref="A1:H412"/>
  <sheetViews>
    <sheetView zoomScale="70" zoomScaleNormal="70" workbookViewId="0">
      <pane ySplit="4" topLeftCell="A41" activePane="bottomLeft" state="frozen"/>
      <selection pane="bottomLeft" activeCell="E58" sqref="E58"/>
    </sheetView>
  </sheetViews>
  <sheetFormatPr defaultRowHeight="20.25" x14ac:dyDescent="0.3"/>
  <cols>
    <col min="1" max="2" width="20.7109375" style="1" customWidth="1"/>
    <col min="3" max="3" width="15.7109375" style="1" customWidth="1"/>
    <col min="4" max="4" width="80.7109375" style="1" customWidth="1"/>
    <col min="5" max="5" width="63.7109375" style="1" customWidth="1"/>
    <col min="6" max="6" width="47.7109375" style="1" customWidth="1"/>
    <col min="7" max="7" width="80.7109375" style="1" customWidth="1"/>
    <col min="8" max="8" width="45.7109375" style="1" customWidth="1"/>
    <col min="9" max="16384" width="9.140625" style="1"/>
  </cols>
  <sheetData>
    <row r="1" spans="1:8" ht="30" x14ac:dyDescent="0.4">
      <c r="A1" s="109" t="s">
        <v>114</v>
      </c>
      <c r="B1" s="109"/>
      <c r="C1" s="109"/>
      <c r="D1" s="109"/>
      <c r="E1" s="109"/>
      <c r="F1" s="109"/>
      <c r="G1" s="109"/>
      <c r="H1" s="109"/>
    </row>
    <row r="3" spans="1:8" x14ac:dyDescent="0.3">
      <c r="A3" s="110" t="s">
        <v>1</v>
      </c>
      <c r="B3" s="110"/>
      <c r="C3" s="110" t="s">
        <v>4</v>
      </c>
      <c r="D3" s="110" t="s">
        <v>265</v>
      </c>
      <c r="E3" s="110" t="s">
        <v>266</v>
      </c>
      <c r="F3" s="110" t="s">
        <v>267</v>
      </c>
      <c r="G3" s="110" t="s">
        <v>141</v>
      </c>
      <c r="H3" s="110"/>
    </row>
    <row r="4" spans="1:8" x14ac:dyDescent="0.3">
      <c r="A4" s="4" t="s">
        <v>2</v>
      </c>
      <c r="B4" s="4" t="s">
        <v>3</v>
      </c>
      <c r="C4" s="110"/>
      <c r="D4" s="110"/>
      <c r="E4" s="110"/>
      <c r="F4" s="110"/>
      <c r="G4" s="110"/>
      <c r="H4" s="110"/>
    </row>
    <row r="5" spans="1:8" ht="30" customHeight="1" x14ac:dyDescent="0.3">
      <c r="A5" s="7" t="s">
        <v>268</v>
      </c>
      <c r="B5" s="7"/>
      <c r="C5" s="8"/>
      <c r="D5" s="6" t="s">
        <v>269</v>
      </c>
      <c r="E5" s="7" t="s">
        <v>270</v>
      </c>
      <c r="F5" s="32">
        <v>46026</v>
      </c>
      <c r="G5" s="23" t="s">
        <v>42</v>
      </c>
      <c r="H5" s="9"/>
    </row>
    <row r="6" spans="1:8" ht="30" customHeight="1" x14ac:dyDescent="0.3">
      <c r="A6" s="7" t="s">
        <v>313</v>
      </c>
      <c r="B6" s="8"/>
      <c r="C6" s="8"/>
      <c r="D6" s="31" t="s">
        <v>314</v>
      </c>
      <c r="E6" s="32" t="s">
        <v>315</v>
      </c>
      <c r="F6" s="23"/>
      <c r="G6" s="23"/>
      <c r="H6" s="9"/>
    </row>
    <row r="7" spans="1:8" ht="30" customHeight="1" x14ac:dyDescent="0.3">
      <c r="A7" s="8" t="s">
        <v>341</v>
      </c>
      <c r="B7" s="8"/>
      <c r="C7" s="8"/>
      <c r="D7" s="6" t="s">
        <v>387</v>
      </c>
      <c r="E7" s="7" t="s">
        <v>388</v>
      </c>
      <c r="F7" s="23"/>
      <c r="G7" s="23" t="s">
        <v>155</v>
      </c>
      <c r="H7" s="9"/>
    </row>
    <row r="8" spans="1:8" ht="30" customHeight="1" x14ac:dyDescent="0.3">
      <c r="A8" s="8"/>
      <c r="B8" s="8"/>
      <c r="C8" s="8"/>
      <c r="D8" s="6" t="s">
        <v>400</v>
      </c>
      <c r="E8" s="32" t="s">
        <v>315</v>
      </c>
      <c r="F8" s="23"/>
      <c r="G8" s="23" t="s">
        <v>401</v>
      </c>
      <c r="H8" s="9"/>
    </row>
    <row r="9" spans="1:8" ht="30" customHeight="1" x14ac:dyDescent="0.3">
      <c r="A9" s="7" t="s">
        <v>583</v>
      </c>
      <c r="B9" s="8"/>
      <c r="C9" s="8"/>
      <c r="D9" s="6" t="s">
        <v>584</v>
      </c>
      <c r="E9" s="32" t="s">
        <v>315</v>
      </c>
      <c r="F9" s="23"/>
      <c r="G9" s="23" t="s">
        <v>585</v>
      </c>
      <c r="H9" s="9"/>
    </row>
    <row r="10" spans="1:8" s="26" customFormat="1" ht="30" customHeight="1" x14ac:dyDescent="0.3">
      <c r="A10" s="14" t="s">
        <v>647</v>
      </c>
      <c r="B10" s="15"/>
      <c r="C10" s="8"/>
      <c r="D10" s="16" t="s">
        <v>648</v>
      </c>
      <c r="E10" s="7" t="s">
        <v>388</v>
      </c>
      <c r="F10" s="24"/>
      <c r="G10" s="24" t="s">
        <v>495</v>
      </c>
      <c r="H10" s="20"/>
    </row>
    <row r="11" spans="1:8" ht="30" customHeight="1" x14ac:dyDescent="0.3">
      <c r="A11" s="8" t="s">
        <v>679</v>
      </c>
      <c r="B11" s="8"/>
      <c r="C11" s="8"/>
      <c r="D11" s="31" t="s">
        <v>691</v>
      </c>
      <c r="E11" s="7"/>
      <c r="F11" s="23"/>
      <c r="G11" s="23"/>
      <c r="H11" s="9"/>
    </row>
    <row r="12" spans="1:8" ht="30" customHeight="1" x14ac:dyDescent="0.3">
      <c r="A12" s="8"/>
      <c r="B12" s="8"/>
      <c r="C12" s="8"/>
      <c r="D12" s="6" t="s">
        <v>692</v>
      </c>
      <c r="E12" s="7"/>
      <c r="F12" s="23"/>
      <c r="G12" s="23" t="s">
        <v>781</v>
      </c>
      <c r="H12" s="9"/>
    </row>
    <row r="13" spans="1:8" ht="30" customHeight="1" x14ac:dyDescent="0.3">
      <c r="A13" s="8"/>
      <c r="B13" s="8"/>
      <c r="C13" s="8"/>
      <c r="D13" s="31" t="s">
        <v>703</v>
      </c>
      <c r="E13" s="7"/>
      <c r="F13" s="23"/>
      <c r="G13" s="23"/>
      <c r="H13" s="9"/>
    </row>
    <row r="14" spans="1:8" ht="30" customHeight="1" x14ac:dyDescent="0.3">
      <c r="A14" s="8"/>
      <c r="B14" s="8"/>
      <c r="C14" s="8"/>
      <c r="D14" s="6" t="s">
        <v>704</v>
      </c>
      <c r="E14" s="7"/>
      <c r="F14" s="23"/>
      <c r="G14" s="23"/>
      <c r="H14" s="9"/>
    </row>
    <row r="15" spans="1:8" ht="30" customHeight="1" x14ac:dyDescent="0.3">
      <c r="A15" s="8" t="s">
        <v>779</v>
      </c>
      <c r="B15" s="8"/>
      <c r="C15" s="8"/>
      <c r="D15" s="31" t="s">
        <v>780</v>
      </c>
      <c r="E15" s="7"/>
      <c r="F15" s="23"/>
      <c r="G15" s="23" t="s">
        <v>781</v>
      </c>
      <c r="H15" s="9"/>
    </row>
    <row r="16" spans="1:8" ht="30" customHeight="1" x14ac:dyDescent="0.3">
      <c r="A16" s="8" t="s">
        <v>789</v>
      </c>
      <c r="B16" s="8"/>
      <c r="C16" s="8"/>
      <c r="D16" s="31" t="s">
        <v>835</v>
      </c>
      <c r="E16" s="32" t="s">
        <v>836</v>
      </c>
      <c r="F16" s="23"/>
      <c r="G16" s="23"/>
      <c r="H16" s="9"/>
    </row>
    <row r="17" spans="1:8" ht="30" customHeight="1" x14ac:dyDescent="0.3">
      <c r="A17" s="8" t="s">
        <v>989</v>
      </c>
      <c r="B17" s="8"/>
      <c r="C17" s="8"/>
      <c r="D17" s="31" t="s">
        <v>990</v>
      </c>
      <c r="E17" s="32" t="s">
        <v>836</v>
      </c>
      <c r="F17" s="23"/>
      <c r="G17" s="23"/>
      <c r="H17" s="9"/>
    </row>
    <row r="18" spans="1:8" ht="30" customHeight="1" x14ac:dyDescent="0.3">
      <c r="A18" s="8"/>
      <c r="B18" s="8"/>
      <c r="C18" s="8"/>
      <c r="D18" s="6" t="s">
        <v>991</v>
      </c>
      <c r="E18" s="32" t="s">
        <v>315</v>
      </c>
      <c r="F18" s="23"/>
      <c r="G18" s="23"/>
      <c r="H18" s="9"/>
    </row>
    <row r="19" spans="1:8" ht="30" customHeight="1" x14ac:dyDescent="0.3">
      <c r="A19" s="8"/>
      <c r="B19" s="8"/>
      <c r="C19" s="8"/>
      <c r="D19" s="6" t="s">
        <v>1002</v>
      </c>
      <c r="E19" s="32" t="s">
        <v>315</v>
      </c>
      <c r="F19" s="23"/>
      <c r="G19" s="23"/>
      <c r="H19" s="9"/>
    </row>
    <row r="20" spans="1:8" ht="30" customHeight="1" x14ac:dyDescent="0.3">
      <c r="A20" s="8"/>
      <c r="B20" s="8"/>
      <c r="C20" s="8"/>
      <c r="D20" s="31" t="s">
        <v>1107</v>
      </c>
      <c r="E20" s="7" t="s">
        <v>405</v>
      </c>
      <c r="F20" s="23"/>
      <c r="G20" s="23"/>
      <c r="H20" s="9"/>
    </row>
    <row r="21" spans="1:8" ht="30" customHeight="1" x14ac:dyDescent="0.3">
      <c r="A21" s="8" t="s">
        <v>1005</v>
      </c>
      <c r="B21" s="8"/>
      <c r="C21" s="8"/>
      <c r="D21" s="31" t="s">
        <v>1196</v>
      </c>
      <c r="E21" s="32" t="s">
        <v>1197</v>
      </c>
      <c r="F21" s="23"/>
      <c r="G21" s="23"/>
      <c r="H21" s="9"/>
    </row>
    <row r="22" spans="1:8" ht="30" customHeight="1" x14ac:dyDescent="0.3">
      <c r="A22" s="8"/>
      <c r="B22" s="8"/>
      <c r="C22" s="8"/>
      <c r="D22" s="31" t="s">
        <v>1250</v>
      </c>
      <c r="E22" s="32" t="s">
        <v>315</v>
      </c>
      <c r="F22" s="23"/>
      <c r="G22" s="23"/>
      <c r="H22" s="9"/>
    </row>
    <row r="23" spans="1:8" ht="30" customHeight="1" x14ac:dyDescent="0.3">
      <c r="A23" s="7">
        <v>46115</v>
      </c>
      <c r="B23" s="8"/>
      <c r="C23" s="8"/>
      <c r="D23" s="31" t="s">
        <v>1361</v>
      </c>
      <c r="E23" s="32" t="s">
        <v>836</v>
      </c>
      <c r="F23" s="23"/>
      <c r="G23" s="23"/>
      <c r="H23" s="9"/>
    </row>
    <row r="24" spans="1:8" ht="30" customHeight="1" x14ac:dyDescent="0.3">
      <c r="A24" s="8"/>
      <c r="B24" s="8"/>
      <c r="C24" s="8"/>
      <c r="D24" s="31" t="s">
        <v>1375</v>
      </c>
      <c r="E24" s="32" t="s">
        <v>836</v>
      </c>
      <c r="F24" s="23"/>
      <c r="G24" s="23"/>
      <c r="H24" s="9"/>
    </row>
    <row r="25" spans="1:8" ht="30" customHeight="1" x14ac:dyDescent="0.3">
      <c r="A25" s="8"/>
      <c r="B25" s="8"/>
      <c r="C25" s="8"/>
      <c r="D25" s="31" t="s">
        <v>1376</v>
      </c>
      <c r="E25" s="32" t="s">
        <v>513</v>
      </c>
      <c r="F25" s="23"/>
      <c r="G25" s="23"/>
      <c r="H25" s="9"/>
    </row>
    <row r="26" spans="1:8" ht="30" customHeight="1" x14ac:dyDescent="0.3">
      <c r="A26" s="7">
        <v>46359</v>
      </c>
      <c r="B26" s="8"/>
      <c r="C26" s="8"/>
      <c r="D26" s="31" t="s">
        <v>1563</v>
      </c>
      <c r="E26" s="32" t="s">
        <v>315</v>
      </c>
      <c r="F26" s="23"/>
      <c r="G26" s="23"/>
      <c r="H26" s="9"/>
    </row>
    <row r="27" spans="1:8" ht="30" customHeight="1" x14ac:dyDescent="0.3">
      <c r="A27" s="8"/>
      <c r="B27" s="8"/>
      <c r="C27" s="8"/>
      <c r="D27" s="31" t="s">
        <v>1578</v>
      </c>
      <c r="E27" s="32" t="s">
        <v>315</v>
      </c>
      <c r="F27" s="23"/>
      <c r="G27" s="23"/>
      <c r="H27" s="9"/>
    </row>
    <row r="28" spans="1:8" ht="30" customHeight="1" x14ac:dyDescent="0.3">
      <c r="A28" s="8"/>
      <c r="B28" s="8"/>
      <c r="C28" s="8"/>
      <c r="D28" s="6" t="s">
        <v>1584</v>
      </c>
      <c r="E28" s="7" t="s">
        <v>1585</v>
      </c>
      <c r="F28" s="23"/>
      <c r="G28" s="23"/>
      <c r="H28" s="9"/>
    </row>
    <row r="29" spans="1:8" ht="30" customHeight="1" x14ac:dyDescent="0.3">
      <c r="A29" s="8" t="s">
        <v>1464</v>
      </c>
      <c r="B29" s="8"/>
      <c r="C29" s="8"/>
      <c r="D29" s="31" t="s">
        <v>1706</v>
      </c>
      <c r="E29" s="7" t="s">
        <v>1585</v>
      </c>
      <c r="F29" s="21"/>
      <c r="G29" s="21"/>
      <c r="H29" s="9"/>
    </row>
    <row r="30" spans="1:8" ht="30" customHeight="1" x14ac:dyDescent="0.3">
      <c r="A30" s="8" t="s">
        <v>1714</v>
      </c>
      <c r="B30" s="8"/>
      <c r="C30" s="8"/>
      <c r="D30" s="31" t="s">
        <v>1717</v>
      </c>
      <c r="E30" s="32" t="s">
        <v>1718</v>
      </c>
      <c r="F30" s="21"/>
      <c r="G30" s="21"/>
      <c r="H30" s="9"/>
    </row>
    <row r="31" spans="1:8" ht="30" customHeight="1" x14ac:dyDescent="0.3">
      <c r="A31" s="7">
        <v>46238</v>
      </c>
      <c r="B31" s="8"/>
      <c r="C31" s="8"/>
      <c r="D31" s="31" t="s">
        <v>1885</v>
      </c>
      <c r="E31" s="8" t="s">
        <v>388</v>
      </c>
      <c r="F31" s="21"/>
      <c r="G31" s="21"/>
      <c r="H31" s="9"/>
    </row>
    <row r="32" spans="1:8" ht="30" customHeight="1" x14ac:dyDescent="0.3">
      <c r="A32" s="8"/>
      <c r="B32" s="8"/>
      <c r="C32" s="8"/>
      <c r="D32" s="31" t="s">
        <v>1917</v>
      </c>
      <c r="E32" s="32" t="s">
        <v>315</v>
      </c>
      <c r="F32" s="25"/>
      <c r="G32" s="25"/>
      <c r="H32" s="9"/>
    </row>
    <row r="33" spans="1:8" ht="30" customHeight="1" x14ac:dyDescent="0.3">
      <c r="A33" s="8" t="s">
        <v>2062</v>
      </c>
      <c r="B33" s="8"/>
      <c r="C33" s="8"/>
      <c r="D33" s="6" t="s">
        <v>2067</v>
      </c>
      <c r="E33" s="8" t="s">
        <v>2068</v>
      </c>
      <c r="F33" s="21"/>
      <c r="G33" s="21"/>
      <c r="H33" s="9"/>
    </row>
    <row r="34" spans="1:8" ht="30" customHeight="1" x14ac:dyDescent="0.3">
      <c r="A34" s="8"/>
      <c r="B34" s="8"/>
      <c r="C34" s="8"/>
      <c r="D34" s="31" t="s">
        <v>2097</v>
      </c>
      <c r="E34" s="8" t="s">
        <v>1585</v>
      </c>
      <c r="F34" s="21"/>
      <c r="G34" s="21"/>
      <c r="H34" s="9"/>
    </row>
    <row r="35" spans="1:8" ht="30" customHeight="1" x14ac:dyDescent="0.3">
      <c r="A35" s="8" t="s">
        <v>2104</v>
      </c>
      <c r="B35" s="8"/>
      <c r="C35" s="8"/>
      <c r="D35" s="31" t="s">
        <v>2105</v>
      </c>
      <c r="E35" s="32" t="s">
        <v>1718</v>
      </c>
      <c r="F35" s="21" t="s">
        <v>2106</v>
      </c>
      <c r="G35" s="21"/>
      <c r="H35" s="9"/>
    </row>
    <row r="36" spans="1:8" ht="30" customHeight="1" x14ac:dyDescent="0.3">
      <c r="A36" s="8" t="s">
        <v>2118</v>
      </c>
      <c r="B36" s="8"/>
      <c r="C36" s="8"/>
      <c r="D36" s="6" t="s">
        <v>2122</v>
      </c>
      <c r="E36" s="23" t="s">
        <v>270</v>
      </c>
      <c r="F36" s="21" t="s">
        <v>2066</v>
      </c>
      <c r="G36" s="21"/>
      <c r="H36" s="9"/>
    </row>
    <row r="37" spans="1:8" ht="30" customHeight="1" x14ac:dyDescent="0.3">
      <c r="A37" s="8" t="s">
        <v>2210</v>
      </c>
      <c r="B37" s="8"/>
      <c r="C37" s="8"/>
      <c r="D37" s="31" t="s">
        <v>2236</v>
      </c>
      <c r="E37" s="23" t="s">
        <v>836</v>
      </c>
      <c r="F37" s="21" t="s">
        <v>401</v>
      </c>
      <c r="G37" s="21"/>
      <c r="H37" s="9"/>
    </row>
    <row r="38" spans="1:8" ht="30" customHeight="1" x14ac:dyDescent="0.3">
      <c r="A38" s="8" t="s">
        <v>2254</v>
      </c>
      <c r="B38" s="8"/>
      <c r="C38" s="8"/>
      <c r="D38" s="31" t="s">
        <v>2306</v>
      </c>
      <c r="E38" s="8" t="s">
        <v>270</v>
      </c>
      <c r="F38" s="21" t="s">
        <v>2066</v>
      </c>
      <c r="G38" s="21"/>
      <c r="H38" s="9"/>
    </row>
    <row r="39" spans="1:8" ht="30" customHeight="1" x14ac:dyDescent="0.3">
      <c r="A39" s="8" t="s">
        <v>2190</v>
      </c>
      <c r="B39" s="8"/>
      <c r="C39" s="8"/>
      <c r="D39" s="31" t="s">
        <v>2354</v>
      </c>
      <c r="E39" s="8" t="s">
        <v>1585</v>
      </c>
      <c r="F39" s="21"/>
      <c r="G39" s="21"/>
      <c r="H39" s="9"/>
    </row>
    <row r="40" spans="1:8" ht="30" customHeight="1" x14ac:dyDescent="0.3">
      <c r="A40" s="8"/>
      <c r="B40" s="8"/>
      <c r="C40" s="8"/>
      <c r="D40" s="31" t="s">
        <v>2356</v>
      </c>
      <c r="E40" s="23" t="s">
        <v>2357</v>
      </c>
      <c r="F40" s="21" t="s">
        <v>2106</v>
      </c>
      <c r="G40" s="21"/>
      <c r="H40" s="9"/>
    </row>
    <row r="41" spans="1:8" ht="30" customHeight="1" x14ac:dyDescent="0.3">
      <c r="A41" s="8"/>
      <c r="B41" s="8"/>
      <c r="C41" s="8"/>
      <c r="D41" s="31" t="s">
        <v>2358</v>
      </c>
      <c r="E41" s="23" t="s">
        <v>836</v>
      </c>
      <c r="F41" s="21" t="s">
        <v>2106</v>
      </c>
      <c r="G41" s="21"/>
      <c r="H41" s="9"/>
    </row>
    <row r="42" spans="1:8" ht="30" customHeight="1" x14ac:dyDescent="0.3">
      <c r="A42" s="8" t="s">
        <v>2386</v>
      </c>
      <c r="B42" s="8"/>
      <c r="C42" s="8"/>
      <c r="D42" s="31" t="s">
        <v>2449</v>
      </c>
      <c r="E42" s="23" t="s">
        <v>836</v>
      </c>
      <c r="F42" s="21" t="s">
        <v>2106</v>
      </c>
      <c r="G42" s="21"/>
      <c r="H42" s="9"/>
    </row>
    <row r="43" spans="1:8" ht="30" customHeight="1" x14ac:dyDescent="0.3">
      <c r="A43" s="8" t="s">
        <v>2440</v>
      </c>
      <c r="B43" s="8"/>
      <c r="C43" s="8"/>
      <c r="D43" s="6" t="s">
        <v>2483</v>
      </c>
      <c r="E43" s="8" t="s">
        <v>270</v>
      </c>
      <c r="F43" s="21" t="s">
        <v>2066</v>
      </c>
      <c r="G43" s="21"/>
      <c r="H43" s="9"/>
    </row>
    <row r="44" spans="1:8" ht="30" customHeight="1" x14ac:dyDescent="0.3">
      <c r="A44" s="8" t="s">
        <v>2518</v>
      </c>
      <c r="B44" s="8"/>
      <c r="C44" s="8"/>
      <c r="D44" s="6" t="s">
        <v>2642</v>
      </c>
      <c r="E44" s="23" t="s">
        <v>315</v>
      </c>
      <c r="F44" s="21" t="s">
        <v>781</v>
      </c>
      <c r="G44" s="21"/>
      <c r="H44" s="9"/>
    </row>
    <row r="45" spans="1:8" ht="30" customHeight="1" x14ac:dyDescent="0.3">
      <c r="A45" s="8"/>
      <c r="B45" s="8"/>
      <c r="C45" s="8"/>
      <c r="D45" s="31" t="s">
        <v>2670</v>
      </c>
      <c r="E45" s="8"/>
      <c r="F45" s="21" t="s">
        <v>2671</v>
      </c>
      <c r="G45" s="21"/>
      <c r="H45" s="9"/>
    </row>
    <row r="46" spans="1:8" ht="30" customHeight="1" x14ac:dyDescent="0.3">
      <c r="A46" s="8" t="s">
        <v>2574</v>
      </c>
      <c r="B46" s="8"/>
      <c r="C46" s="8"/>
      <c r="D46" s="31" t="s">
        <v>2705</v>
      </c>
      <c r="E46" s="23" t="s">
        <v>836</v>
      </c>
      <c r="F46" s="21" t="s">
        <v>401</v>
      </c>
      <c r="G46" s="21"/>
      <c r="H46" s="9"/>
    </row>
    <row r="47" spans="1:8" ht="30" customHeight="1" x14ac:dyDescent="0.3">
      <c r="A47" s="8" t="s">
        <v>2847</v>
      </c>
      <c r="B47" s="8"/>
      <c r="C47" s="8"/>
      <c r="D47" s="31" t="s">
        <v>2866</v>
      </c>
      <c r="E47" s="23" t="s">
        <v>270</v>
      </c>
      <c r="F47" s="21" t="s">
        <v>2066</v>
      </c>
      <c r="G47" s="21"/>
      <c r="H47" s="9"/>
    </row>
    <row r="48" spans="1:8" ht="30" customHeight="1" x14ac:dyDescent="0.3">
      <c r="A48" s="8" t="s">
        <v>2799</v>
      </c>
      <c r="B48" s="8"/>
      <c r="C48" s="8"/>
      <c r="D48" s="31" t="s">
        <v>2934</v>
      </c>
      <c r="E48" s="8" t="s">
        <v>1585</v>
      </c>
      <c r="F48" s="21"/>
      <c r="G48" s="21"/>
      <c r="H48" s="9"/>
    </row>
    <row r="49" spans="1:8" ht="30" customHeight="1" x14ac:dyDescent="0.3">
      <c r="A49" s="8" t="s">
        <v>2887</v>
      </c>
      <c r="B49" s="8"/>
      <c r="C49" s="8"/>
      <c r="D49" s="6" t="s">
        <v>2948</v>
      </c>
      <c r="E49" s="23" t="s">
        <v>315</v>
      </c>
      <c r="F49" s="21" t="s">
        <v>401</v>
      </c>
      <c r="G49" s="21"/>
      <c r="H49" s="9"/>
    </row>
    <row r="50" spans="1:8" ht="30" customHeight="1" x14ac:dyDescent="0.3">
      <c r="A50" s="8" t="s">
        <v>2912</v>
      </c>
      <c r="B50" s="8"/>
      <c r="C50" s="8"/>
      <c r="D50" s="31" t="s">
        <v>3042</v>
      </c>
      <c r="E50" s="8" t="s">
        <v>1585</v>
      </c>
      <c r="F50" s="21" t="s">
        <v>3043</v>
      </c>
      <c r="G50" s="21"/>
      <c r="H50" s="9"/>
    </row>
    <row r="51" spans="1:8" ht="30" customHeight="1" x14ac:dyDescent="0.3">
      <c r="A51" s="8" t="s">
        <v>2909</v>
      </c>
      <c r="B51" s="8"/>
      <c r="C51" s="8"/>
      <c r="D51" s="6" t="s">
        <v>3085</v>
      </c>
      <c r="E51" s="23" t="s">
        <v>270</v>
      </c>
      <c r="F51" s="21" t="s">
        <v>2066</v>
      </c>
      <c r="G51" s="21"/>
      <c r="H51" s="9"/>
    </row>
    <row r="52" spans="1:8" ht="30" customHeight="1" x14ac:dyDescent="0.3">
      <c r="A52" s="8"/>
      <c r="B52" s="8"/>
      <c r="C52" s="8"/>
      <c r="D52" s="31" t="s">
        <v>3310</v>
      </c>
      <c r="E52" s="23" t="s">
        <v>270</v>
      </c>
      <c r="F52" s="21" t="s">
        <v>3311</v>
      </c>
      <c r="G52" s="21"/>
      <c r="H52" s="9"/>
    </row>
    <row r="53" spans="1:8" ht="30" customHeight="1" x14ac:dyDescent="0.3">
      <c r="A53" s="8"/>
      <c r="B53" s="8"/>
      <c r="C53" s="8"/>
      <c r="D53" s="31" t="s">
        <v>3440</v>
      </c>
      <c r="E53" s="23" t="s">
        <v>836</v>
      </c>
      <c r="F53" s="21" t="s">
        <v>401</v>
      </c>
      <c r="G53" s="21"/>
      <c r="H53" s="9"/>
    </row>
    <row r="54" spans="1:8" ht="30" customHeight="1" x14ac:dyDescent="0.3">
      <c r="A54" s="8" t="s">
        <v>3163</v>
      </c>
      <c r="B54" s="8"/>
      <c r="C54" s="8"/>
      <c r="D54" s="6" t="s">
        <v>3475</v>
      </c>
      <c r="E54" s="23" t="s">
        <v>315</v>
      </c>
      <c r="F54" s="21" t="s">
        <v>3311</v>
      </c>
      <c r="G54" s="21"/>
      <c r="H54" s="9"/>
    </row>
    <row r="55" spans="1:8" ht="30" customHeight="1" x14ac:dyDescent="0.3">
      <c r="A55" s="8" t="s">
        <v>3653</v>
      </c>
      <c r="B55" s="8"/>
      <c r="C55" s="8"/>
      <c r="D55" s="31" t="s">
        <v>3705</v>
      </c>
      <c r="E55" s="8" t="s">
        <v>270</v>
      </c>
      <c r="F55" s="21" t="s">
        <v>2066</v>
      </c>
      <c r="G55" s="21"/>
      <c r="H55" s="9"/>
    </row>
    <row r="56" spans="1:8" ht="30" customHeight="1" x14ac:dyDescent="0.3">
      <c r="A56" s="8"/>
      <c r="B56" s="8"/>
      <c r="C56" s="8"/>
      <c r="D56" s="31" t="s">
        <v>3768</v>
      </c>
      <c r="E56" s="23" t="s">
        <v>3769</v>
      </c>
      <c r="F56" s="21" t="s">
        <v>2106</v>
      </c>
      <c r="G56" s="21"/>
      <c r="H56" s="9"/>
    </row>
    <row r="57" spans="1:8" ht="30" customHeight="1" x14ac:dyDescent="0.3">
      <c r="A57" s="8" t="s">
        <v>3793</v>
      </c>
      <c r="B57" s="23"/>
      <c r="C57" s="8"/>
      <c r="D57" s="23" t="s">
        <v>3971</v>
      </c>
      <c r="E57" s="8" t="s">
        <v>270</v>
      </c>
      <c r="F57" s="21"/>
      <c r="G57" s="21"/>
      <c r="H57" s="9"/>
    </row>
    <row r="58" spans="1:8" ht="30" customHeight="1" x14ac:dyDescent="0.3">
      <c r="A58" s="8"/>
      <c r="B58" s="8"/>
      <c r="C58" s="8"/>
      <c r="D58" s="6"/>
      <c r="E58" s="23"/>
      <c r="F58" s="21"/>
      <c r="G58" s="21"/>
      <c r="H58" s="9"/>
    </row>
    <row r="59" spans="1:8" ht="30" customHeight="1" x14ac:dyDescent="0.3">
      <c r="A59" s="8"/>
      <c r="B59" s="8"/>
      <c r="C59" s="8"/>
      <c r="D59" s="6"/>
      <c r="E59" s="8"/>
      <c r="F59" s="21"/>
      <c r="G59" s="21"/>
      <c r="H59" s="9"/>
    </row>
    <row r="60" spans="1:8" ht="30" customHeight="1" x14ac:dyDescent="0.3">
      <c r="A60" s="8"/>
      <c r="B60" s="8"/>
      <c r="C60" s="8"/>
      <c r="D60" s="6"/>
      <c r="E60" s="8"/>
      <c r="F60" s="21"/>
      <c r="G60" s="21"/>
      <c r="H60" s="9"/>
    </row>
    <row r="61" spans="1:8" ht="30" customHeight="1" x14ac:dyDescent="0.3">
      <c r="A61" s="8"/>
      <c r="B61" s="8"/>
      <c r="C61" s="8"/>
      <c r="D61" s="6"/>
      <c r="E61" s="8"/>
      <c r="F61" s="21"/>
      <c r="G61" s="21"/>
      <c r="H61" s="9"/>
    </row>
    <row r="62" spans="1:8" ht="30" customHeight="1" x14ac:dyDescent="0.3">
      <c r="A62" s="8"/>
      <c r="B62" s="8"/>
      <c r="C62" s="8"/>
      <c r="D62" s="6"/>
      <c r="E62" s="8"/>
      <c r="F62" s="25"/>
      <c r="G62" s="25"/>
      <c r="H62" s="9"/>
    </row>
    <row r="63" spans="1:8" ht="30" customHeight="1" x14ac:dyDescent="0.3">
      <c r="A63" s="8"/>
      <c r="B63" s="8"/>
      <c r="C63" s="8"/>
      <c r="D63" s="6"/>
      <c r="E63" s="8"/>
      <c r="F63" s="25"/>
      <c r="G63" s="25"/>
      <c r="H63" s="9"/>
    </row>
    <row r="64" spans="1:8" ht="30" customHeight="1" x14ac:dyDescent="0.3">
      <c r="A64" s="8"/>
      <c r="B64" s="8"/>
      <c r="C64" s="8"/>
      <c r="D64" s="6"/>
      <c r="E64" s="8"/>
      <c r="F64" s="21"/>
      <c r="G64" s="21"/>
      <c r="H64" s="9"/>
    </row>
    <row r="65" spans="1:8" ht="30" customHeight="1" x14ac:dyDescent="0.3">
      <c r="A65" s="8"/>
      <c r="B65" s="8"/>
      <c r="C65" s="8"/>
      <c r="D65" s="6"/>
      <c r="E65" s="8"/>
      <c r="F65" s="21"/>
      <c r="G65" s="21"/>
      <c r="H65" s="9"/>
    </row>
    <row r="66" spans="1:8" ht="30" customHeight="1" x14ac:dyDescent="0.3">
      <c r="A66" s="8"/>
      <c r="B66" s="8"/>
      <c r="C66" s="8"/>
      <c r="D66" s="6"/>
      <c r="E66" s="8"/>
      <c r="F66" s="21"/>
      <c r="G66" s="21"/>
      <c r="H66" s="9"/>
    </row>
    <row r="67" spans="1:8" ht="30" customHeight="1" x14ac:dyDescent="0.3">
      <c r="A67" s="8"/>
      <c r="B67" s="8"/>
      <c r="C67" s="8"/>
      <c r="D67" s="6"/>
      <c r="E67" s="8"/>
      <c r="F67" s="21"/>
      <c r="G67" s="21"/>
      <c r="H67" s="9"/>
    </row>
    <row r="68" spans="1:8" ht="30" customHeight="1" x14ac:dyDescent="0.3">
      <c r="A68" s="8"/>
      <c r="B68" s="8"/>
      <c r="C68" s="8"/>
      <c r="D68" s="6"/>
      <c r="E68" s="8"/>
      <c r="F68" s="21"/>
      <c r="G68" s="21"/>
      <c r="H68" s="9"/>
    </row>
    <row r="69" spans="1:8" ht="30" customHeight="1" x14ac:dyDescent="0.3">
      <c r="A69" s="8"/>
      <c r="B69" s="8"/>
      <c r="C69" s="8"/>
      <c r="D69" s="6"/>
      <c r="E69" s="8"/>
      <c r="F69" s="21"/>
      <c r="G69" s="21"/>
      <c r="H69" s="9"/>
    </row>
    <row r="70" spans="1:8" ht="30" customHeight="1" x14ac:dyDescent="0.3">
      <c r="A70" s="8"/>
      <c r="B70" s="8"/>
      <c r="C70" s="8"/>
      <c r="D70" s="6"/>
      <c r="E70" s="8"/>
      <c r="F70" s="21"/>
      <c r="G70" s="21"/>
      <c r="H70" s="9"/>
    </row>
    <row r="71" spans="1:8" ht="30" customHeight="1" x14ac:dyDescent="0.3">
      <c r="A71" s="8"/>
      <c r="B71" s="8"/>
      <c r="C71" s="8"/>
      <c r="D71" s="6"/>
      <c r="E71" s="8"/>
      <c r="F71" s="21"/>
      <c r="G71" s="21"/>
      <c r="H71" s="9"/>
    </row>
    <row r="72" spans="1:8" ht="30" customHeight="1" x14ac:dyDescent="0.3">
      <c r="A72" s="8"/>
      <c r="B72" s="8"/>
      <c r="C72" s="8"/>
      <c r="D72" s="6"/>
      <c r="E72" s="8"/>
      <c r="F72" s="21"/>
      <c r="G72" s="21"/>
      <c r="H72" s="9"/>
    </row>
    <row r="73" spans="1:8" ht="30" customHeight="1" x14ac:dyDescent="0.3">
      <c r="A73" s="8"/>
      <c r="B73" s="8"/>
      <c r="C73" s="8"/>
      <c r="D73" s="6"/>
      <c r="E73" s="8"/>
      <c r="F73" s="25"/>
      <c r="G73" s="25"/>
      <c r="H73" s="9"/>
    </row>
    <row r="74" spans="1:8" ht="30" customHeight="1" x14ac:dyDescent="0.3">
      <c r="A74" s="8"/>
      <c r="B74" s="8"/>
      <c r="C74" s="8"/>
      <c r="D74" s="6"/>
      <c r="E74" s="8"/>
      <c r="F74" s="21"/>
      <c r="G74" s="21"/>
      <c r="H74" s="9"/>
    </row>
    <row r="75" spans="1:8" ht="30" customHeight="1" x14ac:dyDescent="0.3">
      <c r="A75" s="8"/>
      <c r="B75" s="8"/>
      <c r="C75" s="8"/>
      <c r="D75" s="6"/>
      <c r="E75" s="8"/>
      <c r="F75" s="25"/>
      <c r="G75" s="25"/>
      <c r="H75" s="9"/>
    </row>
    <row r="76" spans="1:8" ht="30" customHeight="1" x14ac:dyDescent="0.3">
      <c r="A76" s="8"/>
      <c r="B76" s="8"/>
      <c r="C76" s="8"/>
      <c r="D76" s="6"/>
      <c r="E76" s="8"/>
      <c r="F76" s="21"/>
      <c r="G76" s="21"/>
      <c r="H76" s="9"/>
    </row>
    <row r="77" spans="1:8" ht="30" customHeight="1" x14ac:dyDescent="0.3">
      <c r="A77" s="8"/>
      <c r="B77" s="8"/>
      <c r="C77" s="8"/>
      <c r="D77" s="6"/>
      <c r="E77" s="8"/>
      <c r="F77" s="21"/>
      <c r="G77" s="21"/>
      <c r="H77" s="9"/>
    </row>
    <row r="78" spans="1:8" ht="30" customHeight="1" x14ac:dyDescent="0.3">
      <c r="A78" s="8"/>
      <c r="B78" s="8"/>
      <c r="C78" s="8"/>
      <c r="D78" s="6"/>
      <c r="E78" s="8"/>
      <c r="F78" s="21"/>
      <c r="G78" s="21"/>
      <c r="H78" s="9"/>
    </row>
    <row r="79" spans="1:8" ht="30" customHeight="1" x14ac:dyDescent="0.3">
      <c r="A79" s="8"/>
      <c r="B79" s="8"/>
      <c r="C79" s="8"/>
      <c r="D79" s="6"/>
      <c r="E79" s="8"/>
      <c r="F79" s="21"/>
      <c r="G79" s="21"/>
      <c r="H79" s="9"/>
    </row>
    <row r="80" spans="1:8" ht="30" customHeight="1" x14ac:dyDescent="0.3">
      <c r="A80" s="8"/>
      <c r="B80" s="8"/>
      <c r="C80" s="8"/>
      <c r="D80" s="6"/>
      <c r="E80" s="8"/>
      <c r="F80" s="21"/>
      <c r="G80" s="21"/>
      <c r="H80" s="9"/>
    </row>
    <row r="81" spans="1:8" ht="30" customHeight="1" x14ac:dyDescent="0.3">
      <c r="A81" s="8"/>
      <c r="B81" s="8"/>
      <c r="C81" s="8"/>
      <c r="D81" s="6"/>
      <c r="E81" s="8"/>
      <c r="F81" s="21"/>
      <c r="G81" s="21"/>
      <c r="H81" s="9"/>
    </row>
    <row r="82" spans="1:8" ht="30" customHeight="1" x14ac:dyDescent="0.3">
      <c r="A82" s="8"/>
      <c r="B82" s="8"/>
      <c r="C82" s="8"/>
      <c r="D82" s="6"/>
      <c r="E82" s="8"/>
      <c r="F82" s="21"/>
      <c r="G82" s="21"/>
      <c r="H82" s="9"/>
    </row>
    <row r="83" spans="1:8" ht="30" customHeight="1" x14ac:dyDescent="0.3">
      <c r="A83" s="8"/>
      <c r="B83" s="8"/>
      <c r="C83" s="8"/>
      <c r="D83" s="6"/>
      <c r="E83" s="8"/>
      <c r="F83" s="21"/>
      <c r="G83" s="21"/>
      <c r="H83" s="9"/>
    </row>
    <row r="84" spans="1:8" ht="30" customHeight="1" x14ac:dyDescent="0.3">
      <c r="A84" s="8"/>
      <c r="B84" s="8"/>
      <c r="C84" s="8"/>
      <c r="D84" s="6"/>
      <c r="E84" s="8"/>
      <c r="F84" s="21"/>
      <c r="G84" s="21"/>
      <c r="H84" s="9"/>
    </row>
    <row r="85" spans="1:8" ht="30" customHeight="1" x14ac:dyDescent="0.3">
      <c r="A85" s="8"/>
      <c r="B85" s="8"/>
      <c r="C85" s="8"/>
      <c r="D85" s="6"/>
      <c r="E85" s="8"/>
      <c r="F85" s="21"/>
      <c r="G85" s="21"/>
      <c r="H85" s="9"/>
    </row>
    <row r="86" spans="1:8" ht="30" customHeight="1" x14ac:dyDescent="0.3">
      <c r="A86" s="8"/>
      <c r="B86" s="8"/>
      <c r="C86" s="8"/>
      <c r="D86" s="6"/>
      <c r="E86" s="8"/>
      <c r="F86" s="21"/>
      <c r="G86" s="21"/>
      <c r="H86" s="9"/>
    </row>
    <row r="87" spans="1:8" ht="30" customHeight="1" x14ac:dyDescent="0.3">
      <c r="A87" s="8"/>
      <c r="B87" s="8"/>
      <c r="C87" s="8"/>
      <c r="D87" s="6"/>
      <c r="E87" s="8"/>
      <c r="F87" s="21"/>
      <c r="G87" s="21"/>
      <c r="H87" s="9"/>
    </row>
    <row r="88" spans="1:8" ht="30" customHeight="1" x14ac:dyDescent="0.3">
      <c r="A88" s="8"/>
      <c r="B88" s="8"/>
      <c r="C88" s="8"/>
      <c r="D88" s="6"/>
      <c r="E88" s="8"/>
      <c r="F88" s="21"/>
      <c r="G88" s="21"/>
      <c r="H88" s="9"/>
    </row>
    <row r="89" spans="1:8" ht="30" customHeight="1" x14ac:dyDescent="0.3">
      <c r="A89" s="8"/>
      <c r="B89" s="8"/>
      <c r="C89" s="8"/>
      <c r="D89" s="6"/>
      <c r="E89" s="8"/>
      <c r="F89" s="21"/>
      <c r="G89" s="21"/>
      <c r="H89" s="9"/>
    </row>
    <row r="90" spans="1:8" ht="30" customHeight="1" x14ac:dyDescent="0.3">
      <c r="A90" s="8"/>
      <c r="B90" s="8"/>
      <c r="C90" s="8"/>
      <c r="D90" s="6"/>
      <c r="E90" s="8"/>
      <c r="F90" s="21"/>
      <c r="G90" s="21"/>
      <c r="H90" s="9"/>
    </row>
    <row r="91" spans="1:8" ht="30" customHeight="1" x14ac:dyDescent="0.3">
      <c r="A91" s="8"/>
      <c r="B91" s="8"/>
      <c r="C91" s="8"/>
      <c r="D91" s="6"/>
      <c r="E91" s="8"/>
      <c r="F91" s="21"/>
      <c r="G91" s="21"/>
      <c r="H91" s="9"/>
    </row>
    <row r="92" spans="1:8" ht="30" customHeight="1" x14ac:dyDescent="0.3">
      <c r="A92" s="8"/>
      <c r="B92" s="8"/>
      <c r="C92" s="8"/>
      <c r="D92" s="6"/>
      <c r="E92" s="8"/>
      <c r="F92" s="21"/>
      <c r="G92" s="21"/>
      <c r="H92" s="9"/>
    </row>
    <row r="93" spans="1:8" ht="30" customHeight="1" x14ac:dyDescent="0.3">
      <c r="A93" s="8"/>
      <c r="B93" s="8"/>
      <c r="C93" s="8"/>
      <c r="D93" s="6"/>
      <c r="E93" s="8"/>
      <c r="F93" s="21"/>
      <c r="G93" s="21"/>
      <c r="H93" s="9"/>
    </row>
    <row r="94" spans="1:8" ht="30" customHeight="1" x14ac:dyDescent="0.3">
      <c r="A94" s="8"/>
      <c r="B94" s="8"/>
      <c r="C94" s="8"/>
      <c r="D94" s="6"/>
      <c r="E94" s="8"/>
      <c r="F94" s="21"/>
      <c r="G94" s="21"/>
      <c r="H94" s="9"/>
    </row>
    <row r="95" spans="1:8" ht="30" customHeight="1" x14ac:dyDescent="0.3">
      <c r="A95" s="8"/>
      <c r="B95" s="8"/>
      <c r="C95" s="8"/>
      <c r="D95" s="6"/>
      <c r="E95" s="8"/>
      <c r="F95" s="21"/>
      <c r="G95" s="21"/>
      <c r="H95" s="9"/>
    </row>
    <row r="96" spans="1:8" ht="30" customHeight="1" x14ac:dyDescent="0.3">
      <c r="A96" s="8"/>
      <c r="B96" s="8"/>
      <c r="C96" s="8"/>
      <c r="D96" s="6"/>
      <c r="E96" s="8"/>
      <c r="F96" s="21"/>
      <c r="G96" s="21"/>
      <c r="H96" s="9"/>
    </row>
    <row r="97" spans="1:8" ht="30" customHeight="1" x14ac:dyDescent="0.3">
      <c r="A97" s="8"/>
      <c r="B97" s="8"/>
      <c r="C97" s="8"/>
      <c r="D97" s="6"/>
      <c r="E97" s="8"/>
      <c r="F97" s="21"/>
      <c r="G97" s="21"/>
      <c r="H97" s="9"/>
    </row>
    <row r="98" spans="1:8" ht="30" customHeight="1" x14ac:dyDescent="0.3">
      <c r="A98" s="8"/>
      <c r="B98" s="8"/>
      <c r="C98" s="8"/>
      <c r="D98" s="6"/>
      <c r="E98" s="8"/>
      <c r="F98" s="21"/>
      <c r="G98" s="21"/>
      <c r="H98" s="9"/>
    </row>
    <row r="99" spans="1:8" ht="30" customHeight="1" x14ac:dyDescent="0.3">
      <c r="A99" s="5"/>
      <c r="B99" s="3"/>
      <c r="C99" s="8"/>
      <c r="D99" s="6"/>
      <c r="E99" s="8"/>
      <c r="F99" s="21"/>
      <c r="G99" s="21"/>
      <c r="H99" s="9"/>
    </row>
    <row r="100" spans="1:8" ht="30" customHeight="1" x14ac:dyDescent="0.3">
      <c r="A100" s="5"/>
      <c r="B100" s="3"/>
      <c r="C100" s="8"/>
      <c r="D100" s="6"/>
      <c r="E100" s="8"/>
      <c r="F100" s="21"/>
      <c r="G100" s="21"/>
      <c r="H100" s="9"/>
    </row>
    <row r="101" spans="1:8" ht="30" customHeight="1" x14ac:dyDescent="0.3">
      <c r="A101" s="5"/>
      <c r="B101" s="3"/>
      <c r="C101" s="8"/>
      <c r="D101" s="6"/>
      <c r="E101" s="8"/>
      <c r="F101" s="21"/>
      <c r="G101" s="21"/>
      <c r="H101" s="9"/>
    </row>
    <row r="102" spans="1:8" ht="30" customHeight="1" x14ac:dyDescent="0.3">
      <c r="A102" s="5"/>
      <c r="B102" s="3"/>
      <c r="C102" s="8"/>
      <c r="D102" s="6"/>
      <c r="E102" s="8"/>
      <c r="F102" s="21"/>
      <c r="G102" s="21"/>
      <c r="H102" s="9"/>
    </row>
    <row r="103" spans="1:8" ht="30" customHeight="1" x14ac:dyDescent="0.3">
      <c r="A103" s="5"/>
      <c r="B103" s="3"/>
      <c r="C103" s="8"/>
      <c r="D103" s="6"/>
      <c r="E103" s="8"/>
      <c r="F103" s="21"/>
      <c r="G103" s="21"/>
      <c r="H103" s="9"/>
    </row>
    <row r="104" spans="1:8" ht="30" customHeight="1" x14ac:dyDescent="0.3">
      <c r="A104" s="5"/>
      <c r="B104" s="3"/>
      <c r="C104" s="8"/>
      <c r="D104" s="6"/>
      <c r="E104" s="8"/>
      <c r="F104" s="21"/>
      <c r="G104" s="21"/>
      <c r="H104" s="9"/>
    </row>
    <row r="105" spans="1:8" ht="30" customHeight="1" x14ac:dyDescent="0.3">
      <c r="A105" s="5"/>
      <c r="B105" s="3"/>
      <c r="C105" s="8"/>
      <c r="D105" s="6"/>
      <c r="E105" s="8"/>
      <c r="F105" s="21"/>
      <c r="G105" s="21"/>
      <c r="H105" s="9"/>
    </row>
    <row r="106" spans="1:8" ht="30" customHeight="1" x14ac:dyDescent="0.3">
      <c r="A106" s="5"/>
      <c r="B106" s="3"/>
      <c r="C106" s="8"/>
      <c r="D106" s="6"/>
      <c r="E106" s="8"/>
      <c r="F106" s="21"/>
      <c r="G106" s="21"/>
      <c r="H106" s="9"/>
    </row>
    <row r="107" spans="1:8" ht="30" customHeight="1" x14ac:dyDescent="0.3">
      <c r="A107" s="5"/>
      <c r="B107" s="3"/>
      <c r="C107" s="8"/>
      <c r="D107" s="6"/>
      <c r="E107" s="8"/>
      <c r="F107" s="21"/>
      <c r="G107" s="21"/>
      <c r="H107" s="9"/>
    </row>
    <row r="108" spans="1:8" ht="30" customHeight="1" x14ac:dyDescent="0.3">
      <c r="A108" s="5"/>
      <c r="B108" s="3"/>
      <c r="C108" s="8"/>
      <c r="D108" s="6"/>
      <c r="E108" s="8"/>
      <c r="F108" s="21"/>
      <c r="G108" s="21"/>
      <c r="H108" s="9"/>
    </row>
    <row r="109" spans="1:8" ht="30" customHeight="1" x14ac:dyDescent="0.3">
      <c r="A109" s="5"/>
      <c r="B109" s="3"/>
      <c r="C109" s="8"/>
      <c r="D109" s="6"/>
      <c r="E109" s="8"/>
      <c r="F109" s="21"/>
      <c r="G109" s="21"/>
      <c r="H109" s="9"/>
    </row>
    <row r="110" spans="1:8" ht="30" customHeight="1" x14ac:dyDescent="0.3">
      <c r="A110" s="5"/>
      <c r="B110" s="3"/>
      <c r="C110" s="8"/>
      <c r="D110" s="6"/>
      <c r="E110" s="8"/>
      <c r="F110" s="21"/>
      <c r="G110" s="21"/>
      <c r="H110" s="9"/>
    </row>
    <row r="111" spans="1:8" ht="30" customHeight="1" x14ac:dyDescent="0.3">
      <c r="A111" s="5"/>
      <c r="B111" s="3"/>
      <c r="C111" s="8"/>
      <c r="D111" s="6"/>
      <c r="E111" s="8"/>
      <c r="F111" s="21"/>
      <c r="G111" s="21"/>
      <c r="H111" s="9"/>
    </row>
    <row r="112" spans="1:8" ht="30" customHeight="1" x14ac:dyDescent="0.3">
      <c r="A112" s="5"/>
      <c r="B112" s="3"/>
      <c r="C112" s="8"/>
      <c r="D112" s="6"/>
      <c r="E112" s="8"/>
      <c r="F112" s="21"/>
      <c r="G112" s="21"/>
      <c r="H112" s="9"/>
    </row>
    <row r="113" spans="1:8" ht="30" customHeight="1" x14ac:dyDescent="0.3">
      <c r="A113" s="5"/>
      <c r="B113" s="3"/>
      <c r="C113" s="8"/>
      <c r="D113" s="6"/>
      <c r="E113" s="8"/>
      <c r="F113" s="21"/>
      <c r="G113" s="21"/>
      <c r="H113" s="9"/>
    </row>
    <row r="114" spans="1:8" ht="30" customHeight="1" x14ac:dyDescent="0.3">
      <c r="A114" s="5"/>
      <c r="B114" s="3"/>
      <c r="C114" s="8"/>
      <c r="D114" s="6"/>
      <c r="E114" s="8"/>
      <c r="F114" s="21"/>
      <c r="G114" s="21"/>
      <c r="H114" s="9"/>
    </row>
    <row r="115" spans="1:8" ht="30" customHeight="1" x14ac:dyDescent="0.3">
      <c r="A115" s="5"/>
      <c r="B115" s="3"/>
      <c r="C115" s="8"/>
      <c r="D115" s="6"/>
      <c r="E115" s="8"/>
      <c r="F115" s="21"/>
      <c r="G115" s="21"/>
      <c r="H115" s="9"/>
    </row>
    <row r="116" spans="1:8" ht="30" customHeight="1" x14ac:dyDescent="0.3">
      <c r="A116" s="5"/>
      <c r="B116" s="3"/>
      <c r="C116" s="8"/>
      <c r="D116" s="6"/>
      <c r="E116" s="8"/>
      <c r="F116" s="21"/>
      <c r="G116" s="21"/>
      <c r="H116" s="9"/>
    </row>
    <row r="117" spans="1:8" ht="30" customHeight="1" x14ac:dyDescent="0.3">
      <c r="A117" s="5"/>
      <c r="B117" s="3"/>
      <c r="C117" s="8"/>
      <c r="D117" s="6"/>
      <c r="E117" s="8"/>
      <c r="F117" s="21"/>
      <c r="G117" s="21"/>
      <c r="H117" s="9"/>
    </row>
    <row r="118" spans="1:8" ht="30" customHeight="1" x14ac:dyDescent="0.3">
      <c r="A118" s="5"/>
      <c r="B118" s="3"/>
      <c r="C118" s="8"/>
      <c r="D118" s="6"/>
      <c r="E118" s="8"/>
      <c r="F118" s="21"/>
      <c r="G118" s="21"/>
      <c r="H118" s="9"/>
    </row>
    <row r="119" spans="1:8" ht="30" customHeight="1" x14ac:dyDescent="0.3">
      <c r="A119" s="5"/>
      <c r="B119" s="3"/>
      <c r="C119" s="8"/>
      <c r="D119" s="6"/>
      <c r="E119" s="8"/>
      <c r="F119" s="21"/>
      <c r="G119" s="21"/>
      <c r="H119" s="9"/>
    </row>
    <row r="120" spans="1:8" ht="30" customHeight="1" x14ac:dyDescent="0.3">
      <c r="A120" s="5"/>
      <c r="B120" s="3"/>
      <c r="C120" s="8"/>
      <c r="D120" s="6"/>
      <c r="E120" s="8"/>
      <c r="F120" s="21"/>
      <c r="G120" s="21"/>
      <c r="H120" s="9"/>
    </row>
    <row r="121" spans="1:8" ht="30" customHeight="1" x14ac:dyDescent="0.3">
      <c r="A121" s="5"/>
      <c r="B121" s="3"/>
      <c r="C121" s="8"/>
      <c r="D121" s="6"/>
      <c r="E121" s="8"/>
      <c r="F121" s="21"/>
      <c r="G121" s="21"/>
      <c r="H121" s="9"/>
    </row>
    <row r="122" spans="1:8" ht="30" customHeight="1" x14ac:dyDescent="0.3">
      <c r="A122" s="5"/>
      <c r="B122" s="3"/>
      <c r="C122" s="8"/>
      <c r="D122" s="6"/>
      <c r="E122" s="8"/>
      <c r="F122" s="21"/>
      <c r="G122" s="21"/>
      <c r="H122" s="9"/>
    </row>
    <row r="123" spans="1:8" ht="30" customHeight="1" x14ac:dyDescent="0.3">
      <c r="A123" s="5"/>
      <c r="B123" s="3"/>
      <c r="C123" s="8"/>
      <c r="D123" s="6"/>
      <c r="E123" s="8"/>
      <c r="F123" s="21"/>
      <c r="G123" s="21"/>
      <c r="H123" s="9"/>
    </row>
    <row r="124" spans="1:8" ht="30" customHeight="1" x14ac:dyDescent="0.3">
      <c r="A124" s="5"/>
      <c r="B124" s="3"/>
      <c r="C124" s="8"/>
      <c r="D124" s="6"/>
      <c r="E124" s="8"/>
      <c r="F124" s="21"/>
      <c r="G124" s="21"/>
      <c r="H124" s="9"/>
    </row>
    <row r="125" spans="1:8" ht="30" customHeight="1" x14ac:dyDescent="0.3">
      <c r="A125" s="5"/>
      <c r="B125" s="3"/>
      <c r="C125" s="8"/>
      <c r="D125" s="6"/>
      <c r="E125" s="8"/>
      <c r="F125" s="21"/>
      <c r="G125" s="21"/>
      <c r="H125" s="9"/>
    </row>
    <row r="126" spans="1:8" ht="30" customHeight="1" x14ac:dyDescent="0.3">
      <c r="A126" s="5"/>
      <c r="B126" s="3"/>
      <c r="C126" s="8"/>
      <c r="D126" s="6"/>
      <c r="E126" s="8"/>
      <c r="F126" s="21"/>
      <c r="G126" s="21"/>
      <c r="H126" s="9"/>
    </row>
    <row r="127" spans="1:8" ht="30" customHeight="1" x14ac:dyDescent="0.3">
      <c r="A127" s="5"/>
      <c r="B127" s="3"/>
      <c r="C127" s="8"/>
      <c r="D127" s="6"/>
      <c r="E127" s="8"/>
      <c r="F127" s="21"/>
      <c r="G127" s="21"/>
      <c r="H127" s="9"/>
    </row>
    <row r="128" spans="1:8" ht="30" customHeight="1" x14ac:dyDescent="0.3">
      <c r="A128" s="5"/>
      <c r="B128" s="3"/>
      <c r="C128" s="8"/>
      <c r="D128" s="6"/>
      <c r="E128" s="8"/>
      <c r="F128" s="21"/>
      <c r="G128" s="21"/>
      <c r="H128" s="9"/>
    </row>
    <row r="129" spans="1:8" ht="30" customHeight="1" x14ac:dyDescent="0.3">
      <c r="A129" s="5"/>
      <c r="B129" s="3"/>
      <c r="C129" s="8"/>
      <c r="D129" s="6"/>
      <c r="E129" s="8"/>
      <c r="F129" s="21"/>
      <c r="G129" s="21"/>
      <c r="H129" s="9"/>
    </row>
    <row r="130" spans="1:8" ht="30" customHeight="1" x14ac:dyDescent="0.3">
      <c r="A130" s="5"/>
      <c r="B130" s="3"/>
      <c r="C130" s="8"/>
      <c r="D130" s="6"/>
      <c r="E130" s="8"/>
      <c r="F130" s="21"/>
      <c r="G130" s="21"/>
      <c r="H130" s="9"/>
    </row>
    <row r="131" spans="1:8" ht="30" customHeight="1" x14ac:dyDescent="0.3">
      <c r="A131" s="5"/>
      <c r="B131" s="3"/>
      <c r="C131" s="8"/>
      <c r="D131" s="6"/>
      <c r="E131" s="8"/>
      <c r="F131" s="21"/>
      <c r="G131" s="21"/>
      <c r="H131" s="9"/>
    </row>
    <row r="132" spans="1:8" ht="30" customHeight="1" x14ac:dyDescent="0.3">
      <c r="A132" s="5"/>
      <c r="B132" s="3"/>
      <c r="C132" s="8"/>
      <c r="D132" s="6"/>
      <c r="E132" s="8"/>
      <c r="F132" s="21"/>
      <c r="G132" s="21"/>
      <c r="H132" s="9"/>
    </row>
    <row r="133" spans="1:8" ht="30" customHeight="1" x14ac:dyDescent="0.3">
      <c r="A133" s="5"/>
      <c r="B133" s="3"/>
      <c r="C133" s="8"/>
      <c r="D133" s="6"/>
      <c r="E133" s="8"/>
      <c r="F133" s="21"/>
      <c r="G133" s="21"/>
      <c r="H133" s="9"/>
    </row>
    <row r="134" spans="1:8" ht="30" customHeight="1" x14ac:dyDescent="0.3">
      <c r="A134" s="5"/>
      <c r="B134" s="3"/>
      <c r="C134" s="8"/>
      <c r="D134" s="6"/>
      <c r="E134" s="8"/>
      <c r="F134" s="21"/>
      <c r="G134" s="21"/>
      <c r="H134" s="9"/>
    </row>
    <row r="135" spans="1:8" ht="30" customHeight="1" x14ac:dyDescent="0.3">
      <c r="A135" s="5"/>
      <c r="B135" s="3"/>
      <c r="C135" s="8"/>
      <c r="D135" s="6"/>
      <c r="E135" s="8"/>
      <c r="F135" s="21"/>
      <c r="G135" s="21"/>
      <c r="H135" s="9"/>
    </row>
    <row r="136" spans="1:8" ht="30" customHeight="1" x14ac:dyDescent="0.3">
      <c r="A136" s="5"/>
      <c r="B136" s="3"/>
      <c r="C136" s="8"/>
      <c r="D136" s="6"/>
      <c r="E136" s="8"/>
      <c r="F136" s="21"/>
      <c r="G136" s="21"/>
      <c r="H136" s="9"/>
    </row>
    <row r="137" spans="1:8" ht="30" customHeight="1" x14ac:dyDescent="0.3">
      <c r="A137" s="5"/>
      <c r="B137" s="3"/>
      <c r="C137" s="8"/>
      <c r="D137" s="6"/>
      <c r="E137" s="8"/>
      <c r="F137" s="21"/>
      <c r="G137" s="21"/>
      <c r="H137" s="9"/>
    </row>
    <row r="138" spans="1:8" ht="30" customHeight="1" x14ac:dyDescent="0.3">
      <c r="A138" s="5"/>
      <c r="B138" s="3"/>
      <c r="C138" s="8"/>
      <c r="D138" s="6"/>
      <c r="E138" s="8"/>
      <c r="F138" s="21"/>
      <c r="G138" s="21"/>
      <c r="H138" s="9"/>
    </row>
    <row r="139" spans="1:8" ht="30" customHeight="1" x14ac:dyDescent="0.3">
      <c r="A139" s="5"/>
      <c r="B139" s="3"/>
      <c r="C139" s="8"/>
      <c r="D139" s="6"/>
      <c r="E139" s="8"/>
      <c r="F139" s="21"/>
      <c r="G139" s="21"/>
      <c r="H139" s="9"/>
    </row>
    <row r="140" spans="1:8" ht="30" customHeight="1" x14ac:dyDescent="0.3">
      <c r="A140" s="5"/>
      <c r="B140" s="3"/>
      <c r="C140" s="8"/>
      <c r="D140" s="6"/>
      <c r="E140" s="8"/>
      <c r="F140" s="21"/>
      <c r="G140" s="21"/>
      <c r="H140" s="9"/>
    </row>
    <row r="141" spans="1:8" ht="30" customHeight="1" x14ac:dyDescent="0.3">
      <c r="A141" s="5"/>
      <c r="B141" s="3"/>
      <c r="C141" s="8"/>
      <c r="D141" s="6"/>
      <c r="E141" s="8"/>
      <c r="F141" s="21"/>
      <c r="G141" s="21"/>
      <c r="H141" s="9"/>
    </row>
    <row r="142" spans="1:8" ht="30" customHeight="1" x14ac:dyDescent="0.3">
      <c r="A142" s="5"/>
      <c r="B142" s="3"/>
      <c r="C142" s="8"/>
      <c r="D142" s="6"/>
      <c r="E142" s="8"/>
      <c r="F142" s="21"/>
      <c r="G142" s="21"/>
      <c r="H142" s="9"/>
    </row>
    <row r="143" spans="1:8" ht="30" customHeight="1" x14ac:dyDescent="0.3">
      <c r="A143" s="5"/>
      <c r="B143" s="3"/>
      <c r="C143" s="8"/>
      <c r="D143" s="6"/>
      <c r="E143" s="8"/>
      <c r="F143" s="21"/>
      <c r="G143" s="21"/>
      <c r="H143" s="9"/>
    </row>
    <row r="144" spans="1:8" ht="30" customHeight="1" x14ac:dyDescent="0.3">
      <c r="A144" s="5"/>
      <c r="B144" s="3"/>
      <c r="C144" s="8"/>
      <c r="D144" s="6"/>
      <c r="E144" s="8"/>
      <c r="F144" s="21"/>
      <c r="G144" s="21"/>
      <c r="H144" s="9"/>
    </row>
    <row r="145" spans="1:8" ht="30" customHeight="1" x14ac:dyDescent="0.3">
      <c r="A145" s="5"/>
      <c r="B145" s="3"/>
      <c r="C145" s="8"/>
      <c r="D145" s="6"/>
      <c r="E145" s="8"/>
      <c r="F145" s="21"/>
      <c r="G145" s="21"/>
      <c r="H145" s="9"/>
    </row>
    <row r="146" spans="1:8" ht="30" customHeight="1" x14ac:dyDescent="0.3">
      <c r="A146" s="5"/>
      <c r="B146" s="3"/>
      <c r="C146" s="8"/>
      <c r="D146" s="6"/>
      <c r="E146" s="8"/>
      <c r="F146" s="21"/>
      <c r="G146" s="21"/>
      <c r="H146" s="9"/>
    </row>
    <row r="147" spans="1:8" ht="30" customHeight="1" x14ac:dyDescent="0.3">
      <c r="A147" s="5"/>
      <c r="B147" s="3"/>
      <c r="C147" s="8"/>
      <c r="D147" s="6"/>
      <c r="E147" s="8"/>
      <c r="F147" s="21"/>
      <c r="G147" s="21"/>
      <c r="H147" s="9"/>
    </row>
    <row r="148" spans="1:8" ht="30" customHeight="1" x14ac:dyDescent="0.3">
      <c r="A148" s="5"/>
      <c r="B148" s="3"/>
      <c r="C148" s="8"/>
      <c r="D148" s="6"/>
      <c r="E148" s="8"/>
      <c r="F148" s="21"/>
      <c r="G148" s="21"/>
      <c r="H148" s="9"/>
    </row>
    <row r="149" spans="1:8" ht="30" customHeight="1" x14ac:dyDescent="0.3">
      <c r="A149" s="5"/>
      <c r="B149" s="3"/>
      <c r="C149" s="8"/>
      <c r="D149" s="6"/>
      <c r="E149" s="8"/>
      <c r="F149" s="21"/>
      <c r="G149" s="21"/>
      <c r="H149" s="9"/>
    </row>
    <row r="150" spans="1:8" ht="30" customHeight="1" x14ac:dyDescent="0.3">
      <c r="A150" s="5"/>
      <c r="B150" s="3"/>
      <c r="C150" s="8"/>
      <c r="D150" s="6"/>
      <c r="E150" s="8"/>
      <c r="F150" s="21"/>
      <c r="G150" s="21"/>
      <c r="H150" s="9"/>
    </row>
    <row r="151" spans="1:8" ht="30" customHeight="1" x14ac:dyDescent="0.3">
      <c r="A151" s="5"/>
      <c r="B151" s="3"/>
      <c r="C151" s="8"/>
      <c r="D151" s="6"/>
      <c r="E151" s="8"/>
      <c r="F151" s="21"/>
      <c r="G151" s="21"/>
      <c r="H151" s="9"/>
    </row>
    <row r="152" spans="1:8" ht="30" customHeight="1" x14ac:dyDescent="0.3">
      <c r="A152" s="5"/>
      <c r="B152" s="3"/>
      <c r="C152" s="8"/>
      <c r="D152" s="6"/>
      <c r="E152" s="8"/>
      <c r="F152" s="3"/>
      <c r="G152" s="3"/>
      <c r="H152" s="9"/>
    </row>
    <row r="153" spans="1:8" ht="30" customHeight="1" x14ac:dyDescent="0.3">
      <c r="A153" s="5"/>
      <c r="B153" s="3"/>
      <c r="C153" s="8"/>
      <c r="D153" s="6"/>
      <c r="E153" s="8"/>
      <c r="F153" s="3"/>
      <c r="G153" s="3"/>
      <c r="H153" s="9"/>
    </row>
    <row r="154" spans="1:8" ht="30" customHeight="1" x14ac:dyDescent="0.3">
      <c r="A154" s="5"/>
      <c r="B154" s="3"/>
      <c r="C154" s="8"/>
      <c r="D154" s="6"/>
      <c r="E154" s="8"/>
      <c r="F154" s="3"/>
      <c r="G154" s="3"/>
      <c r="H154" s="9"/>
    </row>
    <row r="155" spans="1:8" ht="30" customHeight="1" x14ac:dyDescent="0.3">
      <c r="A155" s="5"/>
      <c r="B155" s="3"/>
      <c r="C155" s="8"/>
      <c r="D155" s="6"/>
      <c r="E155" s="8"/>
      <c r="F155" s="3"/>
      <c r="G155" s="3"/>
      <c r="H155" s="9"/>
    </row>
    <row r="156" spans="1:8" ht="30" customHeight="1" x14ac:dyDescent="0.3">
      <c r="A156" s="5"/>
      <c r="B156" s="3"/>
      <c r="C156" s="8"/>
      <c r="D156" s="6"/>
      <c r="E156" s="8"/>
      <c r="F156" s="3"/>
      <c r="G156" s="3"/>
      <c r="H156" s="9"/>
    </row>
    <row r="157" spans="1:8" ht="30" customHeight="1" x14ac:dyDescent="0.3">
      <c r="A157" s="5"/>
      <c r="B157" s="3"/>
      <c r="C157" s="8"/>
      <c r="D157" s="6"/>
      <c r="E157" s="8"/>
      <c r="F157" s="3"/>
      <c r="G157" s="3"/>
      <c r="H157" s="9"/>
    </row>
    <row r="158" spans="1:8" ht="30" customHeight="1" x14ac:dyDescent="0.3">
      <c r="A158" s="5"/>
      <c r="B158" s="3"/>
      <c r="C158" s="8"/>
      <c r="D158" s="6"/>
      <c r="E158" s="8"/>
      <c r="F158" s="3"/>
      <c r="G158" s="3"/>
      <c r="H158" s="9"/>
    </row>
    <row r="159" spans="1:8" ht="30" customHeight="1" x14ac:dyDescent="0.3">
      <c r="A159" s="5"/>
      <c r="B159" s="3"/>
      <c r="C159" s="8"/>
      <c r="D159" s="6"/>
      <c r="E159" s="8"/>
      <c r="F159" s="3"/>
      <c r="G159" s="3"/>
      <c r="H159" s="9"/>
    </row>
    <row r="160" spans="1:8" ht="30" customHeight="1" x14ac:dyDescent="0.3">
      <c r="A160" s="5"/>
      <c r="B160" s="3"/>
      <c r="C160" s="8"/>
      <c r="D160" s="6"/>
      <c r="E160" s="8"/>
      <c r="F160" s="3"/>
      <c r="G160" s="3"/>
      <c r="H160" s="9"/>
    </row>
    <row r="161" spans="1:8" ht="30" customHeight="1" x14ac:dyDescent="0.3">
      <c r="A161" s="5"/>
      <c r="B161" s="3"/>
      <c r="C161" s="8"/>
      <c r="D161" s="6"/>
      <c r="E161" s="8"/>
      <c r="F161" s="3"/>
      <c r="G161" s="3"/>
      <c r="H161" s="9"/>
    </row>
    <row r="162" spans="1:8" ht="30" customHeight="1" x14ac:dyDescent="0.3">
      <c r="A162" s="5"/>
      <c r="B162" s="3"/>
      <c r="C162" s="8"/>
      <c r="D162" s="6"/>
      <c r="E162" s="8"/>
      <c r="F162" s="3"/>
      <c r="G162" s="3"/>
      <c r="H162" s="9"/>
    </row>
    <row r="163" spans="1:8" ht="30" customHeight="1" x14ac:dyDescent="0.3">
      <c r="A163" s="5"/>
      <c r="B163" s="3"/>
      <c r="C163" s="8"/>
      <c r="D163" s="6"/>
      <c r="E163" s="8"/>
      <c r="F163" s="3"/>
      <c r="G163" s="3"/>
      <c r="H163" s="9"/>
    </row>
    <row r="164" spans="1:8" ht="30" customHeight="1" x14ac:dyDescent="0.3">
      <c r="A164" s="5"/>
      <c r="B164" s="3"/>
      <c r="C164" s="8"/>
      <c r="D164" s="6"/>
      <c r="E164" s="8"/>
      <c r="F164" s="3"/>
      <c r="G164" s="3"/>
      <c r="H164" s="9"/>
    </row>
    <row r="165" spans="1:8" ht="30" customHeight="1" x14ac:dyDescent="0.3">
      <c r="A165" s="5"/>
      <c r="B165" s="3"/>
      <c r="C165" s="8"/>
      <c r="D165" s="6"/>
      <c r="E165" s="8"/>
      <c r="F165" s="3"/>
      <c r="G165" s="3"/>
      <c r="H165" s="9"/>
    </row>
    <row r="166" spans="1:8" ht="30" customHeight="1" x14ac:dyDescent="0.3">
      <c r="A166" s="5"/>
      <c r="B166" s="3"/>
      <c r="C166" s="8"/>
      <c r="D166" s="6"/>
      <c r="E166" s="8"/>
      <c r="F166" s="3"/>
      <c r="G166" s="3"/>
      <c r="H166" s="9"/>
    </row>
    <row r="167" spans="1:8" ht="30" customHeight="1" x14ac:dyDescent="0.3">
      <c r="A167" s="5"/>
      <c r="B167" s="3"/>
      <c r="C167" s="8"/>
      <c r="D167" s="6"/>
      <c r="E167" s="8"/>
      <c r="F167" s="3"/>
      <c r="G167" s="3"/>
      <c r="H167" s="9"/>
    </row>
    <row r="168" spans="1:8" ht="30" customHeight="1" x14ac:dyDescent="0.3">
      <c r="A168" s="5"/>
      <c r="B168" s="3"/>
      <c r="C168" s="8"/>
      <c r="D168" s="6"/>
      <c r="E168" s="8"/>
      <c r="F168" s="3"/>
      <c r="G168" s="3"/>
      <c r="H168" s="9"/>
    </row>
    <row r="169" spans="1:8" ht="30" customHeight="1" x14ac:dyDescent="0.3">
      <c r="A169" s="5"/>
      <c r="B169" s="3"/>
      <c r="C169" s="8"/>
      <c r="D169" s="6"/>
      <c r="E169" s="8"/>
      <c r="F169" s="3"/>
      <c r="G169" s="3"/>
      <c r="H169" s="9"/>
    </row>
    <row r="170" spans="1:8" ht="30" customHeight="1" x14ac:dyDescent="0.3">
      <c r="A170" s="5"/>
      <c r="B170" s="3"/>
      <c r="C170" s="8"/>
      <c r="D170" s="6"/>
      <c r="E170" s="8"/>
      <c r="F170" s="3"/>
      <c r="G170" s="3"/>
      <c r="H170" s="9"/>
    </row>
    <row r="171" spans="1:8" ht="30" customHeight="1" x14ac:dyDescent="0.3">
      <c r="A171" s="5"/>
      <c r="B171" s="3"/>
      <c r="C171" s="8"/>
      <c r="D171" s="6"/>
      <c r="E171" s="8"/>
      <c r="F171" s="3"/>
      <c r="G171" s="3"/>
      <c r="H171" s="9"/>
    </row>
    <row r="172" spans="1:8" ht="30" customHeight="1" x14ac:dyDescent="0.3">
      <c r="A172" s="5"/>
      <c r="B172" s="3"/>
      <c r="C172" s="8"/>
      <c r="D172" s="6"/>
      <c r="E172" s="8"/>
      <c r="F172" s="3"/>
      <c r="G172" s="3"/>
      <c r="H172" s="9"/>
    </row>
    <row r="173" spans="1:8" ht="30" customHeight="1" x14ac:dyDescent="0.3">
      <c r="A173" s="5"/>
      <c r="B173" s="3"/>
      <c r="C173" s="10"/>
      <c r="D173" s="6"/>
      <c r="E173" s="8"/>
      <c r="F173" s="3"/>
      <c r="G173" s="3"/>
      <c r="H173" s="9"/>
    </row>
    <row r="174" spans="1:8" ht="30" customHeight="1" x14ac:dyDescent="0.3">
      <c r="A174" s="5"/>
      <c r="B174" s="3"/>
      <c r="C174" s="10"/>
      <c r="D174" s="6"/>
      <c r="E174" s="8"/>
      <c r="F174" s="3"/>
      <c r="G174" s="3"/>
      <c r="H174" s="9"/>
    </row>
    <row r="175" spans="1:8" ht="30" customHeight="1" x14ac:dyDescent="0.3">
      <c r="A175" s="5"/>
      <c r="B175" s="3"/>
      <c r="C175" s="10"/>
      <c r="D175" s="6"/>
      <c r="E175" s="8"/>
      <c r="F175" s="3"/>
      <c r="G175" s="3"/>
      <c r="H175" s="9"/>
    </row>
    <row r="176" spans="1:8" ht="30" customHeight="1" x14ac:dyDescent="0.3">
      <c r="A176" s="5"/>
      <c r="B176" s="3"/>
      <c r="C176" s="10"/>
      <c r="D176" s="6"/>
      <c r="E176" s="8"/>
      <c r="F176" s="3"/>
      <c r="G176" s="3"/>
      <c r="H176" s="9"/>
    </row>
    <row r="177" spans="1:8" ht="30" customHeight="1" x14ac:dyDescent="0.3">
      <c r="A177" s="5"/>
      <c r="B177" s="3"/>
      <c r="C177" s="10"/>
      <c r="D177" s="6"/>
      <c r="E177" s="8"/>
      <c r="F177" s="3"/>
      <c r="G177" s="3"/>
      <c r="H177" s="9"/>
    </row>
    <row r="178" spans="1:8" ht="30" customHeight="1" x14ac:dyDescent="0.3">
      <c r="A178" s="5"/>
      <c r="B178" s="3"/>
      <c r="C178" s="10"/>
      <c r="D178" s="6"/>
      <c r="E178" s="8"/>
      <c r="F178" s="3"/>
      <c r="G178" s="3"/>
      <c r="H178" s="9"/>
    </row>
    <row r="179" spans="1:8" ht="30" customHeight="1" x14ac:dyDescent="0.3">
      <c r="A179" s="5"/>
      <c r="B179" s="3"/>
      <c r="C179" s="10"/>
      <c r="D179" s="6"/>
      <c r="E179" s="8"/>
      <c r="F179" s="3"/>
      <c r="G179" s="3"/>
      <c r="H179" s="9"/>
    </row>
    <row r="180" spans="1:8" ht="30" customHeight="1" x14ac:dyDescent="0.3">
      <c r="A180" s="5"/>
      <c r="B180" s="3"/>
      <c r="C180" s="10"/>
      <c r="D180" s="6"/>
      <c r="E180" s="8"/>
      <c r="F180" s="3"/>
      <c r="G180" s="3"/>
      <c r="H180" s="9"/>
    </row>
    <row r="181" spans="1:8" ht="30" customHeight="1" x14ac:dyDescent="0.3">
      <c r="A181" s="5"/>
      <c r="B181" s="3"/>
      <c r="C181" s="9"/>
      <c r="D181" s="6"/>
      <c r="E181" s="8"/>
      <c r="F181" s="3"/>
      <c r="G181" s="3"/>
      <c r="H181" s="9"/>
    </row>
    <row r="182" spans="1:8" ht="30" customHeight="1" x14ac:dyDescent="0.3">
      <c r="A182" s="5"/>
      <c r="B182" s="3"/>
      <c r="C182" s="9"/>
      <c r="D182" s="6"/>
      <c r="E182" s="8"/>
      <c r="F182" s="3"/>
      <c r="G182" s="3"/>
      <c r="H182" s="9"/>
    </row>
    <row r="183" spans="1:8" ht="30" customHeight="1" x14ac:dyDescent="0.3">
      <c r="A183" s="5"/>
      <c r="B183" s="3"/>
      <c r="C183" s="9"/>
      <c r="D183" s="6"/>
      <c r="E183" s="8"/>
      <c r="F183" s="3"/>
      <c r="G183" s="3"/>
      <c r="H183" s="9"/>
    </row>
    <row r="184" spans="1:8" ht="30" customHeight="1" x14ac:dyDescent="0.3">
      <c r="A184" s="5"/>
      <c r="B184" s="3"/>
      <c r="C184" s="9"/>
      <c r="D184" s="6"/>
      <c r="E184" s="8"/>
      <c r="F184" s="3"/>
      <c r="G184" s="3"/>
      <c r="H184" s="9"/>
    </row>
    <row r="185" spans="1:8" ht="30" customHeight="1" x14ac:dyDescent="0.3">
      <c r="A185" s="5"/>
      <c r="B185" s="3"/>
      <c r="C185" s="9"/>
      <c r="D185" s="6"/>
      <c r="E185" s="8"/>
      <c r="F185" s="3"/>
      <c r="G185" s="3"/>
      <c r="H185" s="9"/>
    </row>
    <row r="186" spans="1:8" ht="30" customHeight="1" x14ac:dyDescent="0.3">
      <c r="A186" s="5"/>
      <c r="B186" s="3"/>
      <c r="C186" s="9"/>
      <c r="D186" s="6"/>
      <c r="E186" s="8"/>
      <c r="F186" s="3"/>
      <c r="G186" s="3"/>
      <c r="H186" s="9"/>
    </row>
    <row r="187" spans="1:8" ht="30" customHeight="1" x14ac:dyDescent="0.3">
      <c r="A187" s="5"/>
      <c r="B187" s="3"/>
      <c r="C187" s="9"/>
      <c r="D187" s="6"/>
      <c r="E187" s="8"/>
      <c r="F187" s="3"/>
      <c r="G187" s="3"/>
      <c r="H187" s="9"/>
    </row>
    <row r="188" spans="1:8" ht="30" customHeight="1" x14ac:dyDescent="0.3">
      <c r="A188" s="5"/>
      <c r="B188" s="3"/>
      <c r="C188" s="9"/>
      <c r="D188" s="6"/>
      <c r="E188" s="8"/>
      <c r="F188" s="3"/>
      <c r="G188" s="3"/>
      <c r="H188" s="9"/>
    </row>
    <row r="189" spans="1:8" ht="30" customHeight="1" x14ac:dyDescent="0.3">
      <c r="A189" s="5"/>
      <c r="B189" s="3"/>
      <c r="C189" s="9"/>
      <c r="D189" s="6"/>
      <c r="E189" s="8"/>
      <c r="F189" s="3"/>
      <c r="G189" s="3"/>
      <c r="H189" s="9"/>
    </row>
    <row r="190" spans="1:8" ht="30" customHeight="1" x14ac:dyDescent="0.3">
      <c r="A190" s="5"/>
      <c r="B190" s="3"/>
      <c r="C190" s="9"/>
      <c r="D190" s="6"/>
      <c r="E190" s="8"/>
      <c r="F190" s="3"/>
      <c r="G190" s="3"/>
      <c r="H190" s="9"/>
    </row>
    <row r="191" spans="1:8" ht="30" customHeight="1" x14ac:dyDescent="0.3">
      <c r="A191" s="5"/>
      <c r="B191" s="3"/>
      <c r="C191" s="9"/>
      <c r="D191" s="6"/>
      <c r="E191" s="8"/>
      <c r="F191" s="3"/>
      <c r="G191" s="3"/>
      <c r="H191" s="9"/>
    </row>
    <row r="192" spans="1:8" ht="30" customHeight="1" x14ac:dyDescent="0.3">
      <c r="A192" s="5"/>
      <c r="B192" s="3"/>
      <c r="C192" s="9"/>
      <c r="D192" s="6"/>
      <c r="E192" s="8"/>
      <c r="F192" s="3"/>
      <c r="G192" s="3"/>
      <c r="H192" s="9"/>
    </row>
    <row r="193" spans="1:8" ht="30" customHeight="1" x14ac:dyDescent="0.3">
      <c r="A193" s="5"/>
      <c r="B193" s="3"/>
      <c r="C193" s="9"/>
      <c r="D193" s="6"/>
      <c r="E193" s="8"/>
      <c r="F193" s="3"/>
      <c r="G193" s="3"/>
      <c r="H193" s="9"/>
    </row>
    <row r="194" spans="1:8" ht="30" customHeight="1" x14ac:dyDescent="0.3">
      <c r="A194" s="5"/>
      <c r="B194" s="3"/>
      <c r="C194" s="9"/>
      <c r="D194" s="6"/>
      <c r="E194" s="8"/>
      <c r="F194" s="3"/>
      <c r="G194" s="3"/>
      <c r="H194" s="9"/>
    </row>
    <row r="195" spans="1:8" ht="30" customHeight="1" x14ac:dyDescent="0.3">
      <c r="A195" s="5"/>
      <c r="B195" s="3"/>
      <c r="C195" s="9"/>
      <c r="D195" s="6"/>
      <c r="E195" s="8"/>
      <c r="F195" s="3"/>
      <c r="G195" s="3"/>
      <c r="H195" s="9"/>
    </row>
    <row r="196" spans="1:8" ht="30" customHeight="1" x14ac:dyDescent="0.3">
      <c r="A196" s="5"/>
      <c r="B196" s="3"/>
      <c r="C196" s="9"/>
      <c r="D196" s="6"/>
      <c r="E196" s="8"/>
      <c r="F196" s="3"/>
      <c r="G196" s="3"/>
      <c r="H196" s="9"/>
    </row>
    <row r="197" spans="1:8" ht="30" customHeight="1" x14ac:dyDescent="0.3">
      <c r="A197" s="5"/>
      <c r="B197" s="3"/>
      <c r="C197" s="9"/>
      <c r="D197" s="6"/>
      <c r="E197" s="8"/>
      <c r="F197" s="3"/>
      <c r="G197" s="3"/>
      <c r="H197" s="9"/>
    </row>
    <row r="198" spans="1:8" ht="30" customHeight="1" x14ac:dyDescent="0.3">
      <c r="A198" s="5"/>
      <c r="B198" s="3"/>
      <c r="C198" s="9"/>
      <c r="D198" s="6"/>
      <c r="E198" s="8"/>
      <c r="F198" s="3"/>
      <c r="G198" s="3"/>
      <c r="H198" s="9"/>
    </row>
    <row r="199" spans="1:8" ht="30" customHeight="1" x14ac:dyDescent="0.3">
      <c r="A199" s="5"/>
      <c r="B199" s="3"/>
      <c r="C199" s="9"/>
      <c r="D199" s="6"/>
      <c r="E199" s="8"/>
      <c r="F199" s="3"/>
      <c r="G199" s="3"/>
      <c r="H199" s="9"/>
    </row>
    <row r="200" spans="1:8" ht="30" customHeight="1" x14ac:dyDescent="0.3">
      <c r="A200" s="5"/>
      <c r="B200" s="3"/>
      <c r="C200" s="9"/>
      <c r="D200" s="6"/>
      <c r="E200" s="8"/>
      <c r="F200" s="3"/>
      <c r="G200" s="3"/>
      <c r="H200" s="9"/>
    </row>
    <row r="201" spans="1:8" ht="30" customHeight="1" x14ac:dyDescent="0.3">
      <c r="A201" s="5"/>
      <c r="B201" s="3"/>
      <c r="C201" s="9"/>
      <c r="D201" s="6"/>
      <c r="E201" s="8"/>
      <c r="F201" s="3"/>
      <c r="G201" s="3"/>
      <c r="H201" s="9"/>
    </row>
    <row r="202" spans="1:8" ht="30" customHeight="1" x14ac:dyDescent="0.3">
      <c r="A202" s="5"/>
      <c r="B202" s="3"/>
      <c r="C202" s="9"/>
      <c r="D202" s="6"/>
      <c r="E202" s="8"/>
      <c r="F202" s="3"/>
      <c r="G202" s="3"/>
      <c r="H202" s="9"/>
    </row>
    <row r="203" spans="1:8" ht="30" customHeight="1" x14ac:dyDescent="0.3">
      <c r="A203" s="5"/>
      <c r="B203" s="3"/>
      <c r="C203" s="9"/>
      <c r="D203" s="6"/>
      <c r="E203" s="8"/>
      <c r="F203" s="3"/>
      <c r="G203" s="3"/>
      <c r="H203" s="9"/>
    </row>
    <row r="204" spans="1:8" ht="30" customHeight="1" x14ac:dyDescent="0.3">
      <c r="A204" s="5"/>
      <c r="B204" s="3"/>
      <c r="C204" s="9"/>
      <c r="D204" s="6"/>
      <c r="E204" s="8"/>
      <c r="F204" s="3"/>
      <c r="G204" s="3"/>
      <c r="H204" s="9"/>
    </row>
    <row r="205" spans="1:8" ht="30" customHeight="1" x14ac:dyDescent="0.3">
      <c r="A205" s="5"/>
      <c r="B205" s="3"/>
      <c r="C205" s="9"/>
      <c r="D205" s="6"/>
      <c r="E205" s="8"/>
      <c r="F205" s="3"/>
      <c r="G205" s="3"/>
      <c r="H205" s="9"/>
    </row>
    <row r="206" spans="1:8" ht="30" customHeight="1" x14ac:dyDescent="0.3">
      <c r="A206" s="5"/>
      <c r="B206" s="3"/>
      <c r="C206" s="9"/>
      <c r="D206" s="6"/>
      <c r="E206" s="8"/>
      <c r="F206" s="3"/>
      <c r="G206" s="3"/>
      <c r="H206" s="9"/>
    </row>
    <row r="207" spans="1:8" ht="30" customHeight="1" x14ac:dyDescent="0.3">
      <c r="A207" s="5"/>
      <c r="B207" s="3"/>
      <c r="C207" s="9"/>
      <c r="D207" s="6"/>
      <c r="E207" s="8"/>
      <c r="F207" s="3"/>
      <c r="G207" s="3"/>
      <c r="H207" s="9"/>
    </row>
    <row r="208" spans="1:8" ht="30" customHeight="1" x14ac:dyDescent="0.3">
      <c r="A208" s="5"/>
      <c r="B208" s="3"/>
      <c r="C208" s="9"/>
      <c r="D208" s="6"/>
      <c r="E208" s="8"/>
      <c r="F208" s="3"/>
      <c r="G208" s="3"/>
      <c r="H208" s="9"/>
    </row>
    <row r="209" spans="1:8" ht="30" customHeight="1" x14ac:dyDescent="0.3">
      <c r="A209" s="5"/>
      <c r="B209" s="3"/>
      <c r="C209" s="9"/>
      <c r="D209" s="6"/>
      <c r="E209" s="8"/>
      <c r="F209" s="3"/>
      <c r="G209" s="3"/>
      <c r="H209" s="9"/>
    </row>
    <row r="210" spans="1:8" ht="30" customHeight="1" x14ac:dyDescent="0.3">
      <c r="A210" s="5"/>
      <c r="B210" s="3"/>
      <c r="C210" s="9"/>
      <c r="D210" s="6"/>
      <c r="E210" s="8"/>
      <c r="F210" s="3"/>
      <c r="G210" s="3"/>
      <c r="H210" s="9"/>
    </row>
    <row r="211" spans="1:8" ht="30" customHeight="1" x14ac:dyDescent="0.3">
      <c r="A211" s="5"/>
      <c r="B211" s="3"/>
      <c r="C211" s="9"/>
      <c r="D211" s="6"/>
      <c r="E211" s="8"/>
      <c r="F211" s="3"/>
      <c r="G211" s="3"/>
      <c r="H211" s="9"/>
    </row>
    <row r="212" spans="1:8" ht="30" customHeight="1" x14ac:dyDescent="0.3">
      <c r="A212" s="5"/>
      <c r="B212" s="3"/>
      <c r="C212" s="9"/>
      <c r="D212" s="6"/>
      <c r="E212" s="8"/>
      <c r="F212" s="3"/>
      <c r="G212" s="3"/>
      <c r="H212" s="9"/>
    </row>
    <row r="213" spans="1:8" ht="30" customHeight="1" x14ac:dyDescent="0.3">
      <c r="A213" s="5"/>
      <c r="B213" s="3"/>
      <c r="C213" s="9"/>
      <c r="D213" s="6"/>
      <c r="E213" s="8"/>
      <c r="F213" s="3"/>
      <c r="G213" s="3"/>
      <c r="H213" s="9"/>
    </row>
    <row r="214" spans="1:8" ht="30" customHeight="1" x14ac:dyDescent="0.3">
      <c r="A214" s="5"/>
      <c r="B214" s="3"/>
      <c r="C214" s="9"/>
      <c r="D214" s="6"/>
      <c r="E214" s="8"/>
      <c r="F214" s="3"/>
      <c r="G214" s="3"/>
      <c r="H214" s="9"/>
    </row>
    <row r="215" spans="1:8" ht="30" customHeight="1" x14ac:dyDescent="0.3">
      <c r="A215" s="5"/>
      <c r="B215" s="3"/>
      <c r="C215" s="9"/>
      <c r="D215" s="6"/>
      <c r="E215" s="8"/>
      <c r="F215" s="3"/>
      <c r="G215" s="3"/>
      <c r="H215" s="9"/>
    </row>
    <row r="216" spans="1:8" ht="30" customHeight="1" x14ac:dyDescent="0.3">
      <c r="A216" s="5"/>
      <c r="B216" s="3"/>
      <c r="C216" s="9"/>
      <c r="D216" s="6"/>
      <c r="E216" s="8"/>
      <c r="F216" s="3"/>
      <c r="G216" s="3"/>
      <c r="H216" s="9"/>
    </row>
    <row r="217" spans="1:8" ht="30" customHeight="1" x14ac:dyDescent="0.3">
      <c r="A217" s="5"/>
      <c r="B217" s="3"/>
      <c r="C217" s="9"/>
      <c r="D217" s="6"/>
      <c r="E217" s="8"/>
      <c r="F217" s="3"/>
      <c r="G217" s="3"/>
      <c r="H217" s="9"/>
    </row>
    <row r="218" spans="1:8" ht="30" customHeight="1" x14ac:dyDescent="0.3">
      <c r="A218" s="5"/>
      <c r="B218" s="3"/>
      <c r="C218" s="9"/>
      <c r="D218" s="6"/>
      <c r="E218" s="8"/>
      <c r="F218" s="3"/>
      <c r="G218" s="3"/>
      <c r="H218" s="9"/>
    </row>
    <row r="219" spans="1:8" ht="30" customHeight="1" x14ac:dyDescent="0.3">
      <c r="A219" s="5"/>
      <c r="B219" s="3"/>
      <c r="C219" s="9"/>
      <c r="D219" s="6"/>
      <c r="E219" s="8"/>
      <c r="F219" s="3"/>
      <c r="G219" s="3"/>
      <c r="H219" s="9"/>
    </row>
    <row r="220" spans="1:8" ht="30" customHeight="1" x14ac:dyDescent="0.3">
      <c r="A220" s="5"/>
      <c r="B220" s="3"/>
      <c r="C220" s="9"/>
      <c r="D220" s="6"/>
      <c r="E220" s="8"/>
      <c r="F220" s="3"/>
      <c r="G220" s="3"/>
      <c r="H220" s="9"/>
    </row>
    <row r="221" spans="1:8" ht="30" customHeight="1" x14ac:dyDescent="0.3">
      <c r="A221" s="5"/>
      <c r="B221" s="3"/>
      <c r="C221" s="9"/>
      <c r="D221" s="6"/>
      <c r="E221" s="8"/>
      <c r="F221" s="3"/>
      <c r="G221" s="3"/>
      <c r="H221" s="9"/>
    </row>
    <row r="222" spans="1:8" ht="30" customHeight="1" x14ac:dyDescent="0.3">
      <c r="A222" s="5"/>
      <c r="B222" s="3"/>
      <c r="C222" s="9"/>
      <c r="D222" s="6"/>
      <c r="E222" s="8"/>
      <c r="F222" s="3"/>
      <c r="G222" s="3"/>
      <c r="H222" s="9"/>
    </row>
    <row r="223" spans="1:8" ht="30" customHeight="1" x14ac:dyDescent="0.3">
      <c r="A223" s="5"/>
      <c r="B223" s="3"/>
      <c r="C223" s="9"/>
      <c r="D223" s="6"/>
      <c r="E223" s="8"/>
      <c r="F223" s="3"/>
      <c r="G223" s="3"/>
      <c r="H223" s="9"/>
    </row>
    <row r="224" spans="1:8" ht="30" customHeight="1" x14ac:dyDescent="0.3">
      <c r="A224" s="5"/>
      <c r="B224" s="3"/>
      <c r="C224" s="9"/>
      <c r="D224" s="6"/>
      <c r="E224" s="8"/>
      <c r="F224" s="3"/>
      <c r="G224" s="3"/>
      <c r="H224" s="9"/>
    </row>
    <row r="225" spans="1:8" ht="30" customHeight="1" x14ac:dyDescent="0.3">
      <c r="A225" s="5"/>
      <c r="B225" s="3"/>
      <c r="C225" s="9"/>
      <c r="D225" s="6"/>
      <c r="E225" s="8"/>
      <c r="F225" s="3"/>
      <c r="G225" s="3"/>
      <c r="H225" s="9"/>
    </row>
    <row r="226" spans="1:8" ht="30" customHeight="1" x14ac:dyDescent="0.3">
      <c r="A226" s="5"/>
      <c r="B226" s="3"/>
      <c r="C226" s="9"/>
      <c r="D226" s="6"/>
      <c r="E226" s="8"/>
      <c r="F226" s="3"/>
      <c r="G226" s="3"/>
      <c r="H226" s="9"/>
    </row>
    <row r="227" spans="1:8" ht="30" customHeight="1" x14ac:dyDescent="0.3">
      <c r="A227" s="5"/>
      <c r="B227" s="3"/>
      <c r="C227" s="9"/>
      <c r="D227" s="6"/>
      <c r="E227" s="8"/>
      <c r="F227" s="3"/>
      <c r="G227" s="3"/>
      <c r="H227" s="9"/>
    </row>
    <row r="228" spans="1:8" ht="30" customHeight="1" x14ac:dyDescent="0.3">
      <c r="A228" s="5"/>
      <c r="B228" s="3"/>
      <c r="C228" s="9"/>
      <c r="D228" s="6"/>
      <c r="E228" s="8"/>
      <c r="F228" s="3"/>
      <c r="G228" s="3"/>
      <c r="H228" s="9"/>
    </row>
    <row r="229" spans="1:8" ht="30" customHeight="1" x14ac:dyDescent="0.3">
      <c r="A229" s="5"/>
      <c r="B229" s="3"/>
      <c r="C229" s="9"/>
      <c r="D229" s="6"/>
      <c r="E229" s="8"/>
      <c r="F229" s="3"/>
      <c r="G229" s="3"/>
      <c r="H229" s="9"/>
    </row>
    <row r="230" spans="1:8" ht="30" customHeight="1" x14ac:dyDescent="0.3">
      <c r="A230" s="5"/>
      <c r="B230" s="3"/>
      <c r="C230" s="9"/>
      <c r="D230" s="6"/>
      <c r="E230" s="8"/>
      <c r="F230" s="3"/>
      <c r="G230" s="3"/>
      <c r="H230" s="9"/>
    </row>
    <row r="231" spans="1:8" ht="30" customHeight="1" x14ac:dyDescent="0.3">
      <c r="A231" s="5"/>
      <c r="B231" s="3"/>
      <c r="C231" s="9"/>
      <c r="D231" s="6"/>
      <c r="E231" s="8"/>
      <c r="F231" s="3"/>
      <c r="G231" s="3"/>
      <c r="H231" s="9"/>
    </row>
    <row r="232" spans="1:8" ht="30" customHeight="1" x14ac:dyDescent="0.3">
      <c r="A232" s="5"/>
      <c r="B232" s="3"/>
      <c r="C232" s="9"/>
      <c r="D232" s="6"/>
      <c r="E232" s="8"/>
      <c r="F232" s="3"/>
      <c r="G232" s="3"/>
      <c r="H232" s="9"/>
    </row>
    <row r="233" spans="1:8" ht="30" customHeight="1" x14ac:dyDescent="0.3">
      <c r="A233" s="5"/>
      <c r="B233" s="3"/>
      <c r="C233" s="9"/>
      <c r="D233" s="6"/>
      <c r="E233" s="8"/>
      <c r="F233" s="3"/>
      <c r="G233" s="3"/>
      <c r="H233" s="9"/>
    </row>
    <row r="234" spans="1:8" ht="30" customHeight="1" x14ac:dyDescent="0.3">
      <c r="A234" s="5"/>
      <c r="B234" s="3"/>
      <c r="C234" s="9"/>
      <c r="D234" s="6"/>
      <c r="E234" s="8"/>
      <c r="F234" s="3"/>
      <c r="G234" s="3"/>
      <c r="H234" s="9"/>
    </row>
    <row r="235" spans="1:8" ht="30" customHeight="1" x14ac:dyDescent="0.3">
      <c r="A235" s="5"/>
      <c r="B235" s="3"/>
      <c r="C235" s="9"/>
      <c r="D235" s="6"/>
      <c r="E235" s="8"/>
      <c r="F235" s="3"/>
      <c r="G235" s="3"/>
      <c r="H235" s="9"/>
    </row>
    <row r="236" spans="1:8" ht="30" customHeight="1" x14ac:dyDescent="0.3">
      <c r="A236" s="5"/>
      <c r="B236" s="3"/>
      <c r="C236" s="9"/>
      <c r="D236" s="6"/>
      <c r="E236" s="8"/>
      <c r="F236" s="3"/>
      <c r="G236" s="3"/>
      <c r="H236" s="9"/>
    </row>
    <row r="237" spans="1:8" ht="30" customHeight="1" x14ac:dyDescent="0.3">
      <c r="A237" s="5"/>
      <c r="B237" s="3"/>
      <c r="C237" s="9"/>
      <c r="D237" s="6"/>
      <c r="E237" s="8"/>
      <c r="F237" s="3"/>
      <c r="G237" s="3"/>
      <c r="H237" s="9"/>
    </row>
    <row r="238" spans="1:8" ht="30" customHeight="1" x14ac:dyDescent="0.3">
      <c r="A238" s="5"/>
      <c r="B238" s="3"/>
      <c r="C238" s="9"/>
      <c r="D238" s="6"/>
      <c r="E238" s="8"/>
      <c r="F238" s="3"/>
      <c r="G238" s="3"/>
      <c r="H238" s="9"/>
    </row>
    <row r="239" spans="1:8" ht="30" customHeight="1" x14ac:dyDescent="0.3">
      <c r="A239" s="5"/>
      <c r="B239" s="3"/>
      <c r="C239" s="9"/>
      <c r="D239" s="6"/>
      <c r="E239" s="8"/>
      <c r="F239" s="3"/>
      <c r="G239" s="3"/>
      <c r="H239" s="9"/>
    </row>
    <row r="240" spans="1:8" ht="30" customHeight="1" x14ac:dyDescent="0.3">
      <c r="A240" s="5"/>
      <c r="B240" s="3"/>
      <c r="C240" s="9"/>
      <c r="D240" s="6"/>
      <c r="E240" s="8"/>
      <c r="F240" s="3"/>
      <c r="G240" s="3"/>
      <c r="H240" s="9"/>
    </row>
    <row r="241" spans="1:8" ht="30" customHeight="1" x14ac:dyDescent="0.3">
      <c r="A241" s="5"/>
      <c r="B241" s="3"/>
      <c r="C241" s="9"/>
      <c r="D241" s="6"/>
      <c r="E241" s="8"/>
      <c r="F241" s="3"/>
      <c r="G241" s="3"/>
      <c r="H241" s="9"/>
    </row>
    <row r="242" spans="1:8" ht="30" customHeight="1" x14ac:dyDescent="0.3">
      <c r="A242" s="5"/>
      <c r="B242" s="3"/>
      <c r="C242" s="9"/>
      <c r="D242" s="6"/>
      <c r="E242" s="8"/>
      <c r="F242" s="3"/>
      <c r="G242" s="3"/>
      <c r="H242" s="9"/>
    </row>
    <row r="243" spans="1:8" ht="30" customHeight="1" x14ac:dyDescent="0.3">
      <c r="A243" s="5"/>
      <c r="B243" s="3"/>
      <c r="C243" s="9"/>
      <c r="D243" s="6"/>
      <c r="E243" s="8"/>
      <c r="F243" s="3"/>
      <c r="G243" s="3"/>
      <c r="H243" s="9"/>
    </row>
    <row r="244" spans="1:8" ht="30" customHeight="1" x14ac:dyDescent="0.3">
      <c r="A244" s="5"/>
      <c r="B244" s="3"/>
      <c r="C244" s="9"/>
      <c r="D244" s="6"/>
      <c r="E244" s="8"/>
      <c r="F244" s="3"/>
      <c r="G244" s="3"/>
      <c r="H244" s="9"/>
    </row>
    <row r="245" spans="1:8" ht="30" customHeight="1" x14ac:dyDescent="0.3">
      <c r="A245" s="5"/>
      <c r="B245" s="3"/>
      <c r="C245" s="9"/>
      <c r="D245" s="6"/>
      <c r="E245" s="8"/>
      <c r="F245" s="3"/>
      <c r="G245" s="3"/>
      <c r="H245" s="9"/>
    </row>
    <row r="246" spans="1:8" ht="30" customHeight="1" x14ac:dyDescent="0.3">
      <c r="A246" s="5"/>
      <c r="B246" s="3"/>
      <c r="C246" s="9"/>
      <c r="D246" s="6"/>
      <c r="E246" s="8"/>
      <c r="F246" s="3"/>
      <c r="G246" s="3"/>
      <c r="H246" s="9"/>
    </row>
    <row r="247" spans="1:8" ht="30" customHeight="1" x14ac:dyDescent="0.3">
      <c r="A247" s="5"/>
      <c r="B247" s="3"/>
      <c r="C247" s="9"/>
      <c r="D247" s="6"/>
      <c r="E247" s="8"/>
      <c r="F247" s="3"/>
      <c r="G247" s="3"/>
      <c r="H247" s="9"/>
    </row>
    <row r="248" spans="1:8" ht="30" customHeight="1" x14ac:dyDescent="0.3">
      <c r="A248" s="5"/>
      <c r="B248" s="3"/>
      <c r="C248" s="9"/>
      <c r="D248" s="6"/>
      <c r="E248" s="8"/>
      <c r="F248" s="3"/>
      <c r="G248" s="3"/>
      <c r="H248" s="9"/>
    </row>
    <row r="249" spans="1:8" ht="30" customHeight="1" x14ac:dyDescent="0.3">
      <c r="A249" s="5"/>
      <c r="B249" s="3"/>
      <c r="C249" s="9"/>
      <c r="D249" s="6"/>
      <c r="E249" s="8"/>
      <c r="F249" s="3"/>
      <c r="G249" s="3"/>
      <c r="H249" s="9"/>
    </row>
    <row r="250" spans="1:8" ht="30" customHeight="1" x14ac:dyDescent="0.3">
      <c r="A250" s="5"/>
      <c r="B250" s="3"/>
      <c r="C250" s="9"/>
      <c r="D250" s="6"/>
      <c r="E250" s="8"/>
      <c r="F250" s="3"/>
      <c r="G250" s="3"/>
      <c r="H250" s="9"/>
    </row>
    <row r="251" spans="1:8" ht="30" customHeight="1" x14ac:dyDescent="0.3">
      <c r="A251" s="5"/>
      <c r="B251" s="3"/>
      <c r="C251" s="9"/>
      <c r="D251" s="6"/>
      <c r="E251" s="8"/>
      <c r="F251" s="3"/>
      <c r="G251" s="3"/>
      <c r="H251" s="9"/>
    </row>
    <row r="252" spans="1:8" ht="30" customHeight="1" x14ac:dyDescent="0.3">
      <c r="A252" s="5"/>
      <c r="B252" s="3"/>
      <c r="C252" s="9"/>
      <c r="D252" s="6"/>
      <c r="E252" s="8"/>
      <c r="F252" s="3"/>
      <c r="G252" s="3"/>
      <c r="H252" s="9"/>
    </row>
    <row r="253" spans="1:8" ht="30" customHeight="1" x14ac:dyDescent="0.3">
      <c r="A253" s="5"/>
      <c r="B253" s="3"/>
      <c r="C253" s="9"/>
      <c r="D253" s="6"/>
      <c r="E253" s="8"/>
      <c r="F253" s="3"/>
      <c r="G253" s="3"/>
      <c r="H253" s="9"/>
    </row>
    <row r="254" spans="1:8" ht="30" customHeight="1" x14ac:dyDescent="0.3">
      <c r="A254" s="5"/>
      <c r="B254" s="3"/>
      <c r="C254" s="9"/>
      <c r="D254" s="6"/>
      <c r="E254" s="8"/>
      <c r="F254" s="3"/>
      <c r="G254" s="3"/>
      <c r="H254" s="9"/>
    </row>
    <row r="255" spans="1:8" ht="30" customHeight="1" x14ac:dyDescent="0.3">
      <c r="A255" s="5"/>
      <c r="B255" s="3"/>
      <c r="C255" s="9"/>
      <c r="D255" s="6"/>
      <c r="E255" s="8"/>
      <c r="F255" s="3"/>
      <c r="G255" s="3"/>
      <c r="H255" s="9"/>
    </row>
    <row r="256" spans="1:8" ht="30" customHeight="1" x14ac:dyDescent="0.3">
      <c r="A256" s="5"/>
      <c r="B256" s="3"/>
      <c r="C256" s="9"/>
      <c r="D256" s="6"/>
      <c r="E256" s="8"/>
      <c r="F256" s="3"/>
      <c r="G256" s="3"/>
      <c r="H256" s="9"/>
    </row>
    <row r="257" spans="1:8" ht="30" customHeight="1" x14ac:dyDescent="0.3">
      <c r="A257" s="5"/>
      <c r="B257" s="3"/>
      <c r="C257" s="9"/>
      <c r="D257" s="6"/>
      <c r="E257" s="8"/>
      <c r="F257" s="3"/>
      <c r="G257" s="3"/>
      <c r="H257" s="9"/>
    </row>
    <row r="258" spans="1:8" ht="30" customHeight="1" x14ac:dyDescent="0.3">
      <c r="A258" s="5"/>
      <c r="B258" s="3"/>
      <c r="C258" s="9"/>
      <c r="D258" s="6"/>
      <c r="E258" s="8"/>
      <c r="F258" s="3"/>
      <c r="G258" s="3"/>
      <c r="H258" s="9"/>
    </row>
    <row r="259" spans="1:8" ht="30" customHeight="1" x14ac:dyDescent="0.3">
      <c r="A259" s="5"/>
      <c r="B259" s="3"/>
      <c r="C259" s="9"/>
      <c r="D259" s="6"/>
      <c r="E259" s="8"/>
      <c r="F259" s="3"/>
      <c r="G259" s="3"/>
      <c r="H259" s="9"/>
    </row>
    <row r="260" spans="1:8" ht="30" customHeight="1" x14ac:dyDescent="0.3">
      <c r="A260" s="5"/>
      <c r="B260" s="3"/>
      <c r="C260" s="9"/>
      <c r="D260" s="6"/>
      <c r="E260" s="8"/>
      <c r="F260" s="3"/>
      <c r="G260" s="3"/>
      <c r="H260" s="9"/>
    </row>
    <row r="261" spans="1:8" ht="30" customHeight="1" x14ac:dyDescent="0.3">
      <c r="A261" s="5"/>
      <c r="B261" s="3"/>
      <c r="C261" s="9"/>
      <c r="D261" s="6"/>
      <c r="E261" s="8"/>
      <c r="F261" s="3"/>
      <c r="G261" s="3"/>
      <c r="H261" s="9"/>
    </row>
    <row r="262" spans="1:8" ht="30" customHeight="1" x14ac:dyDescent="0.3">
      <c r="A262" s="5"/>
      <c r="B262" s="3"/>
      <c r="C262" s="9"/>
      <c r="D262" s="6"/>
      <c r="E262" s="8"/>
      <c r="F262" s="3"/>
      <c r="G262" s="3"/>
      <c r="H262" s="9"/>
    </row>
    <row r="263" spans="1:8" ht="30" customHeight="1" x14ac:dyDescent="0.3">
      <c r="A263" s="5"/>
      <c r="B263" s="3"/>
      <c r="C263" s="9"/>
      <c r="D263" s="6"/>
      <c r="E263" s="8"/>
      <c r="F263" s="3"/>
      <c r="G263" s="3"/>
      <c r="H263" s="9"/>
    </row>
    <row r="264" spans="1:8" ht="30" customHeight="1" x14ac:dyDescent="0.3">
      <c r="A264" s="5"/>
      <c r="B264" s="3"/>
      <c r="C264" s="9"/>
      <c r="D264" s="6"/>
      <c r="E264" s="8"/>
      <c r="F264" s="3"/>
      <c r="G264" s="3"/>
      <c r="H264" s="9"/>
    </row>
    <row r="265" spans="1:8" ht="30" customHeight="1" x14ac:dyDescent="0.3">
      <c r="A265" s="5"/>
      <c r="B265" s="3"/>
      <c r="C265" s="9"/>
      <c r="D265" s="6"/>
      <c r="E265" s="8"/>
      <c r="F265" s="3"/>
      <c r="G265" s="3"/>
      <c r="H265" s="9"/>
    </row>
    <row r="266" spans="1:8" ht="30" customHeight="1" x14ac:dyDescent="0.3">
      <c r="A266" s="5"/>
      <c r="B266" s="3"/>
      <c r="C266" s="9"/>
      <c r="D266" s="6"/>
      <c r="E266" s="8"/>
      <c r="F266" s="3"/>
      <c r="G266" s="3"/>
      <c r="H266" s="9"/>
    </row>
    <row r="267" spans="1:8" ht="30" customHeight="1" x14ac:dyDescent="0.3">
      <c r="A267" s="5"/>
      <c r="B267" s="3"/>
      <c r="C267" s="9"/>
      <c r="D267" s="6"/>
      <c r="E267" s="8"/>
      <c r="F267" s="3"/>
      <c r="G267" s="3"/>
      <c r="H267" s="9"/>
    </row>
    <row r="268" spans="1:8" ht="30" customHeight="1" x14ac:dyDescent="0.3">
      <c r="A268" s="5"/>
      <c r="B268" s="3"/>
      <c r="C268" s="9"/>
      <c r="D268" s="6"/>
      <c r="E268" s="8"/>
      <c r="F268" s="3"/>
      <c r="G268" s="3"/>
      <c r="H268" s="9"/>
    </row>
    <row r="269" spans="1:8" ht="30" customHeight="1" x14ac:dyDescent="0.3">
      <c r="A269" s="5"/>
      <c r="B269" s="3"/>
      <c r="C269" s="9"/>
      <c r="D269" s="6"/>
      <c r="E269" s="8"/>
      <c r="F269" s="3"/>
      <c r="G269" s="3"/>
      <c r="H269" s="9"/>
    </row>
    <row r="270" spans="1:8" ht="30" customHeight="1" x14ac:dyDescent="0.3">
      <c r="A270" s="5"/>
      <c r="B270" s="3"/>
      <c r="C270" s="9"/>
      <c r="D270" s="6"/>
      <c r="E270" s="8"/>
      <c r="F270" s="3"/>
      <c r="G270" s="3"/>
      <c r="H270" s="9"/>
    </row>
    <row r="271" spans="1:8" ht="30" customHeight="1" x14ac:dyDescent="0.3">
      <c r="A271" s="5"/>
      <c r="B271" s="3"/>
      <c r="C271" s="9"/>
      <c r="D271" s="6"/>
      <c r="E271" s="8"/>
      <c r="F271" s="3"/>
      <c r="G271" s="3"/>
      <c r="H271" s="9"/>
    </row>
    <row r="272" spans="1:8" ht="30" customHeight="1" x14ac:dyDescent="0.3">
      <c r="A272" s="5"/>
      <c r="B272" s="3"/>
      <c r="C272" s="9"/>
      <c r="D272" s="6"/>
      <c r="E272" s="8"/>
      <c r="F272" s="3"/>
      <c r="G272" s="3"/>
      <c r="H272" s="9"/>
    </row>
    <row r="273" spans="1:8" ht="30" customHeight="1" x14ac:dyDescent="0.3">
      <c r="A273" s="5"/>
      <c r="B273" s="3"/>
      <c r="C273" s="9"/>
      <c r="D273" s="6"/>
      <c r="E273" s="8"/>
      <c r="F273" s="3"/>
      <c r="G273" s="3"/>
      <c r="H273" s="9"/>
    </row>
    <row r="274" spans="1:8" ht="30" customHeight="1" x14ac:dyDescent="0.3">
      <c r="A274" s="5"/>
      <c r="B274" s="3"/>
      <c r="C274" s="9"/>
      <c r="D274" s="6"/>
      <c r="E274" s="8"/>
      <c r="F274" s="3"/>
      <c r="G274" s="3"/>
      <c r="H274" s="9"/>
    </row>
    <row r="275" spans="1:8" ht="30" customHeight="1" x14ac:dyDescent="0.3">
      <c r="A275" s="2"/>
      <c r="B275" s="2"/>
      <c r="C275" s="9"/>
      <c r="D275" s="12"/>
      <c r="E275" s="10"/>
      <c r="F275" s="2"/>
      <c r="G275" s="2"/>
      <c r="H275" s="9"/>
    </row>
    <row r="276" spans="1:8" ht="30" customHeight="1" x14ac:dyDescent="0.3">
      <c r="A276" s="2"/>
      <c r="B276" s="2"/>
      <c r="C276" s="9"/>
      <c r="D276" s="12"/>
      <c r="E276" s="10"/>
      <c r="F276" s="2"/>
      <c r="G276" s="2"/>
      <c r="H276" s="9"/>
    </row>
    <row r="277" spans="1:8" ht="30" customHeight="1" x14ac:dyDescent="0.3">
      <c r="A277" s="2"/>
      <c r="B277" s="2"/>
      <c r="C277" s="9"/>
      <c r="D277" s="12"/>
      <c r="E277" s="10"/>
      <c r="F277" s="2"/>
      <c r="G277" s="2"/>
      <c r="H277" s="9"/>
    </row>
    <row r="278" spans="1:8" ht="30" customHeight="1" x14ac:dyDescent="0.3">
      <c r="A278" s="2"/>
      <c r="B278" s="2"/>
      <c r="C278" s="9"/>
      <c r="D278" s="12"/>
      <c r="E278" s="10"/>
      <c r="F278" s="2"/>
      <c r="G278" s="2"/>
      <c r="H278" s="9"/>
    </row>
    <row r="279" spans="1:8" ht="30" customHeight="1" x14ac:dyDescent="0.3">
      <c r="A279" s="2"/>
      <c r="B279" s="2"/>
      <c r="C279" s="9"/>
      <c r="D279" s="12"/>
      <c r="E279" s="10"/>
      <c r="F279" s="2"/>
      <c r="G279" s="2"/>
      <c r="H279" s="9"/>
    </row>
    <row r="280" spans="1:8" ht="30" customHeight="1" x14ac:dyDescent="0.3">
      <c r="A280" s="2"/>
      <c r="B280" s="2"/>
      <c r="C280" s="9"/>
      <c r="D280" s="12"/>
      <c r="E280" s="10"/>
      <c r="F280" s="2"/>
      <c r="G280" s="2"/>
      <c r="H280" s="9"/>
    </row>
    <row r="281" spans="1:8" ht="30" customHeight="1" x14ac:dyDescent="0.3">
      <c r="A281" s="2"/>
      <c r="B281" s="2"/>
      <c r="C281" s="9"/>
      <c r="D281" s="2"/>
      <c r="E281" s="10"/>
      <c r="F281" s="2"/>
      <c r="G281" s="2"/>
      <c r="H281" s="9"/>
    </row>
    <row r="282" spans="1:8" ht="30" customHeight="1" x14ac:dyDescent="0.3">
      <c r="A282" s="2"/>
      <c r="B282" s="2"/>
      <c r="C282" s="9"/>
      <c r="D282" s="2"/>
      <c r="E282" s="10"/>
      <c r="F282" s="2"/>
      <c r="G282" s="2"/>
      <c r="H282" s="9"/>
    </row>
    <row r="283" spans="1:8" x14ac:dyDescent="0.3">
      <c r="A283" s="9"/>
      <c r="B283" s="9"/>
      <c r="C283" s="9"/>
      <c r="D283" s="9"/>
      <c r="E283" s="9"/>
      <c r="F283" s="9"/>
      <c r="G283" s="9"/>
      <c r="H283" s="9"/>
    </row>
    <row r="284" spans="1:8" x14ac:dyDescent="0.3">
      <c r="A284" s="9"/>
      <c r="B284" s="9"/>
      <c r="C284" s="9"/>
      <c r="D284" s="9"/>
      <c r="E284" s="9"/>
      <c r="F284" s="9"/>
      <c r="G284" s="9"/>
      <c r="H284" s="9"/>
    </row>
    <row r="285" spans="1:8" x14ac:dyDescent="0.3">
      <c r="A285" s="9"/>
      <c r="B285" s="9"/>
      <c r="C285" s="9"/>
      <c r="D285" s="9"/>
      <c r="E285" s="9"/>
      <c r="F285" s="9"/>
      <c r="G285" s="9"/>
      <c r="H285" s="9"/>
    </row>
    <row r="286" spans="1:8" x14ac:dyDescent="0.3">
      <c r="A286" s="9"/>
      <c r="B286" s="9"/>
      <c r="C286" s="9"/>
      <c r="D286" s="9"/>
      <c r="E286" s="9"/>
      <c r="F286" s="9"/>
      <c r="G286" s="9"/>
      <c r="H286" s="9"/>
    </row>
    <row r="287" spans="1:8" x14ac:dyDescent="0.3">
      <c r="A287" s="9"/>
      <c r="B287" s="9"/>
      <c r="C287" s="9"/>
      <c r="D287" s="9"/>
      <c r="E287" s="9"/>
      <c r="F287" s="9"/>
      <c r="G287" s="9"/>
      <c r="H287" s="9"/>
    </row>
    <row r="288" spans="1:8" x14ac:dyDescent="0.3">
      <c r="A288" s="9"/>
      <c r="B288" s="9"/>
      <c r="C288" s="9"/>
      <c r="D288" s="9"/>
      <c r="E288" s="9"/>
      <c r="F288" s="9"/>
      <c r="G288" s="9"/>
      <c r="H288" s="9"/>
    </row>
    <row r="289" spans="1:8" x14ac:dyDescent="0.3">
      <c r="A289" s="9"/>
      <c r="B289" s="9"/>
      <c r="C289" s="9"/>
      <c r="D289" s="9"/>
      <c r="E289" s="9"/>
      <c r="F289" s="9"/>
      <c r="G289" s="9"/>
      <c r="H289" s="9"/>
    </row>
    <row r="290" spans="1:8" x14ac:dyDescent="0.3">
      <c r="A290" s="9"/>
      <c r="B290" s="9"/>
      <c r="C290" s="9"/>
      <c r="D290" s="9"/>
      <c r="E290" s="9"/>
      <c r="F290" s="9"/>
      <c r="G290" s="9"/>
      <c r="H290" s="9"/>
    </row>
    <row r="291" spans="1:8" x14ac:dyDescent="0.3">
      <c r="A291" s="9"/>
      <c r="B291" s="9"/>
      <c r="C291" s="9"/>
      <c r="D291" s="9"/>
      <c r="E291" s="9"/>
      <c r="F291" s="9"/>
      <c r="G291" s="9"/>
      <c r="H291" s="9"/>
    </row>
    <row r="292" spans="1:8" x14ac:dyDescent="0.3">
      <c r="A292" s="9"/>
      <c r="B292" s="9"/>
      <c r="C292" s="9"/>
      <c r="D292" s="9"/>
      <c r="E292" s="9"/>
      <c r="F292" s="9"/>
      <c r="G292" s="9"/>
      <c r="H292" s="9"/>
    </row>
    <row r="293" spans="1:8" x14ac:dyDescent="0.3">
      <c r="A293" s="9"/>
      <c r="B293" s="9"/>
      <c r="C293" s="9"/>
      <c r="D293" s="9"/>
      <c r="E293" s="9"/>
      <c r="F293" s="9"/>
      <c r="G293" s="9"/>
      <c r="H293" s="9"/>
    </row>
    <row r="294" spans="1:8" x14ac:dyDescent="0.3">
      <c r="A294" s="9"/>
      <c r="B294" s="9"/>
      <c r="C294" s="9"/>
      <c r="D294" s="9"/>
      <c r="E294" s="9"/>
      <c r="F294" s="9"/>
      <c r="G294" s="9"/>
      <c r="H294" s="9"/>
    </row>
    <row r="295" spans="1:8" x14ac:dyDescent="0.3">
      <c r="A295" s="9"/>
      <c r="B295" s="9"/>
      <c r="C295" s="9"/>
      <c r="D295" s="9"/>
      <c r="E295" s="9"/>
      <c r="F295" s="9"/>
      <c r="G295" s="9"/>
      <c r="H295" s="9"/>
    </row>
    <row r="296" spans="1:8" x14ac:dyDescent="0.3">
      <c r="A296" s="9"/>
      <c r="B296" s="9"/>
      <c r="C296" s="9"/>
      <c r="D296" s="9"/>
      <c r="E296" s="9"/>
      <c r="F296" s="9"/>
      <c r="G296" s="9"/>
      <c r="H296" s="9"/>
    </row>
    <row r="297" spans="1:8" x14ac:dyDescent="0.3">
      <c r="A297" s="9"/>
      <c r="B297" s="9"/>
      <c r="C297" s="9"/>
      <c r="D297" s="9"/>
      <c r="E297" s="9"/>
      <c r="F297" s="9"/>
      <c r="G297" s="9"/>
      <c r="H297" s="9"/>
    </row>
    <row r="298" spans="1:8" x14ac:dyDescent="0.3">
      <c r="A298" s="9"/>
      <c r="B298" s="9"/>
      <c r="C298" s="9"/>
      <c r="D298" s="9"/>
      <c r="E298" s="9"/>
      <c r="F298" s="9"/>
      <c r="G298" s="9"/>
      <c r="H298" s="9"/>
    </row>
    <row r="299" spans="1:8" x14ac:dyDescent="0.3">
      <c r="A299" s="9"/>
      <c r="B299" s="9"/>
      <c r="C299" s="9"/>
      <c r="D299" s="9"/>
      <c r="E299" s="9"/>
      <c r="F299" s="9"/>
      <c r="G299" s="9"/>
      <c r="H299" s="9"/>
    </row>
    <row r="300" spans="1:8" x14ac:dyDescent="0.3">
      <c r="A300" s="9"/>
      <c r="B300" s="9"/>
      <c r="C300" s="9"/>
      <c r="D300" s="9"/>
      <c r="E300" s="9"/>
      <c r="F300" s="9"/>
      <c r="G300" s="9"/>
      <c r="H300" s="9"/>
    </row>
    <row r="301" spans="1:8" x14ac:dyDescent="0.3">
      <c r="A301" s="9"/>
      <c r="B301" s="9"/>
      <c r="C301" s="9"/>
      <c r="D301" s="9"/>
      <c r="E301" s="9"/>
      <c r="F301" s="9"/>
      <c r="G301" s="9"/>
      <c r="H301" s="9"/>
    </row>
    <row r="302" spans="1:8" x14ac:dyDescent="0.3">
      <c r="A302" s="9"/>
      <c r="B302" s="9"/>
      <c r="C302" s="9"/>
      <c r="D302" s="9"/>
      <c r="E302" s="9"/>
      <c r="F302" s="9"/>
      <c r="G302" s="9"/>
      <c r="H302" s="9"/>
    </row>
    <row r="303" spans="1:8" x14ac:dyDescent="0.3">
      <c r="A303" s="9"/>
      <c r="B303" s="9"/>
      <c r="C303" s="9"/>
      <c r="D303" s="9"/>
      <c r="E303" s="9"/>
      <c r="F303" s="9"/>
      <c r="G303" s="9"/>
      <c r="H303" s="9"/>
    </row>
    <row r="304" spans="1:8" x14ac:dyDescent="0.3">
      <c r="A304" s="9"/>
      <c r="B304" s="9"/>
      <c r="C304" s="9"/>
      <c r="D304" s="9"/>
      <c r="E304" s="9"/>
      <c r="F304" s="9"/>
      <c r="G304" s="9"/>
      <c r="H304" s="9"/>
    </row>
    <row r="305" spans="1:8" x14ac:dyDescent="0.3">
      <c r="A305" s="9"/>
      <c r="B305" s="9"/>
      <c r="C305" s="9"/>
      <c r="D305" s="9"/>
      <c r="E305" s="9"/>
      <c r="F305" s="9"/>
      <c r="G305" s="9"/>
      <c r="H305" s="9"/>
    </row>
    <row r="306" spans="1:8" x14ac:dyDescent="0.3">
      <c r="A306" s="9"/>
      <c r="B306" s="9"/>
      <c r="C306" s="9"/>
      <c r="D306" s="9"/>
      <c r="E306" s="9"/>
      <c r="F306" s="9"/>
      <c r="G306" s="9"/>
      <c r="H306" s="9"/>
    </row>
    <row r="307" spans="1:8" x14ac:dyDescent="0.3">
      <c r="A307" s="9"/>
      <c r="B307" s="9"/>
      <c r="C307" s="9"/>
      <c r="D307" s="9"/>
      <c r="E307" s="9"/>
      <c r="F307" s="9"/>
      <c r="G307" s="9"/>
      <c r="H307" s="9"/>
    </row>
    <row r="308" spans="1:8" x14ac:dyDescent="0.3">
      <c r="A308" s="9"/>
      <c r="B308" s="9"/>
      <c r="C308" s="9"/>
      <c r="D308" s="9"/>
      <c r="E308" s="9"/>
      <c r="F308" s="9"/>
      <c r="G308" s="9"/>
      <c r="H308" s="9"/>
    </row>
    <row r="309" spans="1:8" x14ac:dyDescent="0.3">
      <c r="A309" s="9"/>
      <c r="B309" s="9"/>
      <c r="C309" s="9"/>
      <c r="D309" s="9"/>
      <c r="E309" s="9"/>
      <c r="F309" s="9"/>
      <c r="G309" s="9"/>
      <c r="H309" s="9"/>
    </row>
    <row r="310" spans="1:8" x14ac:dyDescent="0.3">
      <c r="A310" s="9"/>
      <c r="B310" s="9"/>
      <c r="C310" s="9"/>
      <c r="D310" s="9"/>
      <c r="E310" s="9"/>
      <c r="F310" s="9"/>
      <c r="G310" s="9"/>
      <c r="H310" s="9"/>
    </row>
    <row r="311" spans="1:8" x14ac:dyDescent="0.3">
      <c r="A311" s="9"/>
      <c r="B311" s="9"/>
      <c r="C311" s="9"/>
      <c r="D311" s="9"/>
      <c r="E311" s="9"/>
      <c r="F311" s="9"/>
      <c r="G311" s="9"/>
      <c r="H311" s="9"/>
    </row>
    <row r="312" spans="1:8" x14ac:dyDescent="0.3">
      <c r="A312" s="9"/>
      <c r="B312" s="9"/>
      <c r="C312" s="9"/>
      <c r="D312" s="9"/>
      <c r="E312" s="9"/>
      <c r="F312" s="9"/>
      <c r="G312" s="9"/>
      <c r="H312" s="9"/>
    </row>
    <row r="313" spans="1:8" x14ac:dyDescent="0.3">
      <c r="A313" s="9"/>
      <c r="B313" s="9"/>
      <c r="C313" s="9"/>
      <c r="D313" s="9"/>
      <c r="E313" s="9"/>
      <c r="F313" s="9"/>
      <c r="G313" s="9"/>
      <c r="H313" s="9"/>
    </row>
    <row r="314" spans="1:8" x14ac:dyDescent="0.3">
      <c r="A314" s="9"/>
      <c r="B314" s="9"/>
      <c r="C314" s="9"/>
      <c r="D314" s="9"/>
      <c r="E314" s="9"/>
      <c r="F314" s="9"/>
      <c r="G314" s="9"/>
      <c r="H314" s="9"/>
    </row>
    <row r="315" spans="1:8" x14ac:dyDescent="0.3">
      <c r="A315" s="9"/>
      <c r="B315" s="9"/>
      <c r="C315" s="9"/>
      <c r="D315" s="9"/>
      <c r="E315" s="9"/>
      <c r="F315" s="9"/>
      <c r="G315" s="9"/>
      <c r="H315" s="9"/>
    </row>
    <row r="316" spans="1:8" x14ac:dyDescent="0.3">
      <c r="A316" s="9"/>
      <c r="B316" s="9"/>
      <c r="C316" s="9"/>
      <c r="D316" s="9"/>
      <c r="E316" s="9"/>
      <c r="F316" s="9"/>
      <c r="G316" s="9"/>
      <c r="H316" s="9"/>
    </row>
    <row r="317" spans="1:8" x14ac:dyDescent="0.3">
      <c r="A317" s="9"/>
      <c r="B317" s="9"/>
      <c r="C317" s="9"/>
      <c r="D317" s="9"/>
      <c r="E317" s="9"/>
      <c r="F317" s="9"/>
      <c r="G317" s="9"/>
      <c r="H317" s="9"/>
    </row>
    <row r="318" spans="1:8" x14ac:dyDescent="0.3">
      <c r="A318" s="9"/>
      <c r="B318" s="9"/>
      <c r="C318" s="9"/>
      <c r="D318" s="9"/>
      <c r="E318" s="9"/>
      <c r="F318" s="9"/>
      <c r="G318" s="9"/>
      <c r="H318" s="9"/>
    </row>
    <row r="319" spans="1:8" x14ac:dyDescent="0.3">
      <c r="A319" s="9"/>
      <c r="B319" s="9"/>
      <c r="C319" s="9"/>
      <c r="D319" s="9"/>
      <c r="E319" s="9"/>
      <c r="F319" s="9"/>
      <c r="G319" s="9"/>
      <c r="H319" s="9"/>
    </row>
    <row r="320" spans="1:8" x14ac:dyDescent="0.3">
      <c r="A320" s="9"/>
      <c r="B320" s="9"/>
      <c r="C320" s="9"/>
      <c r="D320" s="9"/>
      <c r="E320" s="9"/>
      <c r="F320" s="9"/>
      <c r="G320" s="9"/>
      <c r="H320" s="9"/>
    </row>
    <row r="321" spans="1:8" x14ac:dyDescent="0.3">
      <c r="A321" s="9"/>
      <c r="B321" s="9"/>
      <c r="C321" s="9"/>
      <c r="D321" s="9"/>
      <c r="E321" s="9"/>
      <c r="F321" s="9"/>
      <c r="G321" s="9"/>
      <c r="H321" s="9"/>
    </row>
    <row r="322" spans="1:8" x14ac:dyDescent="0.3">
      <c r="A322" s="9"/>
      <c r="B322" s="9"/>
      <c r="C322" s="9"/>
      <c r="D322" s="9"/>
      <c r="E322" s="9"/>
      <c r="F322" s="9"/>
      <c r="G322" s="9"/>
      <c r="H322" s="9"/>
    </row>
    <row r="323" spans="1:8" x14ac:dyDescent="0.3">
      <c r="A323" s="9"/>
      <c r="B323" s="9"/>
      <c r="C323" s="9"/>
      <c r="D323" s="9"/>
      <c r="E323" s="9"/>
      <c r="F323" s="9"/>
      <c r="G323" s="9"/>
      <c r="H323" s="9"/>
    </row>
    <row r="324" spans="1:8" x14ac:dyDescent="0.3">
      <c r="A324" s="9"/>
      <c r="B324" s="9"/>
      <c r="C324" s="9"/>
      <c r="D324" s="9"/>
      <c r="E324" s="9"/>
      <c r="F324" s="9"/>
      <c r="G324" s="9"/>
      <c r="H324" s="9"/>
    </row>
    <row r="325" spans="1:8" x14ac:dyDescent="0.3">
      <c r="A325" s="9"/>
      <c r="B325" s="9"/>
      <c r="C325" s="9"/>
      <c r="D325" s="9"/>
      <c r="E325" s="9"/>
      <c r="F325" s="9"/>
      <c r="G325" s="9"/>
      <c r="H325" s="9"/>
    </row>
    <row r="326" spans="1:8" x14ac:dyDescent="0.3">
      <c r="A326" s="9"/>
      <c r="B326" s="9"/>
      <c r="C326" s="9"/>
      <c r="D326" s="9"/>
      <c r="E326" s="9"/>
      <c r="F326" s="9"/>
      <c r="G326" s="9"/>
      <c r="H326" s="9"/>
    </row>
    <row r="327" spans="1:8" x14ac:dyDescent="0.3">
      <c r="A327" s="9"/>
      <c r="B327" s="9"/>
      <c r="C327" s="9"/>
      <c r="D327" s="9"/>
      <c r="E327" s="9"/>
      <c r="F327" s="9"/>
      <c r="G327" s="9"/>
      <c r="H327" s="9"/>
    </row>
    <row r="328" spans="1:8" x14ac:dyDescent="0.3">
      <c r="A328" s="9"/>
      <c r="B328" s="9"/>
      <c r="C328" s="9"/>
      <c r="D328" s="9"/>
      <c r="E328" s="9"/>
      <c r="F328" s="9"/>
      <c r="G328" s="9"/>
      <c r="H328" s="9"/>
    </row>
    <row r="329" spans="1:8" x14ac:dyDescent="0.3">
      <c r="A329" s="9"/>
      <c r="B329" s="9"/>
      <c r="C329" s="9"/>
      <c r="D329" s="9"/>
      <c r="E329" s="9"/>
      <c r="F329" s="9"/>
      <c r="G329" s="9"/>
      <c r="H329" s="9"/>
    </row>
    <row r="330" spans="1:8" x14ac:dyDescent="0.3">
      <c r="A330" s="9"/>
      <c r="B330" s="9"/>
      <c r="C330" s="9"/>
      <c r="D330" s="9"/>
      <c r="E330" s="9"/>
      <c r="F330" s="9"/>
      <c r="G330" s="9"/>
      <c r="H330" s="9"/>
    </row>
    <row r="331" spans="1:8" x14ac:dyDescent="0.3">
      <c r="A331" s="9"/>
      <c r="B331" s="9"/>
      <c r="C331" s="9"/>
      <c r="D331" s="9"/>
      <c r="E331" s="9"/>
      <c r="F331" s="9"/>
      <c r="G331" s="9"/>
      <c r="H331" s="9"/>
    </row>
    <row r="332" spans="1:8" x14ac:dyDescent="0.3">
      <c r="A332" s="9"/>
      <c r="B332" s="9"/>
      <c r="C332" s="9"/>
      <c r="D332" s="9"/>
      <c r="E332" s="9"/>
      <c r="F332" s="9"/>
      <c r="G332" s="9"/>
      <c r="H332" s="9"/>
    </row>
    <row r="333" spans="1:8" x14ac:dyDescent="0.3">
      <c r="A333" s="9"/>
      <c r="B333" s="9"/>
      <c r="C333" s="9"/>
      <c r="D333" s="9"/>
      <c r="E333" s="9"/>
      <c r="F333" s="9"/>
      <c r="G333" s="9"/>
      <c r="H333" s="9"/>
    </row>
    <row r="334" spans="1:8" x14ac:dyDescent="0.3">
      <c r="A334" s="9"/>
      <c r="B334" s="9"/>
      <c r="C334" s="9"/>
      <c r="D334" s="9"/>
      <c r="E334" s="9"/>
      <c r="F334" s="9"/>
      <c r="G334" s="9"/>
      <c r="H334" s="9"/>
    </row>
    <row r="335" spans="1:8" x14ac:dyDescent="0.3">
      <c r="A335" s="9"/>
      <c r="B335" s="9"/>
      <c r="C335" s="9"/>
      <c r="D335" s="9"/>
      <c r="E335" s="9"/>
      <c r="F335" s="9"/>
      <c r="G335" s="9"/>
      <c r="H335" s="9"/>
    </row>
    <row r="336" spans="1:8" x14ac:dyDescent="0.3">
      <c r="A336" s="9"/>
      <c r="B336" s="9"/>
      <c r="C336" s="9"/>
      <c r="D336" s="9"/>
      <c r="E336" s="9"/>
      <c r="F336" s="9"/>
      <c r="G336" s="9"/>
      <c r="H336" s="9"/>
    </row>
    <row r="337" spans="1:8" x14ac:dyDescent="0.3">
      <c r="A337" s="9"/>
      <c r="B337" s="9"/>
      <c r="C337" s="9"/>
      <c r="D337" s="9"/>
      <c r="E337" s="9"/>
      <c r="F337" s="9"/>
      <c r="G337" s="9"/>
      <c r="H337" s="9"/>
    </row>
    <row r="338" spans="1:8" x14ac:dyDescent="0.3">
      <c r="A338" s="9"/>
      <c r="B338" s="9"/>
      <c r="C338" s="9"/>
      <c r="D338" s="9"/>
      <c r="E338" s="9"/>
      <c r="F338" s="9"/>
      <c r="G338" s="9"/>
      <c r="H338" s="9"/>
    </row>
    <row r="339" spans="1:8" x14ac:dyDescent="0.3">
      <c r="A339" s="9"/>
      <c r="B339" s="9"/>
      <c r="C339" s="9"/>
      <c r="D339" s="9"/>
      <c r="E339" s="9"/>
      <c r="F339" s="9"/>
      <c r="G339" s="9"/>
      <c r="H339" s="9"/>
    </row>
    <row r="340" spans="1:8" x14ac:dyDescent="0.3">
      <c r="A340" s="9"/>
      <c r="B340" s="9"/>
      <c r="C340" s="9"/>
      <c r="D340" s="9"/>
      <c r="E340" s="9"/>
      <c r="F340" s="9"/>
      <c r="G340" s="9"/>
      <c r="H340" s="9"/>
    </row>
    <row r="341" spans="1:8" x14ac:dyDescent="0.3">
      <c r="A341" s="9"/>
      <c r="B341" s="9"/>
      <c r="C341" s="9"/>
      <c r="D341" s="9"/>
      <c r="E341" s="9"/>
      <c r="F341" s="9"/>
      <c r="G341" s="9"/>
      <c r="H341" s="9"/>
    </row>
    <row r="342" spans="1:8" x14ac:dyDescent="0.3">
      <c r="A342" s="9"/>
      <c r="B342" s="9"/>
      <c r="C342" s="9"/>
      <c r="D342" s="9"/>
      <c r="E342" s="9"/>
      <c r="F342" s="9"/>
      <c r="G342" s="9"/>
      <c r="H342" s="9"/>
    </row>
    <row r="343" spans="1:8" x14ac:dyDescent="0.3">
      <c r="A343" s="9"/>
      <c r="B343" s="9"/>
      <c r="C343" s="9"/>
      <c r="D343" s="9"/>
      <c r="E343" s="9"/>
      <c r="F343" s="9"/>
      <c r="G343" s="9"/>
      <c r="H343" s="9"/>
    </row>
    <row r="344" spans="1:8" x14ac:dyDescent="0.3">
      <c r="A344" s="9"/>
      <c r="B344" s="9"/>
      <c r="C344" s="9"/>
      <c r="D344" s="9"/>
      <c r="E344" s="9"/>
      <c r="F344" s="9"/>
      <c r="G344" s="9"/>
      <c r="H344" s="9"/>
    </row>
    <row r="345" spans="1:8" x14ac:dyDescent="0.3">
      <c r="A345" s="9"/>
      <c r="B345" s="9"/>
      <c r="C345" s="9"/>
      <c r="D345" s="9"/>
      <c r="E345" s="9"/>
      <c r="F345" s="9"/>
      <c r="G345" s="9"/>
      <c r="H345" s="9"/>
    </row>
    <row r="346" spans="1:8" x14ac:dyDescent="0.3">
      <c r="A346" s="9"/>
      <c r="B346" s="9"/>
      <c r="C346" s="9"/>
      <c r="D346" s="9"/>
      <c r="E346" s="9"/>
      <c r="F346" s="9"/>
      <c r="G346" s="9"/>
      <c r="H346" s="9"/>
    </row>
    <row r="347" spans="1:8" x14ac:dyDescent="0.3">
      <c r="A347" s="9"/>
      <c r="B347" s="9"/>
      <c r="C347" s="9"/>
      <c r="D347" s="9"/>
      <c r="E347" s="9"/>
      <c r="F347" s="9"/>
      <c r="G347" s="9"/>
      <c r="H347" s="9"/>
    </row>
    <row r="348" spans="1:8" x14ac:dyDescent="0.3">
      <c r="A348" s="9"/>
      <c r="B348" s="9"/>
      <c r="C348" s="9"/>
      <c r="D348" s="9"/>
      <c r="E348" s="9"/>
      <c r="F348" s="9"/>
      <c r="G348" s="9"/>
      <c r="H348" s="9"/>
    </row>
    <row r="349" spans="1:8" x14ac:dyDescent="0.3">
      <c r="A349" s="9"/>
      <c r="B349" s="9"/>
      <c r="C349" s="9"/>
      <c r="D349" s="9"/>
      <c r="E349" s="9"/>
      <c r="F349" s="9"/>
      <c r="G349" s="9"/>
      <c r="H349" s="9"/>
    </row>
    <row r="350" spans="1:8" x14ac:dyDescent="0.3">
      <c r="A350" s="9"/>
      <c r="B350" s="9"/>
      <c r="C350" s="9"/>
      <c r="D350" s="9"/>
      <c r="E350" s="9"/>
      <c r="F350" s="9"/>
      <c r="G350" s="9"/>
      <c r="H350" s="9"/>
    </row>
    <row r="351" spans="1:8" x14ac:dyDescent="0.3">
      <c r="A351" s="9"/>
      <c r="B351" s="9"/>
      <c r="C351" s="9"/>
      <c r="D351" s="9"/>
      <c r="E351" s="9"/>
      <c r="F351" s="9"/>
      <c r="G351" s="9"/>
      <c r="H351" s="9"/>
    </row>
    <row r="352" spans="1:8" x14ac:dyDescent="0.3">
      <c r="A352" s="9"/>
      <c r="B352" s="9"/>
      <c r="C352" s="9"/>
      <c r="D352" s="9"/>
      <c r="E352" s="9"/>
      <c r="F352" s="9"/>
      <c r="G352" s="9"/>
      <c r="H352" s="9"/>
    </row>
    <row r="353" spans="1:8" x14ac:dyDescent="0.3">
      <c r="A353" s="9"/>
      <c r="B353" s="9"/>
      <c r="C353" s="9"/>
      <c r="D353" s="9"/>
      <c r="E353" s="9"/>
      <c r="F353" s="9"/>
      <c r="G353" s="9"/>
      <c r="H353" s="9"/>
    </row>
    <row r="354" spans="1:8" x14ac:dyDescent="0.3">
      <c r="A354" s="9"/>
      <c r="B354" s="9"/>
      <c r="C354" s="9"/>
      <c r="D354" s="9"/>
      <c r="E354" s="9"/>
      <c r="F354" s="9"/>
      <c r="G354" s="9"/>
      <c r="H354" s="9"/>
    </row>
    <row r="355" spans="1:8" x14ac:dyDescent="0.3">
      <c r="A355" s="9"/>
      <c r="B355" s="9"/>
      <c r="C355" s="9"/>
      <c r="D355" s="9"/>
      <c r="E355" s="9"/>
      <c r="F355" s="9"/>
      <c r="G355" s="9"/>
      <c r="H355" s="9"/>
    </row>
    <row r="356" spans="1:8" x14ac:dyDescent="0.3">
      <c r="A356" s="9"/>
      <c r="B356" s="9"/>
      <c r="C356" s="9"/>
      <c r="D356" s="9"/>
      <c r="E356" s="9"/>
      <c r="F356" s="9"/>
      <c r="G356" s="9"/>
      <c r="H356" s="9"/>
    </row>
    <row r="357" spans="1:8" x14ac:dyDescent="0.3">
      <c r="A357" s="9"/>
      <c r="B357" s="9"/>
      <c r="C357" s="9"/>
      <c r="D357" s="9"/>
      <c r="E357" s="9"/>
      <c r="F357" s="9"/>
      <c r="G357" s="9"/>
      <c r="H357" s="9"/>
    </row>
    <row r="358" spans="1:8" x14ac:dyDescent="0.3">
      <c r="A358" s="9"/>
      <c r="B358" s="9"/>
      <c r="C358" s="9"/>
      <c r="D358" s="9"/>
      <c r="E358" s="9"/>
      <c r="F358" s="9"/>
      <c r="G358" s="9"/>
      <c r="H358" s="9"/>
    </row>
    <row r="359" spans="1:8" x14ac:dyDescent="0.3">
      <c r="A359" s="9"/>
      <c r="B359" s="9"/>
      <c r="C359" s="9"/>
      <c r="D359" s="9"/>
      <c r="E359" s="9"/>
      <c r="F359" s="9"/>
      <c r="G359" s="9"/>
      <c r="H359" s="9"/>
    </row>
    <row r="360" spans="1:8" x14ac:dyDescent="0.3">
      <c r="A360" s="9"/>
      <c r="B360" s="9"/>
      <c r="C360" s="9"/>
      <c r="D360" s="9"/>
      <c r="E360" s="9"/>
      <c r="F360" s="9"/>
      <c r="G360" s="9"/>
      <c r="H360" s="9"/>
    </row>
    <row r="361" spans="1:8" x14ac:dyDescent="0.3">
      <c r="A361" s="9"/>
      <c r="B361" s="9"/>
      <c r="C361" s="9"/>
      <c r="D361" s="9"/>
      <c r="E361" s="9"/>
      <c r="F361" s="9"/>
      <c r="G361" s="9"/>
      <c r="H361" s="9"/>
    </row>
    <row r="362" spans="1:8" x14ac:dyDescent="0.3">
      <c r="A362" s="9"/>
      <c r="B362" s="9"/>
      <c r="C362" s="9"/>
      <c r="D362" s="9"/>
      <c r="E362" s="9"/>
      <c r="F362" s="9"/>
      <c r="G362" s="9"/>
      <c r="H362" s="9"/>
    </row>
    <row r="363" spans="1:8" x14ac:dyDescent="0.3">
      <c r="A363" s="9"/>
      <c r="B363" s="9"/>
      <c r="C363" s="9"/>
      <c r="D363" s="9"/>
      <c r="E363" s="9"/>
      <c r="F363" s="9"/>
      <c r="G363" s="9"/>
      <c r="H363" s="9"/>
    </row>
    <row r="364" spans="1:8" x14ac:dyDescent="0.3">
      <c r="A364" s="9"/>
      <c r="B364" s="9"/>
      <c r="C364" s="9"/>
      <c r="D364" s="9"/>
      <c r="E364" s="9"/>
      <c r="F364" s="9"/>
      <c r="G364" s="9"/>
      <c r="H364" s="9"/>
    </row>
    <row r="365" spans="1:8" x14ac:dyDescent="0.3">
      <c r="A365" s="9"/>
      <c r="B365" s="9"/>
      <c r="C365" s="9"/>
      <c r="D365" s="9"/>
      <c r="E365" s="9"/>
      <c r="F365" s="9"/>
      <c r="G365" s="9"/>
      <c r="H365" s="9"/>
    </row>
    <row r="366" spans="1:8" x14ac:dyDescent="0.3">
      <c r="A366" s="9"/>
      <c r="B366" s="9"/>
      <c r="C366" s="9"/>
      <c r="D366" s="9"/>
      <c r="E366" s="9"/>
      <c r="F366" s="9"/>
      <c r="G366" s="9"/>
      <c r="H366" s="9"/>
    </row>
    <row r="367" spans="1:8" x14ac:dyDescent="0.3">
      <c r="A367" s="9"/>
      <c r="B367" s="9"/>
      <c r="C367" s="9"/>
      <c r="D367" s="9"/>
      <c r="E367" s="9"/>
      <c r="F367" s="9"/>
      <c r="G367" s="9"/>
      <c r="H367" s="9"/>
    </row>
    <row r="368" spans="1:8" x14ac:dyDescent="0.3">
      <c r="A368" s="9"/>
      <c r="B368" s="9"/>
      <c r="C368" s="9"/>
      <c r="D368" s="9"/>
      <c r="E368" s="9"/>
      <c r="F368" s="9"/>
      <c r="G368" s="9"/>
      <c r="H368" s="9"/>
    </row>
    <row r="369" spans="1:8" x14ac:dyDescent="0.3">
      <c r="A369" s="9"/>
      <c r="B369" s="9"/>
      <c r="C369" s="9"/>
      <c r="D369" s="9"/>
      <c r="E369" s="9"/>
      <c r="F369" s="9"/>
      <c r="G369" s="9"/>
      <c r="H369" s="9"/>
    </row>
    <row r="370" spans="1:8" x14ac:dyDescent="0.3">
      <c r="A370" s="9"/>
      <c r="B370" s="9"/>
      <c r="C370" s="9"/>
      <c r="D370" s="9"/>
      <c r="E370" s="9"/>
      <c r="F370" s="9"/>
      <c r="G370" s="9"/>
      <c r="H370" s="9"/>
    </row>
    <row r="371" spans="1:8" x14ac:dyDescent="0.3">
      <c r="A371" s="9"/>
      <c r="B371" s="9"/>
      <c r="C371" s="9"/>
      <c r="D371" s="9"/>
      <c r="E371" s="9"/>
      <c r="F371" s="9"/>
      <c r="G371" s="9"/>
      <c r="H371" s="9"/>
    </row>
    <row r="372" spans="1:8" x14ac:dyDescent="0.3">
      <c r="A372" s="9"/>
      <c r="B372" s="9"/>
      <c r="C372" s="9"/>
      <c r="D372" s="9"/>
      <c r="E372" s="9"/>
      <c r="F372" s="9"/>
      <c r="G372" s="9"/>
      <c r="H372" s="9"/>
    </row>
    <row r="373" spans="1:8" x14ac:dyDescent="0.3">
      <c r="A373" s="9"/>
      <c r="B373" s="9"/>
      <c r="C373" s="9"/>
      <c r="D373" s="9"/>
      <c r="E373" s="9"/>
      <c r="F373" s="9"/>
      <c r="G373" s="9"/>
      <c r="H373" s="9"/>
    </row>
    <row r="374" spans="1:8" x14ac:dyDescent="0.3">
      <c r="A374" s="9"/>
      <c r="B374" s="9"/>
      <c r="C374" s="9"/>
      <c r="D374" s="9"/>
      <c r="E374" s="9"/>
      <c r="F374" s="9"/>
      <c r="G374" s="9"/>
      <c r="H374" s="9"/>
    </row>
    <row r="375" spans="1:8" x14ac:dyDescent="0.3">
      <c r="A375" s="9"/>
      <c r="B375" s="9"/>
      <c r="C375" s="9"/>
      <c r="D375" s="9"/>
      <c r="E375" s="9"/>
      <c r="F375" s="9"/>
      <c r="G375" s="9"/>
      <c r="H375" s="9"/>
    </row>
    <row r="376" spans="1:8" x14ac:dyDescent="0.3">
      <c r="A376" s="9"/>
      <c r="B376" s="9"/>
      <c r="C376" s="9"/>
      <c r="D376" s="9"/>
      <c r="E376" s="9"/>
      <c r="F376" s="9"/>
      <c r="G376" s="9"/>
      <c r="H376" s="9"/>
    </row>
    <row r="377" spans="1:8" x14ac:dyDescent="0.3">
      <c r="A377" s="9"/>
      <c r="B377" s="9"/>
      <c r="C377" s="9"/>
      <c r="D377" s="9"/>
      <c r="E377" s="9"/>
      <c r="F377" s="9"/>
      <c r="G377" s="9"/>
      <c r="H377" s="9"/>
    </row>
    <row r="378" spans="1:8" x14ac:dyDescent="0.3">
      <c r="A378" s="9"/>
      <c r="B378" s="9"/>
      <c r="C378" s="9"/>
      <c r="D378" s="9"/>
      <c r="E378" s="9"/>
      <c r="F378" s="9"/>
      <c r="G378" s="9"/>
      <c r="H378" s="9"/>
    </row>
    <row r="379" spans="1:8" x14ac:dyDescent="0.3">
      <c r="A379" s="9"/>
      <c r="B379" s="9"/>
      <c r="C379" s="9"/>
      <c r="D379" s="9"/>
      <c r="E379" s="9"/>
      <c r="F379" s="9"/>
      <c r="G379" s="9"/>
      <c r="H379" s="9"/>
    </row>
    <row r="380" spans="1:8" x14ac:dyDescent="0.3">
      <c r="A380" s="9"/>
      <c r="B380" s="9"/>
      <c r="C380" s="9"/>
      <c r="D380" s="9"/>
      <c r="E380" s="9"/>
      <c r="F380" s="9"/>
      <c r="G380" s="9"/>
      <c r="H380" s="9"/>
    </row>
    <row r="381" spans="1:8" x14ac:dyDescent="0.3">
      <c r="A381" s="9"/>
      <c r="B381" s="9"/>
      <c r="C381" s="9"/>
      <c r="D381" s="9"/>
      <c r="E381" s="9"/>
      <c r="F381" s="9"/>
      <c r="G381" s="9"/>
      <c r="H381" s="9"/>
    </row>
    <row r="382" spans="1:8" x14ac:dyDescent="0.3">
      <c r="A382" s="9"/>
      <c r="B382" s="9"/>
      <c r="C382" s="9"/>
      <c r="D382" s="9"/>
      <c r="E382" s="9"/>
      <c r="F382" s="9"/>
      <c r="G382" s="9"/>
      <c r="H382" s="9"/>
    </row>
    <row r="383" spans="1:8" x14ac:dyDescent="0.3">
      <c r="A383" s="9"/>
      <c r="B383" s="9"/>
      <c r="C383" s="9"/>
      <c r="D383" s="9"/>
      <c r="E383" s="9"/>
      <c r="F383" s="9"/>
      <c r="G383" s="9"/>
      <c r="H383" s="9"/>
    </row>
    <row r="384" spans="1:8" x14ac:dyDescent="0.3">
      <c r="A384" s="9"/>
      <c r="B384" s="9"/>
      <c r="C384" s="9"/>
      <c r="D384" s="9"/>
      <c r="E384" s="9"/>
      <c r="F384" s="9"/>
      <c r="G384" s="9"/>
      <c r="H384" s="9"/>
    </row>
    <row r="385" spans="1:8" x14ac:dyDescent="0.3">
      <c r="A385" s="9"/>
      <c r="B385" s="9"/>
      <c r="C385" s="9"/>
      <c r="D385" s="9"/>
      <c r="E385" s="9"/>
      <c r="F385" s="9"/>
      <c r="G385" s="9"/>
      <c r="H385" s="9"/>
    </row>
    <row r="386" spans="1:8" x14ac:dyDescent="0.3">
      <c r="A386" s="9"/>
      <c r="B386" s="9"/>
      <c r="C386" s="9"/>
      <c r="D386" s="9"/>
      <c r="E386" s="9"/>
      <c r="F386" s="9"/>
      <c r="G386" s="9"/>
      <c r="H386" s="9"/>
    </row>
    <row r="387" spans="1:8" x14ac:dyDescent="0.3">
      <c r="A387" s="9"/>
      <c r="B387" s="9"/>
      <c r="C387" s="9"/>
      <c r="D387" s="9"/>
      <c r="E387" s="9"/>
      <c r="F387" s="9"/>
      <c r="G387" s="9"/>
      <c r="H387" s="9"/>
    </row>
    <row r="388" spans="1:8" x14ac:dyDescent="0.3">
      <c r="A388" s="9"/>
      <c r="B388" s="9"/>
      <c r="C388" s="9"/>
      <c r="D388" s="9"/>
      <c r="E388" s="9"/>
      <c r="F388" s="9"/>
      <c r="G388" s="9"/>
      <c r="H388" s="9"/>
    </row>
    <row r="389" spans="1:8" x14ac:dyDescent="0.3">
      <c r="A389" s="9"/>
      <c r="B389" s="9"/>
      <c r="C389" s="9"/>
      <c r="D389" s="9"/>
      <c r="E389" s="9"/>
      <c r="F389" s="9"/>
      <c r="G389" s="9"/>
      <c r="H389" s="9"/>
    </row>
    <row r="390" spans="1:8" x14ac:dyDescent="0.3">
      <c r="A390" s="9"/>
      <c r="B390" s="9"/>
      <c r="C390" s="9"/>
      <c r="D390" s="9"/>
      <c r="E390" s="9"/>
      <c r="F390" s="9"/>
      <c r="G390" s="9"/>
      <c r="H390" s="9"/>
    </row>
    <row r="391" spans="1:8" x14ac:dyDescent="0.3">
      <c r="A391" s="9"/>
      <c r="B391" s="9"/>
      <c r="C391" s="9"/>
      <c r="D391" s="9"/>
      <c r="E391" s="9"/>
      <c r="F391" s="9"/>
      <c r="G391" s="9"/>
      <c r="H391" s="9"/>
    </row>
    <row r="392" spans="1:8" x14ac:dyDescent="0.3">
      <c r="A392" s="9"/>
      <c r="B392" s="9"/>
      <c r="C392" s="9"/>
      <c r="D392" s="9"/>
      <c r="E392" s="9"/>
      <c r="F392" s="9"/>
      <c r="G392" s="9"/>
      <c r="H392" s="9"/>
    </row>
    <row r="393" spans="1:8" x14ac:dyDescent="0.3">
      <c r="A393" s="9"/>
      <c r="B393" s="9"/>
      <c r="C393" s="9"/>
      <c r="D393" s="9"/>
      <c r="E393" s="9"/>
      <c r="F393" s="9"/>
      <c r="G393" s="9"/>
      <c r="H393" s="9"/>
    </row>
    <row r="394" spans="1:8" x14ac:dyDescent="0.3">
      <c r="A394" s="9"/>
      <c r="B394" s="9"/>
      <c r="C394" s="9"/>
      <c r="D394" s="9"/>
      <c r="E394" s="9"/>
      <c r="F394" s="9"/>
      <c r="G394" s="9"/>
      <c r="H394" s="9"/>
    </row>
    <row r="395" spans="1:8" x14ac:dyDescent="0.3">
      <c r="A395" s="9"/>
      <c r="B395" s="9"/>
      <c r="C395" s="9"/>
      <c r="D395" s="9"/>
      <c r="E395" s="9"/>
      <c r="F395" s="9"/>
      <c r="G395" s="9"/>
      <c r="H395" s="9"/>
    </row>
    <row r="396" spans="1:8" x14ac:dyDescent="0.3">
      <c r="A396" s="9"/>
      <c r="B396" s="9"/>
      <c r="C396" s="9"/>
      <c r="D396" s="9"/>
      <c r="E396" s="9"/>
      <c r="F396" s="9"/>
      <c r="G396" s="9"/>
      <c r="H396" s="9"/>
    </row>
    <row r="397" spans="1:8" x14ac:dyDescent="0.3">
      <c r="A397" s="9"/>
      <c r="B397" s="9"/>
      <c r="C397" s="9"/>
      <c r="D397" s="9"/>
      <c r="E397" s="9"/>
      <c r="F397" s="9"/>
      <c r="G397" s="9"/>
      <c r="H397" s="9"/>
    </row>
    <row r="398" spans="1:8" x14ac:dyDescent="0.3">
      <c r="A398" s="9"/>
      <c r="B398" s="9"/>
      <c r="C398" s="9"/>
      <c r="D398" s="9"/>
      <c r="E398" s="9"/>
      <c r="F398" s="9"/>
      <c r="G398" s="9"/>
      <c r="H398" s="9"/>
    </row>
    <row r="399" spans="1:8" x14ac:dyDescent="0.3">
      <c r="A399" s="9"/>
      <c r="B399" s="9"/>
      <c r="C399" s="9"/>
      <c r="D399" s="9"/>
      <c r="E399" s="9"/>
      <c r="F399" s="9"/>
      <c r="G399" s="9"/>
      <c r="H399" s="9"/>
    </row>
    <row r="400" spans="1:8" x14ac:dyDescent="0.3">
      <c r="A400" s="9"/>
      <c r="B400" s="9"/>
      <c r="C400" s="9"/>
      <c r="D400" s="9"/>
      <c r="E400" s="9"/>
      <c r="F400" s="9"/>
      <c r="G400" s="9"/>
      <c r="H400" s="9"/>
    </row>
    <row r="401" spans="1:8" x14ac:dyDescent="0.3">
      <c r="A401" s="9"/>
      <c r="B401" s="9"/>
      <c r="C401" s="9"/>
      <c r="D401" s="9"/>
      <c r="E401" s="9"/>
      <c r="F401" s="9"/>
      <c r="G401" s="9"/>
      <c r="H401" s="9"/>
    </row>
    <row r="402" spans="1:8" x14ac:dyDescent="0.3">
      <c r="A402" s="9"/>
      <c r="B402" s="9"/>
      <c r="C402" s="9"/>
      <c r="D402" s="9"/>
      <c r="E402" s="9"/>
      <c r="F402" s="9"/>
      <c r="G402" s="9"/>
      <c r="H402" s="9"/>
    </row>
    <row r="403" spans="1:8" x14ac:dyDescent="0.3">
      <c r="A403" s="9"/>
      <c r="B403" s="9"/>
      <c r="C403" s="9"/>
      <c r="D403" s="9"/>
      <c r="E403" s="9"/>
      <c r="F403" s="9"/>
      <c r="G403" s="9"/>
      <c r="H403" s="9"/>
    </row>
    <row r="404" spans="1:8" x14ac:dyDescent="0.3">
      <c r="A404" s="9"/>
      <c r="B404" s="9"/>
      <c r="C404" s="9"/>
      <c r="D404" s="9"/>
      <c r="E404" s="9"/>
      <c r="F404" s="9"/>
      <c r="G404" s="9"/>
      <c r="H404" s="9"/>
    </row>
    <row r="405" spans="1:8" x14ac:dyDescent="0.3">
      <c r="A405" s="9"/>
      <c r="B405" s="9"/>
      <c r="C405" s="9"/>
      <c r="D405" s="9"/>
      <c r="E405" s="9"/>
      <c r="F405" s="9"/>
      <c r="G405" s="9"/>
      <c r="H405" s="9"/>
    </row>
    <row r="406" spans="1:8" x14ac:dyDescent="0.3">
      <c r="A406" s="9"/>
      <c r="B406" s="9"/>
      <c r="C406" s="9"/>
      <c r="D406" s="9"/>
      <c r="E406" s="9"/>
      <c r="F406" s="9"/>
      <c r="G406" s="9"/>
      <c r="H406" s="9"/>
    </row>
    <row r="407" spans="1:8" x14ac:dyDescent="0.3">
      <c r="A407" s="9"/>
      <c r="B407" s="9"/>
      <c r="C407" s="9"/>
      <c r="D407" s="9"/>
      <c r="E407" s="9"/>
      <c r="F407" s="9"/>
      <c r="G407" s="9"/>
      <c r="H407" s="9"/>
    </row>
    <row r="408" spans="1:8" x14ac:dyDescent="0.3">
      <c r="A408" s="9"/>
      <c r="B408" s="9"/>
      <c r="C408" s="9"/>
      <c r="D408" s="9"/>
      <c r="E408" s="9"/>
      <c r="F408" s="9"/>
      <c r="G408" s="9"/>
      <c r="H408" s="9"/>
    </row>
    <row r="409" spans="1:8" x14ac:dyDescent="0.3">
      <c r="A409" s="9"/>
      <c r="B409" s="9"/>
      <c r="C409" s="9"/>
      <c r="D409" s="9"/>
      <c r="E409" s="9"/>
      <c r="F409" s="9"/>
      <c r="G409" s="9"/>
      <c r="H409" s="9"/>
    </row>
    <row r="410" spans="1:8" x14ac:dyDescent="0.3">
      <c r="A410" s="9"/>
      <c r="B410" s="9"/>
      <c r="C410" s="9"/>
      <c r="D410" s="9"/>
      <c r="E410" s="9"/>
      <c r="F410" s="9"/>
      <c r="G410" s="9"/>
      <c r="H410" s="9"/>
    </row>
    <row r="411" spans="1:8" x14ac:dyDescent="0.3">
      <c r="A411" s="9"/>
      <c r="B411" s="9"/>
      <c r="C411" s="9"/>
      <c r="D411" s="9"/>
      <c r="E411" s="9"/>
      <c r="F411" s="9"/>
      <c r="G411" s="9"/>
      <c r="H411" s="9"/>
    </row>
    <row r="412" spans="1:8" x14ac:dyDescent="0.3">
      <c r="A412" s="9"/>
      <c r="B412" s="9"/>
      <c r="C412" s="9"/>
      <c r="D412" s="9"/>
      <c r="E412" s="9"/>
      <c r="F412" s="9"/>
      <c r="G412" s="9"/>
      <c r="H412" s="9"/>
    </row>
  </sheetData>
  <mergeCells count="8">
    <mergeCell ref="A1:H1"/>
    <mergeCell ref="A3:B3"/>
    <mergeCell ref="C3:C4"/>
    <mergeCell ref="D3:D4"/>
    <mergeCell ref="E3:E4"/>
    <mergeCell ref="F3:F4"/>
    <mergeCell ref="G3:G4"/>
    <mergeCell ref="H3:H4"/>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A9A0F-D29D-4233-A9C6-C9C67FB57692}">
  <dimension ref="A1:H412"/>
  <sheetViews>
    <sheetView zoomScale="70" zoomScaleNormal="70" workbookViewId="0">
      <pane ySplit="4" topLeftCell="A97" activePane="bottomLeft" state="frozen"/>
      <selection pane="bottomLeft" activeCell="F113" sqref="F113"/>
    </sheetView>
  </sheetViews>
  <sheetFormatPr defaultRowHeight="20.25" x14ac:dyDescent="0.3"/>
  <cols>
    <col min="1" max="2" width="20.7109375" style="1" customWidth="1"/>
    <col min="3" max="3" width="15.7109375" style="1" customWidth="1"/>
    <col min="4" max="4" width="101.85546875" style="1" customWidth="1"/>
    <col min="5" max="5" width="120.7109375" style="1" customWidth="1"/>
    <col min="6" max="7" width="80.7109375" style="1" customWidth="1"/>
    <col min="8" max="8" width="45.7109375" style="1" customWidth="1"/>
    <col min="9" max="16384" width="9.140625" style="1"/>
  </cols>
  <sheetData>
    <row r="1" spans="1:8" ht="30" x14ac:dyDescent="0.4">
      <c r="A1" s="109" t="s">
        <v>115</v>
      </c>
      <c r="B1" s="109"/>
      <c r="C1" s="109"/>
      <c r="D1" s="109"/>
      <c r="E1" s="109"/>
      <c r="F1" s="109"/>
      <c r="G1" s="109"/>
      <c r="H1" s="109"/>
    </row>
    <row r="3" spans="1:8" x14ac:dyDescent="0.3">
      <c r="A3" s="110" t="s">
        <v>1</v>
      </c>
      <c r="B3" s="110"/>
      <c r="C3" s="110" t="s">
        <v>4</v>
      </c>
      <c r="D3" s="110" t="s">
        <v>116</v>
      </c>
      <c r="E3" s="110" t="s">
        <v>117</v>
      </c>
      <c r="F3" s="110" t="s">
        <v>727</v>
      </c>
      <c r="G3" s="110" t="s">
        <v>104</v>
      </c>
      <c r="H3" s="110" t="s">
        <v>11</v>
      </c>
    </row>
    <row r="4" spans="1:8" x14ac:dyDescent="0.3">
      <c r="A4" s="4" t="s">
        <v>2</v>
      </c>
      <c r="B4" s="4" t="s">
        <v>3</v>
      </c>
      <c r="C4" s="110"/>
      <c r="D4" s="110"/>
      <c r="E4" s="110"/>
      <c r="F4" s="110"/>
      <c r="G4" s="110"/>
      <c r="H4" s="110"/>
    </row>
    <row r="5" spans="1:8" ht="30" customHeight="1" x14ac:dyDescent="0.3">
      <c r="A5" s="7" t="s">
        <v>97</v>
      </c>
      <c r="B5" s="8"/>
      <c r="C5" s="8"/>
      <c r="D5" s="6" t="s">
        <v>389</v>
      </c>
      <c r="E5" s="7" t="s">
        <v>138</v>
      </c>
      <c r="F5" s="23"/>
      <c r="G5" s="23" t="s">
        <v>137</v>
      </c>
      <c r="H5" s="3" t="s">
        <v>9</v>
      </c>
    </row>
    <row r="6" spans="1:8" ht="30" customHeight="1" x14ac:dyDescent="0.3">
      <c r="A6" s="7" t="s">
        <v>263</v>
      </c>
      <c r="B6" s="8"/>
      <c r="C6" s="8"/>
      <c r="D6" s="31" t="s">
        <v>406</v>
      </c>
      <c r="E6" s="7"/>
      <c r="F6" s="23"/>
      <c r="G6" s="23"/>
      <c r="H6" s="3"/>
    </row>
    <row r="7" spans="1:8" ht="30" customHeight="1" x14ac:dyDescent="0.3">
      <c r="A7" s="8" t="s">
        <v>639</v>
      </c>
      <c r="B7" s="8"/>
      <c r="C7" s="8"/>
      <c r="D7" s="31" t="s">
        <v>657</v>
      </c>
      <c r="E7" s="7" t="s">
        <v>658</v>
      </c>
      <c r="F7" s="23"/>
      <c r="G7" s="23" t="s">
        <v>659</v>
      </c>
      <c r="H7" s="3"/>
    </row>
    <row r="8" spans="1:8" ht="30" customHeight="1" x14ac:dyDescent="0.3">
      <c r="A8" s="7">
        <v>46083</v>
      </c>
      <c r="B8" s="8"/>
      <c r="C8" s="8"/>
      <c r="D8" s="31" t="s">
        <v>726</v>
      </c>
      <c r="E8" s="7"/>
      <c r="F8" s="23" t="s">
        <v>728</v>
      </c>
      <c r="G8" s="23"/>
      <c r="H8" s="3"/>
    </row>
    <row r="9" spans="1:8" ht="30" customHeight="1" x14ac:dyDescent="0.3">
      <c r="A9" s="7"/>
      <c r="B9" s="8"/>
      <c r="C9" s="8"/>
      <c r="D9" s="31" t="s">
        <v>729</v>
      </c>
      <c r="E9" s="7"/>
      <c r="F9" s="8" t="s">
        <v>730</v>
      </c>
      <c r="G9" s="23"/>
      <c r="H9" s="3"/>
    </row>
    <row r="10" spans="1:8" s="26" customFormat="1" ht="30" customHeight="1" x14ac:dyDescent="0.3">
      <c r="A10" s="14"/>
      <c r="B10" s="15"/>
      <c r="C10" s="8"/>
      <c r="D10" s="49" t="s">
        <v>731</v>
      </c>
      <c r="E10" s="14"/>
      <c r="F10" s="24" t="s">
        <v>732</v>
      </c>
      <c r="G10" s="24"/>
      <c r="H10" s="30"/>
    </row>
    <row r="11" spans="1:8" ht="30" customHeight="1" x14ac:dyDescent="0.3">
      <c r="A11" s="8"/>
      <c r="B11" s="8"/>
      <c r="C11" s="8"/>
      <c r="D11" s="31" t="s">
        <v>731</v>
      </c>
      <c r="E11" s="7"/>
      <c r="F11" s="23"/>
      <c r="G11" s="23"/>
      <c r="H11" s="3"/>
    </row>
    <row r="12" spans="1:8" ht="30" customHeight="1" x14ac:dyDescent="0.3">
      <c r="A12" s="8"/>
      <c r="B12" s="8"/>
      <c r="C12" s="8"/>
      <c r="D12" s="6" t="s">
        <v>733</v>
      </c>
      <c r="E12" s="7"/>
      <c r="F12" s="23" t="s">
        <v>732</v>
      </c>
      <c r="G12" s="23"/>
      <c r="H12" s="3"/>
    </row>
    <row r="13" spans="1:8" ht="30" customHeight="1" x14ac:dyDescent="0.3">
      <c r="A13" s="8"/>
      <c r="B13" s="8"/>
      <c r="C13" s="8"/>
      <c r="D13" s="31" t="s">
        <v>734</v>
      </c>
      <c r="E13" s="7"/>
      <c r="F13" s="23" t="s">
        <v>735</v>
      </c>
      <c r="G13" s="23"/>
      <c r="H13" s="3"/>
    </row>
    <row r="14" spans="1:8" ht="30" customHeight="1" x14ac:dyDescent="0.3">
      <c r="A14" s="8"/>
      <c r="B14" s="8"/>
      <c r="C14" s="8"/>
      <c r="D14" s="31" t="s">
        <v>736</v>
      </c>
      <c r="E14" s="7"/>
      <c r="F14" s="23" t="s">
        <v>732</v>
      </c>
      <c r="G14" s="23"/>
      <c r="H14" s="3"/>
    </row>
    <row r="15" spans="1:8" ht="30" customHeight="1" x14ac:dyDescent="0.3">
      <c r="A15" s="8"/>
      <c r="B15" s="8"/>
      <c r="C15" s="8"/>
      <c r="D15" s="6" t="s">
        <v>737</v>
      </c>
      <c r="E15" s="7"/>
      <c r="F15" s="23" t="s">
        <v>738</v>
      </c>
      <c r="G15" s="23"/>
      <c r="H15" s="3"/>
    </row>
    <row r="16" spans="1:8" ht="30" customHeight="1" x14ac:dyDescent="0.3">
      <c r="A16" s="8"/>
      <c r="B16" s="8"/>
      <c r="C16" s="8"/>
      <c r="D16" s="31" t="s">
        <v>739</v>
      </c>
      <c r="E16" s="7"/>
      <c r="F16" s="23" t="s">
        <v>735</v>
      </c>
      <c r="G16" s="23"/>
      <c r="H16" s="3"/>
    </row>
    <row r="17" spans="1:8" ht="30" customHeight="1" x14ac:dyDescent="0.3">
      <c r="A17" s="8"/>
      <c r="B17" s="8"/>
      <c r="C17" s="8"/>
      <c r="D17" s="6" t="s">
        <v>740</v>
      </c>
      <c r="E17" s="7"/>
      <c r="F17" s="23" t="s">
        <v>741</v>
      </c>
      <c r="G17" s="23"/>
      <c r="H17" s="3"/>
    </row>
    <row r="18" spans="1:8" ht="30" customHeight="1" x14ac:dyDescent="0.3">
      <c r="A18" s="8"/>
      <c r="B18" s="8"/>
      <c r="C18" s="8"/>
      <c r="D18" s="31" t="s">
        <v>743</v>
      </c>
      <c r="E18" s="7" t="s">
        <v>742</v>
      </c>
      <c r="F18" s="23"/>
      <c r="G18" s="23"/>
      <c r="H18" s="3"/>
    </row>
    <row r="19" spans="1:8" ht="30" customHeight="1" x14ac:dyDescent="0.3">
      <c r="A19" s="8"/>
      <c r="B19" s="8"/>
      <c r="C19" s="8"/>
      <c r="D19" s="31" t="s">
        <v>744</v>
      </c>
      <c r="E19" s="7"/>
      <c r="F19" s="23" t="s">
        <v>745</v>
      </c>
      <c r="G19" s="23"/>
      <c r="H19" s="3"/>
    </row>
    <row r="20" spans="1:8" ht="30" customHeight="1" x14ac:dyDescent="0.3">
      <c r="A20" s="8"/>
      <c r="B20" s="8"/>
      <c r="C20" s="8"/>
      <c r="D20" s="6" t="s">
        <v>746</v>
      </c>
      <c r="E20" s="7"/>
      <c r="F20" s="23"/>
      <c r="G20" s="23"/>
      <c r="H20" s="3"/>
    </row>
    <row r="21" spans="1:8" ht="30" customHeight="1" x14ac:dyDescent="0.3">
      <c r="A21" s="8"/>
      <c r="B21" s="8"/>
      <c r="C21" s="8"/>
      <c r="D21" s="31" t="s">
        <v>747</v>
      </c>
      <c r="E21" s="7"/>
      <c r="F21" s="23"/>
      <c r="G21" s="23"/>
      <c r="H21" s="3"/>
    </row>
    <row r="22" spans="1:8" ht="30" customHeight="1" x14ac:dyDescent="0.3">
      <c r="A22" s="8"/>
      <c r="B22" s="8"/>
      <c r="C22" s="8"/>
      <c r="D22" s="31" t="s">
        <v>749</v>
      </c>
      <c r="E22" s="7" t="s">
        <v>1042</v>
      </c>
      <c r="F22" s="23" t="s">
        <v>732</v>
      </c>
      <c r="G22" s="23"/>
      <c r="H22" s="3"/>
    </row>
    <row r="23" spans="1:8" ht="30" customHeight="1" x14ac:dyDescent="0.3">
      <c r="A23" s="7">
        <v>46267</v>
      </c>
      <c r="B23" s="8"/>
      <c r="C23" s="8"/>
      <c r="D23" s="6" t="s">
        <v>796</v>
      </c>
      <c r="E23" s="7" t="s">
        <v>1042</v>
      </c>
      <c r="F23" s="23" t="s">
        <v>797</v>
      </c>
      <c r="G23" s="23"/>
      <c r="H23" s="3"/>
    </row>
    <row r="24" spans="1:8" ht="30" customHeight="1" x14ac:dyDescent="0.3">
      <c r="A24" s="8"/>
      <c r="B24" s="8"/>
      <c r="C24" s="8"/>
      <c r="D24" s="31" t="s">
        <v>731</v>
      </c>
      <c r="E24" s="7" t="s">
        <v>1042</v>
      </c>
      <c r="F24" s="23" t="s">
        <v>798</v>
      </c>
      <c r="G24" s="23"/>
      <c r="H24" s="3"/>
    </row>
    <row r="25" spans="1:8" ht="30" customHeight="1" x14ac:dyDescent="0.3">
      <c r="A25" s="8"/>
      <c r="B25" s="8"/>
      <c r="C25" s="8"/>
      <c r="D25" s="6" t="s">
        <v>799</v>
      </c>
      <c r="E25" s="7" t="s">
        <v>1042</v>
      </c>
      <c r="F25" s="23" t="s">
        <v>800</v>
      </c>
      <c r="G25" s="23"/>
      <c r="H25" s="3"/>
    </row>
    <row r="26" spans="1:8" ht="30" customHeight="1" x14ac:dyDescent="0.3">
      <c r="A26" s="8"/>
      <c r="B26" s="8"/>
      <c r="C26" s="8"/>
      <c r="D26" s="6" t="s">
        <v>799</v>
      </c>
      <c r="E26" s="7" t="s">
        <v>1042</v>
      </c>
      <c r="F26" s="23" t="s">
        <v>797</v>
      </c>
      <c r="G26" s="23"/>
      <c r="H26" s="3"/>
    </row>
    <row r="27" spans="1:8" ht="30" customHeight="1" x14ac:dyDescent="0.3">
      <c r="A27" s="8"/>
      <c r="B27" s="8"/>
      <c r="C27" s="8"/>
      <c r="D27" s="6" t="s">
        <v>805</v>
      </c>
      <c r="E27" s="7" t="s">
        <v>1042</v>
      </c>
      <c r="F27" s="23" t="s">
        <v>806</v>
      </c>
      <c r="G27" s="23"/>
      <c r="H27" s="3"/>
    </row>
    <row r="28" spans="1:8" ht="30" customHeight="1" x14ac:dyDescent="0.3">
      <c r="A28" s="7">
        <v>46328</v>
      </c>
      <c r="B28" s="8"/>
      <c r="C28" s="8"/>
      <c r="D28" s="6" t="s">
        <v>885</v>
      </c>
      <c r="E28" s="7" t="s">
        <v>1042</v>
      </c>
      <c r="F28" s="23" t="s">
        <v>797</v>
      </c>
      <c r="G28" s="23" t="s">
        <v>887</v>
      </c>
      <c r="H28" s="3"/>
    </row>
    <row r="29" spans="1:8" ht="30" customHeight="1" x14ac:dyDescent="0.3">
      <c r="A29" s="8"/>
      <c r="B29" s="8"/>
      <c r="C29" s="8"/>
      <c r="D29" s="31" t="s">
        <v>886</v>
      </c>
      <c r="E29" s="7" t="s">
        <v>1042</v>
      </c>
      <c r="F29" s="21" t="s">
        <v>732</v>
      </c>
      <c r="G29" s="23" t="s">
        <v>887</v>
      </c>
      <c r="H29" s="3"/>
    </row>
    <row r="30" spans="1:8" ht="30" customHeight="1" x14ac:dyDescent="0.3">
      <c r="A30" s="8"/>
      <c r="B30" s="8"/>
      <c r="C30" s="8"/>
      <c r="D30" s="31" t="s">
        <v>888</v>
      </c>
      <c r="E30" s="7" t="s">
        <v>1042</v>
      </c>
      <c r="F30" s="21" t="s">
        <v>889</v>
      </c>
      <c r="G30" s="23" t="s">
        <v>887</v>
      </c>
      <c r="H30" s="3"/>
    </row>
    <row r="31" spans="1:8" ht="30" customHeight="1" x14ac:dyDescent="0.3">
      <c r="A31" s="8" t="s">
        <v>795</v>
      </c>
      <c r="B31" s="8"/>
      <c r="C31" s="8"/>
      <c r="D31" s="31" t="s">
        <v>729</v>
      </c>
      <c r="E31" s="7" t="s">
        <v>1042</v>
      </c>
      <c r="F31" s="21" t="s">
        <v>992</v>
      </c>
      <c r="G31" s="23" t="s">
        <v>887</v>
      </c>
      <c r="H31" s="3"/>
    </row>
    <row r="32" spans="1:8" ht="30" customHeight="1" x14ac:dyDescent="0.3">
      <c r="A32" s="8"/>
      <c r="B32" s="8"/>
      <c r="C32" s="8"/>
      <c r="D32" s="31" t="s">
        <v>993</v>
      </c>
      <c r="E32" s="7" t="s">
        <v>1042</v>
      </c>
      <c r="F32" s="25" t="s">
        <v>994</v>
      </c>
      <c r="G32" s="23" t="s">
        <v>887</v>
      </c>
      <c r="H32" s="3"/>
    </row>
    <row r="33" spans="1:8" ht="30" customHeight="1" x14ac:dyDescent="0.3">
      <c r="A33" s="8"/>
      <c r="B33" s="8"/>
      <c r="C33" s="8"/>
      <c r="D33" s="6" t="s">
        <v>995</v>
      </c>
      <c r="E33" s="7" t="s">
        <v>1042</v>
      </c>
      <c r="F33" s="25" t="s">
        <v>996</v>
      </c>
      <c r="G33" s="21" t="s">
        <v>997</v>
      </c>
      <c r="H33" s="3"/>
    </row>
    <row r="34" spans="1:8" ht="30" customHeight="1" x14ac:dyDescent="0.3">
      <c r="A34" s="8" t="s">
        <v>1006</v>
      </c>
      <c r="B34" s="8"/>
      <c r="C34" s="8"/>
      <c r="D34" s="31" t="s">
        <v>1021</v>
      </c>
      <c r="E34" s="7" t="s">
        <v>1042</v>
      </c>
      <c r="F34" s="21" t="s">
        <v>1022</v>
      </c>
      <c r="G34" s="21" t="s">
        <v>1023</v>
      </c>
      <c r="H34" s="3"/>
    </row>
    <row r="35" spans="1:8" ht="30" customHeight="1" x14ac:dyDescent="0.3">
      <c r="A35" s="8"/>
      <c r="B35" s="8"/>
      <c r="C35" s="8"/>
      <c r="D35" s="31" t="s">
        <v>1024</v>
      </c>
      <c r="E35" s="7" t="s">
        <v>1042</v>
      </c>
      <c r="F35" s="21" t="s">
        <v>1025</v>
      </c>
      <c r="G35" s="21" t="s">
        <v>1023</v>
      </c>
      <c r="H35" s="3"/>
    </row>
    <row r="36" spans="1:8" ht="30" customHeight="1" x14ac:dyDescent="0.3">
      <c r="A36" s="8"/>
      <c r="B36" s="8"/>
      <c r="C36" s="8"/>
      <c r="D36" s="31" t="s">
        <v>1041</v>
      </c>
      <c r="E36" s="7" t="s">
        <v>1042</v>
      </c>
      <c r="F36" s="21" t="s">
        <v>798</v>
      </c>
      <c r="G36" s="21" t="s">
        <v>1023</v>
      </c>
      <c r="H36" s="3"/>
    </row>
    <row r="37" spans="1:8" ht="30" customHeight="1" x14ac:dyDescent="0.3">
      <c r="A37" s="8"/>
      <c r="B37" s="8"/>
      <c r="C37" s="8"/>
      <c r="D37" s="6" t="s">
        <v>1043</v>
      </c>
      <c r="E37" s="7" t="s">
        <v>1042</v>
      </c>
      <c r="F37" s="21" t="s">
        <v>1044</v>
      </c>
      <c r="G37" s="21" t="s">
        <v>1023</v>
      </c>
      <c r="H37" s="3"/>
    </row>
    <row r="38" spans="1:8" ht="30" customHeight="1" x14ac:dyDescent="0.3">
      <c r="A38" s="8"/>
      <c r="B38" s="8"/>
      <c r="C38" s="8"/>
      <c r="D38" s="31" t="s">
        <v>1045</v>
      </c>
      <c r="E38" s="7" t="s">
        <v>1042</v>
      </c>
      <c r="F38" s="21" t="s">
        <v>732</v>
      </c>
      <c r="G38" s="21" t="s">
        <v>1023</v>
      </c>
      <c r="H38" s="3"/>
    </row>
    <row r="39" spans="1:8" ht="30" customHeight="1" x14ac:dyDescent="0.3">
      <c r="A39" s="8"/>
      <c r="B39" s="8"/>
      <c r="C39" s="8"/>
      <c r="D39" s="6" t="s">
        <v>1046</v>
      </c>
      <c r="E39" s="7" t="s">
        <v>1042</v>
      </c>
      <c r="F39" s="21" t="s">
        <v>732</v>
      </c>
      <c r="G39" s="21" t="s">
        <v>1023</v>
      </c>
      <c r="H39" s="3"/>
    </row>
    <row r="40" spans="1:8" ht="30" customHeight="1" x14ac:dyDescent="0.3">
      <c r="A40" s="8"/>
      <c r="B40" s="8"/>
      <c r="C40" s="8"/>
      <c r="D40" s="6" t="s">
        <v>1046</v>
      </c>
      <c r="E40" s="7" t="s">
        <v>1042</v>
      </c>
      <c r="F40" s="21" t="s">
        <v>800</v>
      </c>
      <c r="G40" s="21" t="s">
        <v>1023</v>
      </c>
      <c r="H40" s="3"/>
    </row>
    <row r="41" spans="1:8" ht="30" customHeight="1" x14ac:dyDescent="0.3">
      <c r="A41" s="8"/>
      <c r="B41" s="8"/>
      <c r="C41" s="8"/>
      <c r="D41" s="31" t="s">
        <v>1047</v>
      </c>
      <c r="E41" s="7" t="s">
        <v>1042</v>
      </c>
      <c r="F41" s="21" t="s">
        <v>798</v>
      </c>
      <c r="G41" s="21" t="s">
        <v>1023</v>
      </c>
      <c r="H41" s="3"/>
    </row>
    <row r="42" spans="1:8" ht="30" customHeight="1" x14ac:dyDescent="0.3">
      <c r="A42" s="8" t="s">
        <v>1115</v>
      </c>
      <c r="B42" s="8"/>
      <c r="C42" s="8"/>
      <c r="D42" s="6" t="s">
        <v>1121</v>
      </c>
      <c r="E42" s="7" t="s">
        <v>1042</v>
      </c>
      <c r="F42" s="21" t="s">
        <v>1122</v>
      </c>
      <c r="G42" s="21" t="s">
        <v>997</v>
      </c>
      <c r="H42" s="3"/>
    </row>
    <row r="43" spans="1:8" ht="30" customHeight="1" x14ac:dyDescent="0.3">
      <c r="A43" s="8"/>
      <c r="B43" s="8"/>
      <c r="C43" s="8"/>
      <c r="D43" s="6" t="s">
        <v>1139</v>
      </c>
      <c r="E43" s="7" t="s">
        <v>1042</v>
      </c>
      <c r="F43" s="21" t="s">
        <v>1122</v>
      </c>
      <c r="G43" s="21" t="s">
        <v>997</v>
      </c>
      <c r="H43" s="3"/>
    </row>
    <row r="44" spans="1:8" ht="30" customHeight="1" x14ac:dyDescent="0.3">
      <c r="A44" s="8"/>
      <c r="B44" s="8"/>
      <c r="C44" s="8"/>
      <c r="D44" s="6" t="s">
        <v>1140</v>
      </c>
      <c r="E44" s="7" t="s">
        <v>1042</v>
      </c>
      <c r="F44" s="21" t="s">
        <v>1122</v>
      </c>
      <c r="G44" s="21" t="s">
        <v>997</v>
      </c>
      <c r="H44" s="3"/>
    </row>
    <row r="45" spans="1:8" ht="30" customHeight="1" x14ac:dyDescent="0.3">
      <c r="A45" s="8"/>
      <c r="B45" s="8"/>
      <c r="C45" s="8"/>
      <c r="D45" s="6" t="s">
        <v>1141</v>
      </c>
      <c r="E45" s="7" t="s">
        <v>1042</v>
      </c>
      <c r="F45" s="21" t="s">
        <v>1142</v>
      </c>
      <c r="G45" s="21" t="s">
        <v>997</v>
      </c>
      <c r="H45" s="3"/>
    </row>
    <row r="46" spans="1:8" ht="30" customHeight="1" x14ac:dyDescent="0.3">
      <c r="A46" s="7">
        <v>46056</v>
      </c>
      <c r="B46" s="8"/>
      <c r="C46" s="8"/>
      <c r="D46" s="6" t="s">
        <v>1277</v>
      </c>
      <c r="E46" s="7" t="s">
        <v>1042</v>
      </c>
      <c r="F46" s="21" t="s">
        <v>1278</v>
      </c>
      <c r="G46" s="21" t="s">
        <v>1279</v>
      </c>
      <c r="H46" s="3"/>
    </row>
    <row r="47" spans="1:8" ht="30" customHeight="1" x14ac:dyDescent="0.3">
      <c r="A47" s="7">
        <v>46056</v>
      </c>
      <c r="B47" s="8"/>
      <c r="C47" s="8"/>
      <c r="D47" s="6" t="s">
        <v>1280</v>
      </c>
      <c r="E47" s="7" t="s">
        <v>1042</v>
      </c>
      <c r="F47" s="21" t="s">
        <v>1278</v>
      </c>
      <c r="G47" s="21"/>
      <c r="H47" s="3"/>
    </row>
    <row r="48" spans="1:8" ht="30" customHeight="1" x14ac:dyDescent="0.3">
      <c r="A48" s="7">
        <v>46056</v>
      </c>
      <c r="B48" s="8"/>
      <c r="C48" s="8"/>
      <c r="D48" s="6" t="s">
        <v>1283</v>
      </c>
      <c r="E48" s="7" t="s">
        <v>1042</v>
      </c>
      <c r="F48" s="21" t="s">
        <v>735</v>
      </c>
      <c r="G48" s="21" t="s">
        <v>1023</v>
      </c>
      <c r="H48" s="3"/>
    </row>
    <row r="49" spans="1:8" ht="30" customHeight="1" x14ac:dyDescent="0.3">
      <c r="A49" s="7">
        <v>46115</v>
      </c>
      <c r="B49" s="8"/>
      <c r="C49" s="8"/>
      <c r="D49" s="6" t="s">
        <v>1349</v>
      </c>
      <c r="E49" s="7" t="s">
        <v>1042</v>
      </c>
      <c r="F49" s="21" t="s">
        <v>1350</v>
      </c>
      <c r="G49" s="21" t="s">
        <v>1351</v>
      </c>
      <c r="H49" s="3"/>
    </row>
    <row r="50" spans="1:8" ht="30" customHeight="1" x14ac:dyDescent="0.3">
      <c r="A50" s="8"/>
      <c r="B50" s="8"/>
      <c r="C50" s="8"/>
      <c r="D50" s="6" t="s">
        <v>1352</v>
      </c>
      <c r="E50" s="7" t="s">
        <v>1042</v>
      </c>
      <c r="F50" s="21" t="s">
        <v>1353</v>
      </c>
      <c r="G50" s="21" t="s">
        <v>1351</v>
      </c>
      <c r="H50" s="3"/>
    </row>
    <row r="51" spans="1:8" ht="30" customHeight="1" x14ac:dyDescent="0.3">
      <c r="A51" s="8"/>
      <c r="B51" s="8"/>
      <c r="C51" s="8"/>
      <c r="D51" s="6" t="s">
        <v>1357</v>
      </c>
      <c r="E51" s="7" t="s">
        <v>1042</v>
      </c>
      <c r="F51" s="21" t="s">
        <v>1353</v>
      </c>
      <c r="G51" s="21" t="s">
        <v>1351</v>
      </c>
      <c r="H51" s="3"/>
    </row>
    <row r="52" spans="1:8" ht="30" customHeight="1" x14ac:dyDescent="0.3">
      <c r="A52" s="8"/>
      <c r="B52" s="8"/>
      <c r="C52" s="8"/>
      <c r="D52" s="31" t="s">
        <v>1367</v>
      </c>
      <c r="E52" s="7" t="s">
        <v>1042</v>
      </c>
      <c r="F52" s="21" t="s">
        <v>732</v>
      </c>
      <c r="G52" s="21" t="s">
        <v>1023</v>
      </c>
      <c r="H52" s="3"/>
    </row>
    <row r="53" spans="1:8" ht="30" customHeight="1" x14ac:dyDescent="0.3">
      <c r="A53" s="8"/>
      <c r="B53" s="8"/>
      <c r="C53" s="8"/>
      <c r="D53" s="6" t="s">
        <v>1368</v>
      </c>
      <c r="E53" s="7" t="s">
        <v>1042</v>
      </c>
      <c r="F53" s="21" t="s">
        <v>1369</v>
      </c>
      <c r="G53" s="21" t="s">
        <v>1023</v>
      </c>
      <c r="H53" s="3"/>
    </row>
    <row r="54" spans="1:8" ht="30" customHeight="1" x14ac:dyDescent="0.3">
      <c r="A54" s="7">
        <v>46268</v>
      </c>
      <c r="B54" s="8"/>
      <c r="C54" s="8"/>
      <c r="D54" s="6" t="s">
        <v>1451</v>
      </c>
      <c r="E54" s="7" t="s">
        <v>1042</v>
      </c>
      <c r="F54" s="21" t="s">
        <v>735</v>
      </c>
      <c r="G54" s="21" t="s">
        <v>1023</v>
      </c>
      <c r="H54" s="3"/>
    </row>
    <row r="55" spans="1:8" ht="30" customHeight="1" x14ac:dyDescent="0.3">
      <c r="A55" s="8"/>
      <c r="B55" s="8"/>
      <c r="C55" s="8"/>
      <c r="D55" s="6" t="s">
        <v>1452</v>
      </c>
      <c r="E55" s="7" t="s">
        <v>1042</v>
      </c>
      <c r="F55" s="21" t="s">
        <v>1025</v>
      </c>
      <c r="G55" s="21" t="s">
        <v>1023</v>
      </c>
      <c r="H55" s="3"/>
    </row>
    <row r="56" spans="1:8" ht="30" customHeight="1" x14ac:dyDescent="0.3">
      <c r="A56" s="8"/>
      <c r="B56" s="8"/>
      <c r="C56" s="8"/>
      <c r="D56" s="6" t="s">
        <v>1471</v>
      </c>
      <c r="E56" s="8" t="s">
        <v>1472</v>
      </c>
      <c r="F56" s="21"/>
      <c r="G56" s="21"/>
      <c r="H56" s="3"/>
    </row>
    <row r="57" spans="1:8" ht="30" customHeight="1" x14ac:dyDescent="0.3">
      <c r="A57" s="7">
        <v>46298</v>
      </c>
      <c r="B57" s="8"/>
      <c r="C57" s="8"/>
      <c r="D57" s="6" t="s">
        <v>1502</v>
      </c>
      <c r="E57" s="7" t="s">
        <v>1042</v>
      </c>
      <c r="F57" s="21" t="s">
        <v>732</v>
      </c>
      <c r="G57" s="21" t="s">
        <v>1023</v>
      </c>
      <c r="H57" s="3"/>
    </row>
    <row r="58" spans="1:8" ht="30" customHeight="1" x14ac:dyDescent="0.3">
      <c r="A58" s="8"/>
      <c r="B58" s="8"/>
      <c r="C58" s="8"/>
      <c r="D58" s="6" t="s">
        <v>729</v>
      </c>
      <c r="E58" s="7" t="s">
        <v>1042</v>
      </c>
      <c r="F58" s="25" t="s">
        <v>1503</v>
      </c>
      <c r="G58" s="21" t="s">
        <v>1023</v>
      </c>
      <c r="H58" s="3"/>
    </row>
    <row r="59" spans="1:8" ht="30" customHeight="1" x14ac:dyDescent="0.3">
      <c r="A59" s="8"/>
      <c r="B59" s="8"/>
      <c r="C59" s="8"/>
      <c r="D59" s="6" t="s">
        <v>1504</v>
      </c>
      <c r="E59" s="7" t="s">
        <v>1042</v>
      </c>
      <c r="F59" s="21" t="s">
        <v>1505</v>
      </c>
      <c r="G59" s="21" t="s">
        <v>1023</v>
      </c>
      <c r="H59" s="3"/>
    </row>
    <row r="60" spans="1:8" ht="30" customHeight="1" x14ac:dyDescent="0.3">
      <c r="A60" s="8"/>
      <c r="B60" s="8"/>
      <c r="C60" s="8"/>
      <c r="D60" s="6" t="s">
        <v>1506</v>
      </c>
      <c r="E60" s="7" t="s">
        <v>1042</v>
      </c>
      <c r="F60" s="21" t="s">
        <v>1507</v>
      </c>
      <c r="G60" s="21" t="s">
        <v>1023</v>
      </c>
      <c r="H60" s="3"/>
    </row>
    <row r="61" spans="1:8" ht="30" customHeight="1" x14ac:dyDescent="0.3">
      <c r="A61" s="8"/>
      <c r="B61" s="8"/>
      <c r="C61" s="8"/>
      <c r="D61" s="31" t="s">
        <v>1508</v>
      </c>
      <c r="E61" s="7" t="s">
        <v>1042</v>
      </c>
      <c r="F61" s="21" t="s">
        <v>1509</v>
      </c>
      <c r="G61" s="21" t="s">
        <v>1023</v>
      </c>
      <c r="H61" s="3"/>
    </row>
    <row r="62" spans="1:8" ht="30" customHeight="1" x14ac:dyDescent="0.3">
      <c r="A62" s="8" t="s">
        <v>1582</v>
      </c>
      <c r="B62" s="8"/>
      <c r="C62" s="8"/>
      <c r="D62" s="6" t="s">
        <v>1594</v>
      </c>
      <c r="E62" s="8" t="s">
        <v>1595</v>
      </c>
      <c r="F62" s="25" t="s">
        <v>1596</v>
      </c>
      <c r="G62" s="25"/>
      <c r="H62" s="3"/>
    </row>
    <row r="63" spans="1:8" ht="30" customHeight="1" x14ac:dyDescent="0.3">
      <c r="A63" s="8"/>
      <c r="B63" s="8"/>
      <c r="C63" s="8"/>
      <c r="D63" s="6" t="s">
        <v>1618</v>
      </c>
      <c r="E63" s="8" t="s">
        <v>1595</v>
      </c>
      <c r="F63" s="25" t="s">
        <v>1619</v>
      </c>
      <c r="G63" s="25"/>
      <c r="H63" s="3"/>
    </row>
    <row r="64" spans="1:8" ht="30" customHeight="1" x14ac:dyDescent="0.3">
      <c r="A64" s="8"/>
      <c r="B64" s="8"/>
      <c r="C64" s="8"/>
      <c r="D64" s="6" t="s">
        <v>1620</v>
      </c>
      <c r="E64" s="8" t="s">
        <v>1595</v>
      </c>
      <c r="F64" s="25" t="s">
        <v>1626</v>
      </c>
      <c r="G64" s="21"/>
      <c r="H64" s="3"/>
    </row>
    <row r="65" spans="1:8" ht="30" customHeight="1" x14ac:dyDescent="0.3">
      <c r="A65" s="8"/>
      <c r="B65" s="8"/>
      <c r="C65" s="8"/>
      <c r="D65" s="6" t="s">
        <v>1627</v>
      </c>
      <c r="E65" s="8" t="s">
        <v>1595</v>
      </c>
      <c r="F65" s="25" t="s">
        <v>1628</v>
      </c>
      <c r="G65" s="21"/>
      <c r="H65" s="3"/>
    </row>
    <row r="66" spans="1:8" ht="30" customHeight="1" x14ac:dyDescent="0.3">
      <c r="A66" s="8"/>
      <c r="B66" s="8"/>
      <c r="C66" s="8"/>
      <c r="D66" s="6" t="s">
        <v>1629</v>
      </c>
      <c r="E66" s="8" t="s">
        <v>1595</v>
      </c>
      <c r="F66" s="25" t="s">
        <v>1630</v>
      </c>
      <c r="G66" s="21"/>
      <c r="H66" s="3"/>
    </row>
    <row r="67" spans="1:8" ht="30" customHeight="1" x14ac:dyDescent="0.3">
      <c r="A67" s="8"/>
      <c r="B67" s="8"/>
      <c r="C67" s="8"/>
      <c r="D67" s="6" t="s">
        <v>1631</v>
      </c>
      <c r="E67" s="8" t="s">
        <v>1595</v>
      </c>
      <c r="F67" s="25" t="s">
        <v>1632</v>
      </c>
      <c r="G67" s="21"/>
      <c r="H67" s="3"/>
    </row>
    <row r="68" spans="1:8" ht="30" customHeight="1" x14ac:dyDescent="0.3">
      <c r="A68" s="8"/>
      <c r="B68" s="8"/>
      <c r="C68" s="8"/>
      <c r="D68" s="6" t="s">
        <v>1633</v>
      </c>
      <c r="E68" s="8" t="s">
        <v>1595</v>
      </c>
      <c r="F68" s="25" t="s">
        <v>1634</v>
      </c>
      <c r="G68" s="21"/>
      <c r="H68" s="3"/>
    </row>
    <row r="69" spans="1:8" ht="30" customHeight="1" x14ac:dyDescent="0.3">
      <c r="A69" s="8"/>
      <c r="B69" s="8"/>
      <c r="C69" s="8"/>
      <c r="D69" s="6" t="s">
        <v>1635</v>
      </c>
      <c r="E69" s="8" t="s">
        <v>1595</v>
      </c>
      <c r="F69" s="25" t="s">
        <v>1636</v>
      </c>
      <c r="G69" s="21"/>
      <c r="H69" s="3"/>
    </row>
    <row r="70" spans="1:8" ht="30" customHeight="1" x14ac:dyDescent="0.3">
      <c r="A70" s="8"/>
      <c r="B70" s="8"/>
      <c r="C70" s="8"/>
      <c r="D70" s="6" t="s">
        <v>1637</v>
      </c>
      <c r="E70" s="8" t="s">
        <v>1595</v>
      </c>
      <c r="F70" s="25" t="s">
        <v>1638</v>
      </c>
      <c r="G70" s="21"/>
      <c r="H70" s="3"/>
    </row>
    <row r="71" spans="1:8" ht="30" customHeight="1" x14ac:dyDescent="0.3">
      <c r="A71" s="8"/>
      <c r="B71" s="8"/>
      <c r="C71" s="8"/>
      <c r="D71" s="6" t="s">
        <v>1639</v>
      </c>
      <c r="E71" s="8" t="s">
        <v>1595</v>
      </c>
      <c r="F71" s="25" t="s">
        <v>1640</v>
      </c>
      <c r="G71" s="21"/>
      <c r="H71" s="3"/>
    </row>
    <row r="72" spans="1:8" ht="30" customHeight="1" x14ac:dyDescent="0.3">
      <c r="A72" s="8"/>
      <c r="B72" s="8"/>
      <c r="C72" s="8"/>
      <c r="D72" s="6" t="s">
        <v>1641</v>
      </c>
      <c r="E72" s="8" t="s">
        <v>1595</v>
      </c>
      <c r="F72" s="25" t="s">
        <v>1642</v>
      </c>
      <c r="G72" s="21"/>
      <c r="H72" s="3"/>
    </row>
    <row r="73" spans="1:8" ht="30" customHeight="1" x14ac:dyDescent="0.3">
      <c r="A73" s="8"/>
      <c r="B73" s="8"/>
      <c r="C73" s="8"/>
      <c r="D73" s="6" t="s">
        <v>1643</v>
      </c>
      <c r="E73" s="8" t="s">
        <v>1595</v>
      </c>
      <c r="F73" s="25" t="s">
        <v>1644</v>
      </c>
      <c r="G73" s="25"/>
      <c r="H73" s="3"/>
    </row>
    <row r="74" spans="1:8" ht="30" customHeight="1" x14ac:dyDescent="0.3">
      <c r="A74" s="8"/>
      <c r="B74" s="8"/>
      <c r="C74" s="8"/>
      <c r="D74" s="6" t="s">
        <v>1645</v>
      </c>
      <c r="E74" s="8" t="s">
        <v>1595</v>
      </c>
      <c r="F74" s="25" t="s">
        <v>1646</v>
      </c>
      <c r="G74" s="21"/>
      <c r="H74" s="3"/>
    </row>
    <row r="75" spans="1:8" ht="30" customHeight="1" x14ac:dyDescent="0.3">
      <c r="A75" s="8"/>
      <c r="B75" s="8"/>
      <c r="C75" s="8"/>
      <c r="D75" s="6" t="s">
        <v>1647</v>
      </c>
      <c r="E75" s="7" t="s">
        <v>1042</v>
      </c>
      <c r="F75" s="25" t="s">
        <v>1648</v>
      </c>
      <c r="G75" s="25" t="s">
        <v>1351</v>
      </c>
      <c r="H75" s="3"/>
    </row>
    <row r="76" spans="1:8" ht="30" customHeight="1" x14ac:dyDescent="0.3">
      <c r="A76" s="8"/>
      <c r="B76" s="8"/>
      <c r="C76" s="8"/>
      <c r="D76" s="6" t="s">
        <v>1655</v>
      </c>
      <c r="E76" s="7" t="s">
        <v>1042</v>
      </c>
      <c r="F76" s="21" t="s">
        <v>1656</v>
      </c>
      <c r="G76" s="21" t="s">
        <v>1657</v>
      </c>
      <c r="H76" s="3"/>
    </row>
    <row r="77" spans="1:8" ht="30" customHeight="1" x14ac:dyDescent="0.3">
      <c r="A77" s="8" t="s">
        <v>1714</v>
      </c>
      <c r="B77" s="8"/>
      <c r="C77" s="8"/>
      <c r="D77" s="6" t="s">
        <v>1715</v>
      </c>
      <c r="E77" s="8" t="s">
        <v>1595</v>
      </c>
      <c r="F77" s="21" t="s">
        <v>1716</v>
      </c>
      <c r="G77" s="21"/>
      <c r="H77" s="3"/>
    </row>
    <row r="78" spans="1:8" ht="30" customHeight="1" x14ac:dyDescent="0.3">
      <c r="A78" s="8"/>
      <c r="B78" s="8"/>
      <c r="C78" s="8"/>
      <c r="D78" s="6" t="s">
        <v>1725</v>
      </c>
      <c r="E78" s="7" t="s">
        <v>1042</v>
      </c>
      <c r="F78" s="21" t="s">
        <v>1044</v>
      </c>
      <c r="G78" s="21" t="s">
        <v>1023</v>
      </c>
      <c r="H78" s="3"/>
    </row>
    <row r="79" spans="1:8" ht="30" customHeight="1" x14ac:dyDescent="0.3">
      <c r="A79" s="8"/>
      <c r="B79" s="8"/>
      <c r="C79" s="8"/>
      <c r="D79" s="6" t="s">
        <v>1726</v>
      </c>
      <c r="E79" s="7" t="s">
        <v>1042</v>
      </c>
      <c r="F79" s="21" t="s">
        <v>798</v>
      </c>
      <c r="G79" s="21" t="s">
        <v>1023</v>
      </c>
      <c r="H79" s="3"/>
    </row>
    <row r="80" spans="1:8" ht="30" customHeight="1" x14ac:dyDescent="0.3">
      <c r="A80" s="8"/>
      <c r="B80" s="8"/>
      <c r="C80" s="8"/>
      <c r="D80" s="6" t="s">
        <v>1727</v>
      </c>
      <c r="E80" s="7" t="s">
        <v>1042</v>
      </c>
      <c r="F80" s="21" t="s">
        <v>798</v>
      </c>
      <c r="G80" s="21" t="s">
        <v>1023</v>
      </c>
      <c r="H80" s="3"/>
    </row>
    <row r="81" spans="1:8" ht="30" customHeight="1" x14ac:dyDescent="0.3">
      <c r="A81" s="7">
        <v>46238</v>
      </c>
      <c r="B81" s="8"/>
      <c r="C81" s="8"/>
      <c r="D81" s="31" t="s">
        <v>1367</v>
      </c>
      <c r="E81" s="7" t="s">
        <v>1042</v>
      </c>
      <c r="F81" s="21" t="s">
        <v>1912</v>
      </c>
      <c r="G81" s="21" t="s">
        <v>1023</v>
      </c>
      <c r="H81" s="3"/>
    </row>
    <row r="82" spans="1:8" ht="30" customHeight="1" x14ac:dyDescent="0.3">
      <c r="A82" s="8"/>
      <c r="B82" s="8"/>
      <c r="C82" s="8"/>
      <c r="D82" s="6" t="s">
        <v>1918</v>
      </c>
      <c r="E82" s="7" t="s">
        <v>1042</v>
      </c>
      <c r="F82" s="21" t="s">
        <v>1919</v>
      </c>
      <c r="G82" s="21"/>
      <c r="H82" s="3"/>
    </row>
    <row r="83" spans="1:8" ht="30" customHeight="1" x14ac:dyDescent="0.3">
      <c r="A83" s="8" t="s">
        <v>1979</v>
      </c>
      <c r="B83" s="8"/>
      <c r="C83" s="8"/>
      <c r="D83" s="6" t="s">
        <v>2031</v>
      </c>
      <c r="E83" s="8" t="s">
        <v>1595</v>
      </c>
      <c r="F83" s="25" t="s">
        <v>2032</v>
      </c>
      <c r="G83" s="21" t="s">
        <v>2033</v>
      </c>
      <c r="H83" s="3"/>
    </row>
    <row r="84" spans="1:8" ht="30" customHeight="1" x14ac:dyDescent="0.3">
      <c r="A84" s="8"/>
      <c r="B84" s="8"/>
      <c r="C84" s="8"/>
      <c r="D84" s="6" t="s">
        <v>847</v>
      </c>
      <c r="E84" s="8" t="s">
        <v>1595</v>
      </c>
      <c r="F84" s="25" t="s">
        <v>2034</v>
      </c>
      <c r="G84" s="21" t="s">
        <v>2033</v>
      </c>
      <c r="H84" s="3"/>
    </row>
    <row r="85" spans="1:8" ht="30" customHeight="1" x14ac:dyDescent="0.3">
      <c r="A85" s="8"/>
      <c r="B85" s="8"/>
      <c r="C85" s="8"/>
      <c r="D85" s="6" t="s">
        <v>847</v>
      </c>
      <c r="E85" s="8" t="s">
        <v>1595</v>
      </c>
      <c r="F85" s="25" t="s">
        <v>2035</v>
      </c>
      <c r="G85" s="21" t="s">
        <v>2033</v>
      </c>
      <c r="H85" s="3"/>
    </row>
    <row r="86" spans="1:8" ht="30" customHeight="1" x14ac:dyDescent="0.3">
      <c r="A86" s="8"/>
      <c r="B86" s="8"/>
      <c r="C86" s="8"/>
      <c r="D86" s="6" t="s">
        <v>847</v>
      </c>
      <c r="E86" s="8" t="s">
        <v>1595</v>
      </c>
      <c r="F86" s="25" t="s">
        <v>2036</v>
      </c>
      <c r="G86" s="21" t="s">
        <v>2033</v>
      </c>
      <c r="H86" s="3"/>
    </row>
    <row r="87" spans="1:8" ht="30" customHeight="1" x14ac:dyDescent="0.3">
      <c r="A87" s="8"/>
      <c r="B87" s="8"/>
      <c r="C87" s="8"/>
      <c r="D87" s="6" t="s">
        <v>847</v>
      </c>
      <c r="E87" s="8" t="s">
        <v>1595</v>
      </c>
      <c r="F87" s="25" t="s">
        <v>2037</v>
      </c>
      <c r="G87" s="21"/>
      <c r="H87" s="3"/>
    </row>
    <row r="88" spans="1:8" ht="30" customHeight="1" x14ac:dyDescent="0.3">
      <c r="A88" s="8" t="s">
        <v>2062</v>
      </c>
      <c r="B88" s="8"/>
      <c r="C88" s="8"/>
      <c r="D88" s="6" t="s">
        <v>2063</v>
      </c>
      <c r="E88" s="7" t="s">
        <v>1042</v>
      </c>
      <c r="F88" s="21" t="s">
        <v>2064</v>
      </c>
      <c r="G88" s="21" t="s">
        <v>1351</v>
      </c>
      <c r="H88" s="3"/>
    </row>
    <row r="89" spans="1:8" ht="30" customHeight="1" x14ac:dyDescent="0.3">
      <c r="A89" s="8"/>
      <c r="B89" s="8"/>
      <c r="C89" s="8"/>
      <c r="D89" s="6" t="s">
        <v>2076</v>
      </c>
      <c r="E89" s="7" t="s">
        <v>1042</v>
      </c>
      <c r="F89" s="21" t="s">
        <v>2077</v>
      </c>
      <c r="G89" s="21" t="s">
        <v>1351</v>
      </c>
      <c r="H89" s="3"/>
    </row>
    <row r="90" spans="1:8" ht="30" customHeight="1" x14ac:dyDescent="0.3">
      <c r="A90" s="8" t="s">
        <v>2352</v>
      </c>
      <c r="B90" s="8"/>
      <c r="C90" s="8"/>
      <c r="D90" s="6" t="s">
        <v>1352</v>
      </c>
      <c r="E90" s="7" t="s">
        <v>1042</v>
      </c>
      <c r="F90" s="25" t="s">
        <v>2359</v>
      </c>
      <c r="G90" s="21"/>
      <c r="H90" s="3"/>
    </row>
    <row r="91" spans="1:8" ht="30" customHeight="1" x14ac:dyDescent="0.3">
      <c r="A91" s="8"/>
      <c r="B91" s="8"/>
      <c r="C91" s="8"/>
      <c r="D91" s="6" t="s">
        <v>2360</v>
      </c>
      <c r="E91" s="8" t="s">
        <v>1595</v>
      </c>
      <c r="F91" s="21" t="s">
        <v>2361</v>
      </c>
      <c r="G91" s="21"/>
      <c r="H91" s="3"/>
    </row>
    <row r="92" spans="1:8" ht="30" customHeight="1" x14ac:dyDescent="0.3">
      <c r="A92" s="7"/>
      <c r="B92" s="8"/>
      <c r="C92" s="8"/>
      <c r="D92" s="6" t="s">
        <v>2360</v>
      </c>
      <c r="E92" s="8" t="s">
        <v>1595</v>
      </c>
      <c r="F92" s="21" t="s">
        <v>2362</v>
      </c>
      <c r="G92" s="21"/>
      <c r="H92" s="3"/>
    </row>
    <row r="93" spans="1:8" ht="30" customHeight="1" x14ac:dyDescent="0.3">
      <c r="A93" s="7">
        <v>46117</v>
      </c>
      <c r="B93" s="8"/>
      <c r="C93" s="8"/>
      <c r="D93" s="31" t="s">
        <v>2378</v>
      </c>
      <c r="E93" s="8"/>
      <c r="F93" s="25" t="s">
        <v>2379</v>
      </c>
      <c r="G93" s="21"/>
      <c r="H93" s="3"/>
    </row>
    <row r="94" spans="1:8" ht="30" customHeight="1" x14ac:dyDescent="0.3">
      <c r="A94" s="8"/>
      <c r="B94" s="8"/>
      <c r="C94" s="8"/>
      <c r="D94" s="6" t="s">
        <v>2821</v>
      </c>
      <c r="E94" s="7" t="s">
        <v>1042</v>
      </c>
      <c r="F94" s="21"/>
      <c r="G94" s="21"/>
      <c r="H94" s="3"/>
    </row>
    <row r="95" spans="1:8" ht="30" customHeight="1" x14ac:dyDescent="0.3">
      <c r="A95" s="7">
        <v>46332</v>
      </c>
      <c r="B95" s="8"/>
      <c r="C95" s="8"/>
      <c r="D95" s="31" t="s">
        <v>2996</v>
      </c>
      <c r="E95" s="8" t="s">
        <v>1595</v>
      </c>
      <c r="F95" s="21" t="s">
        <v>2997</v>
      </c>
      <c r="G95" s="21"/>
      <c r="H95" s="3"/>
    </row>
    <row r="96" spans="1:8" ht="30" customHeight="1" x14ac:dyDescent="0.3">
      <c r="A96" s="8" t="s">
        <v>3000</v>
      </c>
      <c r="B96" s="8"/>
      <c r="C96" s="8"/>
      <c r="D96" s="6" t="s">
        <v>3030</v>
      </c>
      <c r="E96" s="7" t="s">
        <v>1042</v>
      </c>
      <c r="F96" s="21" t="s">
        <v>1278</v>
      </c>
      <c r="G96" s="21"/>
      <c r="H96" s="3"/>
    </row>
    <row r="97" spans="1:8" ht="30" customHeight="1" x14ac:dyDescent="0.3">
      <c r="A97" s="8" t="s">
        <v>3075</v>
      </c>
      <c r="B97" s="8"/>
      <c r="C97" s="8"/>
      <c r="D97" s="31" t="s">
        <v>3080</v>
      </c>
      <c r="E97" s="8" t="s">
        <v>3081</v>
      </c>
      <c r="F97" s="21" t="s">
        <v>2066</v>
      </c>
      <c r="G97" s="21"/>
      <c r="H97" s="3"/>
    </row>
    <row r="98" spans="1:8" ht="30" customHeight="1" x14ac:dyDescent="0.3">
      <c r="A98" s="8"/>
      <c r="B98" s="8"/>
      <c r="C98" s="8"/>
      <c r="D98" s="6" t="s">
        <v>3082</v>
      </c>
      <c r="E98" s="8" t="s">
        <v>1042</v>
      </c>
      <c r="F98" s="21" t="s">
        <v>3083</v>
      </c>
      <c r="G98" s="21"/>
      <c r="H98" s="3"/>
    </row>
    <row r="99" spans="1:8" ht="30" customHeight="1" x14ac:dyDescent="0.3">
      <c r="A99" s="5" t="s">
        <v>3164</v>
      </c>
      <c r="B99" s="3"/>
      <c r="C99" s="8"/>
      <c r="D99" s="6" t="s">
        <v>3191</v>
      </c>
      <c r="E99" s="8" t="s">
        <v>1042</v>
      </c>
      <c r="F99" s="21" t="s">
        <v>3192</v>
      </c>
      <c r="G99" s="21"/>
      <c r="H99" s="3"/>
    </row>
    <row r="100" spans="1:8" ht="30" customHeight="1" x14ac:dyDescent="0.3">
      <c r="A100" s="64">
        <v>46029</v>
      </c>
      <c r="B100" s="3"/>
      <c r="C100" s="8"/>
      <c r="D100" s="6" t="s">
        <v>3253</v>
      </c>
      <c r="E100" s="8" t="s">
        <v>1042</v>
      </c>
      <c r="F100" s="21"/>
      <c r="G100" s="21"/>
      <c r="H100" s="3"/>
    </row>
    <row r="101" spans="1:8" ht="30" customHeight="1" x14ac:dyDescent="0.3">
      <c r="A101" s="5" t="s">
        <v>3403</v>
      </c>
      <c r="B101" s="3"/>
      <c r="C101" s="8"/>
      <c r="D101" s="6" t="s">
        <v>3416</v>
      </c>
      <c r="E101" s="8" t="s">
        <v>1042</v>
      </c>
      <c r="F101" s="21" t="s">
        <v>3417</v>
      </c>
      <c r="G101" s="21"/>
      <c r="H101" s="3"/>
    </row>
    <row r="102" spans="1:8" ht="30" customHeight="1" x14ac:dyDescent="0.3">
      <c r="A102" s="5" t="s">
        <v>3507</v>
      </c>
      <c r="B102" s="3"/>
      <c r="C102" s="8"/>
      <c r="D102" s="6" t="s">
        <v>3508</v>
      </c>
      <c r="E102" s="8" t="s">
        <v>1042</v>
      </c>
      <c r="F102" s="25" t="s">
        <v>3509</v>
      </c>
      <c r="G102" s="21"/>
      <c r="H102" s="3"/>
    </row>
    <row r="103" spans="1:8" ht="30" customHeight="1" x14ac:dyDescent="0.3">
      <c r="A103" s="5"/>
      <c r="B103" s="3"/>
      <c r="C103" s="8"/>
      <c r="D103" s="6" t="s">
        <v>1043</v>
      </c>
      <c r="E103" s="8" t="s">
        <v>1042</v>
      </c>
      <c r="F103" s="21" t="s">
        <v>3611</v>
      </c>
      <c r="G103" s="21" t="s">
        <v>1023</v>
      </c>
      <c r="H103" s="3"/>
    </row>
    <row r="104" spans="1:8" ht="30" customHeight="1" x14ac:dyDescent="0.3">
      <c r="A104" s="5" t="s">
        <v>3651</v>
      </c>
      <c r="B104" s="3"/>
      <c r="C104" s="8"/>
      <c r="D104" s="31" t="s">
        <v>3688</v>
      </c>
      <c r="E104" s="8" t="s">
        <v>3689</v>
      </c>
      <c r="F104" s="21"/>
      <c r="G104" s="21"/>
      <c r="H104" s="3"/>
    </row>
    <row r="105" spans="1:8" ht="30" customHeight="1" x14ac:dyDescent="0.3">
      <c r="A105" s="5"/>
      <c r="B105" s="3"/>
      <c r="C105" s="8"/>
      <c r="D105" s="31" t="s">
        <v>3701</v>
      </c>
      <c r="E105" s="8" t="s">
        <v>1042</v>
      </c>
      <c r="F105" s="21" t="s">
        <v>2064</v>
      </c>
      <c r="G105" s="21"/>
      <c r="H105" s="3"/>
    </row>
    <row r="106" spans="1:8" ht="30" customHeight="1" x14ac:dyDescent="0.3">
      <c r="A106" s="5" t="s">
        <v>3738</v>
      </c>
      <c r="B106" s="3"/>
      <c r="C106" s="8"/>
      <c r="D106" s="6" t="s">
        <v>3739</v>
      </c>
      <c r="E106" s="8" t="s">
        <v>1042</v>
      </c>
      <c r="F106" s="21" t="s">
        <v>3740</v>
      </c>
      <c r="G106" s="21"/>
      <c r="H106" s="3"/>
    </row>
    <row r="107" spans="1:8" ht="30" customHeight="1" x14ac:dyDescent="0.3">
      <c r="A107" s="64">
        <v>46150</v>
      </c>
      <c r="B107" s="3"/>
      <c r="C107" s="8"/>
      <c r="D107" s="31" t="s">
        <v>3837</v>
      </c>
      <c r="E107" s="8" t="s">
        <v>1042</v>
      </c>
      <c r="F107" s="25" t="s">
        <v>3838</v>
      </c>
      <c r="G107" s="21" t="s">
        <v>3839</v>
      </c>
      <c r="H107" s="3"/>
    </row>
    <row r="108" spans="1:8" ht="30" customHeight="1" x14ac:dyDescent="0.3">
      <c r="A108" s="64">
        <v>46364</v>
      </c>
      <c r="B108" s="3"/>
      <c r="C108" s="8"/>
      <c r="D108" s="6" t="s">
        <v>4001</v>
      </c>
      <c r="E108" s="8" t="s">
        <v>1042</v>
      </c>
      <c r="F108" s="25" t="s">
        <v>3838</v>
      </c>
      <c r="G108" s="21"/>
      <c r="H108" s="3"/>
    </row>
    <row r="109" spans="1:8" ht="30" customHeight="1" x14ac:dyDescent="0.3">
      <c r="A109" s="5"/>
      <c r="B109" s="3"/>
      <c r="C109" s="8"/>
      <c r="D109" s="31" t="s">
        <v>4002</v>
      </c>
      <c r="E109" s="8" t="s">
        <v>1042</v>
      </c>
      <c r="F109" s="25" t="s">
        <v>3838</v>
      </c>
      <c r="G109" s="21"/>
      <c r="H109" s="3"/>
    </row>
    <row r="110" spans="1:8" ht="30" customHeight="1" x14ac:dyDescent="0.3">
      <c r="A110" s="5"/>
      <c r="B110" s="3"/>
      <c r="C110" s="8"/>
      <c r="D110" s="6" t="s">
        <v>4003</v>
      </c>
      <c r="E110" s="8" t="s">
        <v>1042</v>
      </c>
      <c r="F110" s="25" t="s">
        <v>3838</v>
      </c>
      <c r="G110" s="21"/>
      <c r="H110" s="3"/>
    </row>
    <row r="111" spans="1:8" ht="30" customHeight="1" x14ac:dyDescent="0.3">
      <c r="A111" s="5"/>
      <c r="B111" s="3"/>
      <c r="C111" s="8"/>
      <c r="D111" s="6" t="s">
        <v>4004</v>
      </c>
      <c r="E111" s="8" t="s">
        <v>1042</v>
      </c>
      <c r="F111" s="25" t="s">
        <v>3838</v>
      </c>
      <c r="G111" s="21"/>
      <c r="H111" s="3"/>
    </row>
    <row r="112" spans="1:8" ht="30" customHeight="1" x14ac:dyDescent="0.3">
      <c r="A112" s="5" t="s">
        <v>4086</v>
      </c>
      <c r="B112" s="3"/>
      <c r="C112" s="8"/>
      <c r="D112" s="6" t="s">
        <v>4104</v>
      </c>
      <c r="E112" s="8" t="s">
        <v>1042</v>
      </c>
      <c r="F112" s="21" t="s">
        <v>1919</v>
      </c>
      <c r="G112" s="21"/>
      <c r="H112" s="3"/>
    </row>
    <row r="113" spans="1:8" ht="30" customHeight="1" x14ac:dyDescent="0.3">
      <c r="A113" s="5"/>
      <c r="B113" s="3"/>
      <c r="C113" s="8"/>
      <c r="D113" s="6"/>
      <c r="E113" s="8"/>
      <c r="F113" s="21"/>
      <c r="G113" s="21"/>
      <c r="H113" s="3"/>
    </row>
    <row r="114" spans="1:8" ht="30" customHeight="1" x14ac:dyDescent="0.3">
      <c r="A114" s="5"/>
      <c r="B114" s="3"/>
      <c r="C114" s="8"/>
      <c r="D114" s="6"/>
      <c r="E114" s="8"/>
      <c r="F114" s="21"/>
      <c r="G114" s="21"/>
      <c r="H114" s="3"/>
    </row>
    <row r="115" spans="1:8" ht="30" customHeight="1" x14ac:dyDescent="0.3">
      <c r="A115" s="5"/>
      <c r="B115" s="3"/>
      <c r="C115" s="8"/>
      <c r="D115" s="6"/>
      <c r="E115" s="8"/>
      <c r="F115" s="21"/>
      <c r="G115" s="21"/>
      <c r="H115" s="3"/>
    </row>
    <row r="116" spans="1:8" ht="30" customHeight="1" x14ac:dyDescent="0.3">
      <c r="A116" s="5"/>
      <c r="B116" s="3"/>
      <c r="C116" s="8"/>
      <c r="D116" s="6"/>
      <c r="E116" s="8"/>
      <c r="F116" s="21"/>
      <c r="G116" s="21"/>
      <c r="H116" s="3"/>
    </row>
    <row r="117" spans="1:8" ht="30" customHeight="1" x14ac:dyDescent="0.3">
      <c r="A117" s="5"/>
      <c r="B117" s="3"/>
      <c r="C117" s="8"/>
      <c r="D117" s="6"/>
      <c r="E117" s="8"/>
      <c r="F117" s="21"/>
      <c r="G117" s="21"/>
      <c r="H117" s="3"/>
    </row>
    <row r="118" spans="1:8" ht="30" customHeight="1" x14ac:dyDescent="0.3">
      <c r="A118" s="5"/>
      <c r="B118" s="3"/>
      <c r="C118" s="8"/>
      <c r="D118" s="6"/>
      <c r="E118" s="8"/>
      <c r="F118" s="21"/>
      <c r="G118" s="21"/>
      <c r="H118" s="3"/>
    </row>
    <row r="119" spans="1:8" ht="30" customHeight="1" x14ac:dyDescent="0.3">
      <c r="A119" s="5"/>
      <c r="B119" s="3"/>
      <c r="C119" s="8"/>
      <c r="D119" s="6"/>
      <c r="E119" s="8"/>
      <c r="F119" s="21"/>
      <c r="G119" s="21"/>
      <c r="H119" s="3"/>
    </row>
    <row r="120" spans="1:8" ht="30" customHeight="1" x14ac:dyDescent="0.3">
      <c r="A120" s="5"/>
      <c r="B120" s="3"/>
      <c r="C120" s="8"/>
      <c r="D120" s="6"/>
      <c r="E120" s="8"/>
      <c r="F120" s="21"/>
      <c r="G120" s="21"/>
      <c r="H120" s="3"/>
    </row>
    <row r="121" spans="1:8" ht="30" customHeight="1" x14ac:dyDescent="0.3">
      <c r="A121" s="5"/>
      <c r="B121" s="3"/>
      <c r="C121" s="8"/>
      <c r="D121" s="6"/>
      <c r="E121" s="8"/>
      <c r="F121" s="21"/>
      <c r="G121" s="21"/>
      <c r="H121" s="3"/>
    </row>
    <row r="122" spans="1:8" ht="30" customHeight="1" x14ac:dyDescent="0.3">
      <c r="A122" s="5"/>
      <c r="B122" s="3"/>
      <c r="C122" s="8"/>
      <c r="D122" s="6"/>
      <c r="E122" s="8"/>
      <c r="F122" s="21"/>
      <c r="G122" s="21"/>
      <c r="H122" s="3"/>
    </row>
    <row r="123" spans="1:8" ht="30" customHeight="1" x14ac:dyDescent="0.3">
      <c r="A123" s="5"/>
      <c r="B123" s="3"/>
      <c r="C123" s="8"/>
      <c r="D123" s="6"/>
      <c r="E123" s="8"/>
      <c r="F123" s="21"/>
      <c r="G123" s="21"/>
      <c r="H123" s="3"/>
    </row>
    <row r="124" spans="1:8" ht="30" customHeight="1" x14ac:dyDescent="0.3">
      <c r="A124" s="5"/>
      <c r="B124" s="3"/>
      <c r="C124" s="8"/>
      <c r="D124" s="6"/>
      <c r="E124" s="8"/>
      <c r="F124" s="21"/>
      <c r="G124" s="21"/>
      <c r="H124" s="3"/>
    </row>
    <row r="125" spans="1:8" ht="30" customHeight="1" x14ac:dyDescent="0.3">
      <c r="A125" s="5"/>
      <c r="B125" s="3"/>
      <c r="C125" s="8"/>
      <c r="D125" s="6"/>
      <c r="E125" s="8"/>
      <c r="F125" s="21"/>
      <c r="G125" s="21"/>
      <c r="H125" s="3"/>
    </row>
    <row r="126" spans="1:8" ht="30" customHeight="1" x14ac:dyDescent="0.3">
      <c r="A126" s="5"/>
      <c r="B126" s="3"/>
      <c r="C126" s="8"/>
      <c r="D126" s="6"/>
      <c r="E126" s="8"/>
      <c r="F126" s="21"/>
      <c r="G126" s="21"/>
      <c r="H126" s="3"/>
    </row>
    <row r="127" spans="1:8" ht="30" customHeight="1" x14ac:dyDescent="0.3">
      <c r="A127" s="5"/>
      <c r="B127" s="3"/>
      <c r="C127" s="8"/>
      <c r="D127" s="6"/>
      <c r="E127" s="8"/>
      <c r="F127" s="21"/>
      <c r="G127" s="21"/>
      <c r="H127" s="3"/>
    </row>
    <row r="128" spans="1:8" ht="30" customHeight="1" x14ac:dyDescent="0.3">
      <c r="A128" s="5"/>
      <c r="B128" s="3"/>
      <c r="C128" s="8"/>
      <c r="D128" s="6"/>
      <c r="E128" s="8"/>
      <c r="F128" s="21"/>
      <c r="G128" s="21"/>
      <c r="H128" s="3"/>
    </row>
    <row r="129" spans="1:8" ht="30" customHeight="1" x14ac:dyDescent="0.3">
      <c r="A129" s="5"/>
      <c r="B129" s="3"/>
      <c r="C129" s="8"/>
      <c r="D129" s="6"/>
      <c r="E129" s="8"/>
      <c r="F129" s="21"/>
      <c r="G129" s="21"/>
      <c r="H129" s="3"/>
    </row>
    <row r="130" spans="1:8" ht="30" customHeight="1" x14ac:dyDescent="0.3">
      <c r="A130" s="5"/>
      <c r="B130" s="3"/>
      <c r="C130" s="8"/>
      <c r="D130" s="6"/>
      <c r="E130" s="8"/>
      <c r="F130" s="21"/>
      <c r="G130" s="21"/>
      <c r="H130" s="3"/>
    </row>
    <row r="131" spans="1:8" ht="30" customHeight="1" x14ac:dyDescent="0.3">
      <c r="A131" s="5"/>
      <c r="B131" s="3"/>
      <c r="C131" s="8"/>
      <c r="D131" s="6"/>
      <c r="E131" s="8"/>
      <c r="F131" s="21"/>
      <c r="G131" s="21"/>
      <c r="H131" s="3"/>
    </row>
    <row r="132" spans="1:8" ht="30" customHeight="1" x14ac:dyDescent="0.3">
      <c r="A132" s="5"/>
      <c r="B132" s="3"/>
      <c r="C132" s="8"/>
      <c r="D132" s="6"/>
      <c r="E132" s="8"/>
      <c r="F132" s="21"/>
      <c r="G132" s="21"/>
      <c r="H132" s="3"/>
    </row>
    <row r="133" spans="1:8" ht="30" customHeight="1" x14ac:dyDescent="0.3">
      <c r="A133" s="5"/>
      <c r="B133" s="3"/>
      <c r="C133" s="8"/>
      <c r="D133" s="6"/>
      <c r="E133" s="8"/>
      <c r="F133" s="21"/>
      <c r="G133" s="21"/>
      <c r="H133" s="3"/>
    </row>
    <row r="134" spans="1:8" ht="30" customHeight="1" x14ac:dyDescent="0.3">
      <c r="A134" s="5"/>
      <c r="B134" s="3"/>
      <c r="C134" s="8"/>
      <c r="D134" s="6"/>
      <c r="E134" s="8"/>
      <c r="F134" s="21"/>
      <c r="G134" s="21"/>
      <c r="H134" s="3"/>
    </row>
    <row r="135" spans="1:8" ht="30" customHeight="1" x14ac:dyDescent="0.3">
      <c r="A135" s="5"/>
      <c r="B135" s="3"/>
      <c r="C135" s="8"/>
      <c r="D135" s="6"/>
      <c r="E135" s="8"/>
      <c r="F135" s="21"/>
      <c r="G135" s="21"/>
      <c r="H135" s="3"/>
    </row>
    <row r="136" spans="1:8" ht="30" customHeight="1" x14ac:dyDescent="0.3">
      <c r="A136" s="5"/>
      <c r="B136" s="3"/>
      <c r="C136" s="8"/>
      <c r="D136" s="6"/>
      <c r="E136" s="8"/>
      <c r="F136" s="21"/>
      <c r="G136" s="21"/>
      <c r="H136" s="3"/>
    </row>
    <row r="137" spans="1:8" ht="30" customHeight="1" x14ac:dyDescent="0.3">
      <c r="A137" s="5"/>
      <c r="B137" s="3"/>
      <c r="C137" s="8"/>
      <c r="D137" s="6"/>
      <c r="E137" s="8"/>
      <c r="F137" s="21"/>
      <c r="G137" s="21"/>
      <c r="H137" s="3"/>
    </row>
    <row r="138" spans="1:8" ht="30" customHeight="1" x14ac:dyDescent="0.3">
      <c r="A138" s="5"/>
      <c r="B138" s="3"/>
      <c r="C138" s="8"/>
      <c r="D138" s="6"/>
      <c r="E138" s="8"/>
      <c r="F138" s="21"/>
      <c r="G138" s="21"/>
      <c r="H138" s="3"/>
    </row>
    <row r="139" spans="1:8" ht="30" customHeight="1" x14ac:dyDescent="0.3">
      <c r="A139" s="5"/>
      <c r="B139" s="3"/>
      <c r="C139" s="8"/>
      <c r="D139" s="6"/>
      <c r="E139" s="8"/>
      <c r="F139" s="21"/>
      <c r="G139" s="21"/>
      <c r="H139" s="3"/>
    </row>
    <row r="140" spans="1:8" ht="30" customHeight="1" x14ac:dyDescent="0.3">
      <c r="A140" s="5"/>
      <c r="B140" s="3"/>
      <c r="C140" s="8"/>
      <c r="D140" s="6"/>
      <c r="E140" s="8"/>
      <c r="F140" s="21"/>
      <c r="G140" s="21"/>
      <c r="H140" s="3"/>
    </row>
    <row r="141" spans="1:8" ht="30" customHeight="1" x14ac:dyDescent="0.3">
      <c r="A141" s="5"/>
      <c r="B141" s="3"/>
      <c r="C141" s="8"/>
      <c r="D141" s="6"/>
      <c r="E141" s="8"/>
      <c r="F141" s="21"/>
      <c r="G141" s="21"/>
      <c r="H141" s="3"/>
    </row>
    <row r="142" spans="1:8" ht="30" customHeight="1" x14ac:dyDescent="0.3">
      <c r="A142" s="5"/>
      <c r="B142" s="3"/>
      <c r="C142" s="8"/>
      <c r="D142" s="6"/>
      <c r="E142" s="8"/>
      <c r="F142" s="21"/>
      <c r="G142" s="21"/>
      <c r="H142" s="3"/>
    </row>
    <row r="143" spans="1:8" ht="30" customHeight="1" x14ac:dyDescent="0.3">
      <c r="A143" s="5"/>
      <c r="B143" s="3"/>
      <c r="C143" s="8"/>
      <c r="D143" s="6"/>
      <c r="E143" s="8"/>
      <c r="F143" s="21"/>
      <c r="G143" s="21"/>
      <c r="H143" s="3"/>
    </row>
    <row r="144" spans="1:8" ht="30" customHeight="1" x14ac:dyDescent="0.3">
      <c r="A144" s="5"/>
      <c r="B144" s="3"/>
      <c r="C144" s="8"/>
      <c r="D144" s="6"/>
      <c r="E144" s="8"/>
      <c r="F144" s="21"/>
      <c r="G144" s="21"/>
      <c r="H144" s="3"/>
    </row>
    <row r="145" spans="1:8" ht="30" customHeight="1" x14ac:dyDescent="0.3">
      <c r="A145" s="5"/>
      <c r="B145" s="3"/>
      <c r="C145" s="8"/>
      <c r="D145" s="6"/>
      <c r="E145" s="8"/>
      <c r="F145" s="21"/>
      <c r="G145" s="21"/>
      <c r="H145" s="3"/>
    </row>
    <row r="146" spans="1:8" ht="30" customHeight="1" x14ac:dyDescent="0.3">
      <c r="A146" s="5"/>
      <c r="B146" s="3"/>
      <c r="C146" s="8"/>
      <c r="D146" s="6"/>
      <c r="E146" s="8"/>
      <c r="F146" s="21"/>
      <c r="G146" s="21"/>
      <c r="H146" s="3"/>
    </row>
    <row r="147" spans="1:8" ht="30" customHeight="1" x14ac:dyDescent="0.3">
      <c r="A147" s="5"/>
      <c r="B147" s="3"/>
      <c r="C147" s="8"/>
      <c r="D147" s="6"/>
      <c r="E147" s="8"/>
      <c r="F147" s="21"/>
      <c r="G147" s="21"/>
      <c r="H147" s="3"/>
    </row>
    <row r="148" spans="1:8" ht="30" customHeight="1" x14ac:dyDescent="0.3">
      <c r="A148" s="5"/>
      <c r="B148" s="3"/>
      <c r="C148" s="8"/>
      <c r="D148" s="6"/>
      <c r="E148" s="8"/>
      <c r="F148" s="21"/>
      <c r="G148" s="21"/>
      <c r="H148" s="3"/>
    </row>
    <row r="149" spans="1:8" ht="30" customHeight="1" x14ac:dyDescent="0.3">
      <c r="A149" s="5"/>
      <c r="B149" s="3"/>
      <c r="C149" s="8"/>
      <c r="D149" s="6"/>
      <c r="E149" s="8"/>
      <c r="F149" s="21"/>
      <c r="G149" s="21"/>
      <c r="H149" s="3"/>
    </row>
    <row r="150" spans="1:8" ht="30" customHeight="1" x14ac:dyDescent="0.3">
      <c r="A150" s="5"/>
      <c r="B150" s="3"/>
      <c r="C150" s="8"/>
      <c r="D150" s="6"/>
      <c r="E150" s="8"/>
      <c r="F150" s="21"/>
      <c r="G150" s="21"/>
      <c r="H150" s="3"/>
    </row>
    <row r="151" spans="1:8" ht="30" customHeight="1" x14ac:dyDescent="0.3">
      <c r="A151" s="5"/>
      <c r="B151" s="3"/>
      <c r="C151" s="8"/>
      <c r="D151" s="6"/>
      <c r="E151" s="8"/>
      <c r="F151" s="21"/>
      <c r="G151" s="21"/>
      <c r="H151" s="3"/>
    </row>
    <row r="152" spans="1:8" ht="30" customHeight="1" x14ac:dyDescent="0.3">
      <c r="A152" s="5"/>
      <c r="B152" s="3"/>
      <c r="C152" s="8"/>
      <c r="D152" s="6"/>
      <c r="E152" s="8"/>
      <c r="F152" s="3"/>
      <c r="G152" s="3"/>
      <c r="H152" s="3"/>
    </row>
    <row r="153" spans="1:8" ht="30" customHeight="1" x14ac:dyDescent="0.3">
      <c r="A153" s="5"/>
      <c r="B153" s="3"/>
      <c r="C153" s="8"/>
      <c r="D153" s="6"/>
      <c r="E153" s="8"/>
      <c r="F153" s="3"/>
      <c r="G153" s="3"/>
      <c r="H153" s="3"/>
    </row>
    <row r="154" spans="1:8" ht="30" customHeight="1" x14ac:dyDescent="0.3">
      <c r="A154" s="5"/>
      <c r="B154" s="3"/>
      <c r="C154" s="8"/>
      <c r="D154" s="6"/>
      <c r="E154" s="8"/>
      <c r="F154" s="3"/>
      <c r="G154" s="3"/>
      <c r="H154" s="3"/>
    </row>
    <row r="155" spans="1:8" ht="30" customHeight="1" x14ac:dyDescent="0.3">
      <c r="A155" s="5"/>
      <c r="B155" s="3"/>
      <c r="C155" s="8"/>
      <c r="D155" s="6"/>
      <c r="E155" s="8"/>
      <c r="F155" s="3"/>
      <c r="G155" s="3"/>
      <c r="H155" s="3"/>
    </row>
    <row r="156" spans="1:8" ht="30" customHeight="1" x14ac:dyDescent="0.3">
      <c r="A156" s="5"/>
      <c r="B156" s="3"/>
      <c r="C156" s="8"/>
      <c r="D156" s="6"/>
      <c r="E156" s="8"/>
      <c r="F156" s="3"/>
      <c r="G156" s="3"/>
      <c r="H156" s="3"/>
    </row>
    <row r="157" spans="1:8" ht="30" customHeight="1" x14ac:dyDescent="0.3">
      <c r="A157" s="5"/>
      <c r="B157" s="3"/>
      <c r="C157" s="8"/>
      <c r="D157" s="6"/>
      <c r="E157" s="8"/>
      <c r="F157" s="3"/>
      <c r="G157" s="3"/>
      <c r="H157" s="3"/>
    </row>
    <row r="158" spans="1:8" ht="30" customHeight="1" x14ac:dyDescent="0.3">
      <c r="A158" s="5"/>
      <c r="B158" s="3"/>
      <c r="C158" s="8"/>
      <c r="D158" s="6"/>
      <c r="E158" s="8"/>
      <c r="F158" s="3"/>
      <c r="G158" s="3"/>
      <c r="H158" s="3"/>
    </row>
    <row r="159" spans="1:8" ht="30" customHeight="1" x14ac:dyDescent="0.3">
      <c r="A159" s="5"/>
      <c r="B159" s="3"/>
      <c r="C159" s="8"/>
      <c r="D159" s="6"/>
      <c r="E159" s="8"/>
      <c r="F159" s="3"/>
      <c r="G159" s="3"/>
      <c r="H159" s="3"/>
    </row>
    <row r="160" spans="1:8" ht="30" customHeight="1" x14ac:dyDescent="0.3">
      <c r="A160" s="5"/>
      <c r="B160" s="3"/>
      <c r="C160" s="8"/>
      <c r="D160" s="6"/>
      <c r="E160" s="8"/>
      <c r="F160" s="3"/>
      <c r="G160" s="3"/>
      <c r="H160" s="3"/>
    </row>
    <row r="161" spans="1:8" ht="30" customHeight="1" x14ac:dyDescent="0.3">
      <c r="A161" s="5"/>
      <c r="B161" s="3"/>
      <c r="C161" s="8"/>
      <c r="D161" s="6"/>
      <c r="E161" s="8"/>
      <c r="F161" s="3"/>
      <c r="G161" s="3"/>
      <c r="H161" s="3"/>
    </row>
    <row r="162" spans="1:8" ht="30" customHeight="1" x14ac:dyDescent="0.3">
      <c r="A162" s="5"/>
      <c r="B162" s="3"/>
      <c r="C162" s="8"/>
      <c r="D162" s="6"/>
      <c r="E162" s="8"/>
      <c r="F162" s="3"/>
      <c r="G162" s="3"/>
      <c r="H162" s="3"/>
    </row>
    <row r="163" spans="1:8" ht="30" customHeight="1" x14ac:dyDescent="0.3">
      <c r="A163" s="5"/>
      <c r="B163" s="3"/>
      <c r="C163" s="8"/>
      <c r="D163" s="6"/>
      <c r="E163" s="8"/>
      <c r="F163" s="3"/>
      <c r="G163" s="3"/>
      <c r="H163" s="3"/>
    </row>
    <row r="164" spans="1:8" ht="30" customHeight="1" x14ac:dyDescent="0.3">
      <c r="A164" s="5"/>
      <c r="B164" s="3"/>
      <c r="C164" s="8"/>
      <c r="D164" s="6"/>
      <c r="E164" s="8"/>
      <c r="F164" s="3"/>
      <c r="G164" s="3"/>
      <c r="H164" s="3"/>
    </row>
    <row r="165" spans="1:8" ht="30" customHeight="1" x14ac:dyDescent="0.3">
      <c r="A165" s="5"/>
      <c r="B165" s="3"/>
      <c r="C165" s="8"/>
      <c r="D165" s="6"/>
      <c r="E165" s="8"/>
      <c r="F165" s="3"/>
      <c r="G165" s="3"/>
      <c r="H165" s="3"/>
    </row>
    <row r="166" spans="1:8" ht="30" customHeight="1" x14ac:dyDescent="0.3">
      <c r="A166" s="5"/>
      <c r="B166" s="3"/>
      <c r="C166" s="8"/>
      <c r="D166" s="6"/>
      <c r="E166" s="8"/>
      <c r="F166" s="3"/>
      <c r="G166" s="3"/>
      <c r="H166" s="3"/>
    </row>
    <row r="167" spans="1:8" ht="30" customHeight="1" x14ac:dyDescent="0.3">
      <c r="A167" s="5"/>
      <c r="B167" s="3"/>
      <c r="C167" s="8"/>
      <c r="D167" s="6"/>
      <c r="E167" s="8"/>
      <c r="F167" s="3"/>
      <c r="G167" s="3"/>
      <c r="H167" s="3"/>
    </row>
    <row r="168" spans="1:8" ht="30" customHeight="1" x14ac:dyDescent="0.3">
      <c r="A168" s="5"/>
      <c r="B168" s="3"/>
      <c r="C168" s="8"/>
      <c r="D168" s="6"/>
      <c r="E168" s="8"/>
      <c r="F168" s="3"/>
      <c r="G168" s="3"/>
      <c r="H168" s="3"/>
    </row>
    <row r="169" spans="1:8" ht="30" customHeight="1" x14ac:dyDescent="0.3">
      <c r="A169" s="5"/>
      <c r="B169" s="3"/>
      <c r="C169" s="8"/>
      <c r="D169" s="6"/>
      <c r="E169" s="8"/>
      <c r="F169" s="3"/>
      <c r="G169" s="3"/>
      <c r="H169" s="3"/>
    </row>
    <row r="170" spans="1:8" ht="30" customHeight="1" x14ac:dyDescent="0.3">
      <c r="A170" s="5"/>
      <c r="B170" s="3"/>
      <c r="C170" s="8"/>
      <c r="D170" s="6"/>
      <c r="E170" s="8"/>
      <c r="F170" s="3"/>
      <c r="G170" s="3"/>
      <c r="H170" s="3"/>
    </row>
    <row r="171" spans="1:8" ht="30" customHeight="1" x14ac:dyDescent="0.3">
      <c r="A171" s="5"/>
      <c r="B171" s="3"/>
      <c r="C171" s="8"/>
      <c r="D171" s="6"/>
      <c r="E171" s="8"/>
      <c r="F171" s="3"/>
      <c r="G171" s="3"/>
      <c r="H171" s="3"/>
    </row>
    <row r="172" spans="1:8" ht="30" customHeight="1" x14ac:dyDescent="0.3">
      <c r="A172" s="5"/>
      <c r="B172" s="3"/>
      <c r="C172" s="8"/>
      <c r="D172" s="6"/>
      <c r="E172" s="8"/>
      <c r="F172" s="3"/>
      <c r="G172" s="3"/>
      <c r="H172" s="3"/>
    </row>
    <row r="173" spans="1:8" ht="30" customHeight="1" x14ac:dyDescent="0.3">
      <c r="A173" s="5"/>
      <c r="B173" s="3"/>
      <c r="C173" s="8"/>
      <c r="D173" s="6"/>
      <c r="E173" s="8"/>
      <c r="F173" s="3"/>
      <c r="G173" s="3"/>
      <c r="H173" s="3"/>
    </row>
    <row r="174" spans="1:8" ht="30" customHeight="1" x14ac:dyDescent="0.3">
      <c r="A174" s="5"/>
      <c r="B174" s="3"/>
      <c r="C174" s="8"/>
      <c r="D174" s="6"/>
      <c r="E174" s="8"/>
      <c r="F174" s="3"/>
      <c r="G174" s="3"/>
      <c r="H174" s="3"/>
    </row>
    <row r="175" spans="1:8" ht="30" customHeight="1" x14ac:dyDescent="0.3">
      <c r="A175" s="5"/>
      <c r="B175" s="3"/>
      <c r="C175" s="8"/>
      <c r="D175" s="6"/>
      <c r="E175" s="8"/>
      <c r="F175" s="3"/>
      <c r="G175" s="3"/>
      <c r="H175" s="3"/>
    </row>
    <row r="176" spans="1:8" ht="30" customHeight="1" x14ac:dyDescent="0.3">
      <c r="A176" s="5"/>
      <c r="B176" s="3"/>
      <c r="C176" s="8"/>
      <c r="D176" s="6"/>
      <c r="E176" s="8"/>
      <c r="F176" s="3"/>
      <c r="G176" s="3"/>
      <c r="H176" s="3"/>
    </row>
    <row r="177" spans="1:8" ht="30" customHeight="1" x14ac:dyDescent="0.3">
      <c r="A177" s="5"/>
      <c r="B177" s="3"/>
      <c r="C177" s="8"/>
      <c r="D177" s="6"/>
      <c r="E177" s="8"/>
      <c r="F177" s="3"/>
      <c r="G177" s="3"/>
      <c r="H177" s="3"/>
    </row>
    <row r="178" spans="1:8" ht="30" customHeight="1" x14ac:dyDescent="0.3">
      <c r="A178" s="5"/>
      <c r="B178" s="3"/>
      <c r="C178" s="8"/>
      <c r="D178" s="6"/>
      <c r="E178" s="8"/>
      <c r="F178" s="3"/>
      <c r="G178" s="3"/>
      <c r="H178" s="3"/>
    </row>
    <row r="179" spans="1:8" ht="30" customHeight="1" x14ac:dyDescent="0.3">
      <c r="A179" s="5"/>
      <c r="B179" s="3"/>
      <c r="C179" s="8"/>
      <c r="D179" s="6"/>
      <c r="E179" s="8"/>
      <c r="F179" s="3"/>
      <c r="G179" s="3"/>
      <c r="H179" s="3"/>
    </row>
    <row r="180" spans="1:8" ht="30" customHeight="1" x14ac:dyDescent="0.3">
      <c r="A180" s="5"/>
      <c r="B180" s="3"/>
      <c r="C180" s="8"/>
      <c r="D180" s="6"/>
      <c r="E180" s="8"/>
      <c r="F180" s="3"/>
      <c r="G180" s="3"/>
      <c r="H180" s="3"/>
    </row>
    <row r="181" spans="1:8" ht="30" customHeight="1" x14ac:dyDescent="0.3">
      <c r="A181" s="5"/>
      <c r="B181" s="3"/>
      <c r="C181" s="3"/>
      <c r="D181" s="6"/>
      <c r="E181" s="8"/>
      <c r="F181" s="3"/>
      <c r="G181" s="3"/>
      <c r="H181" s="3"/>
    </row>
    <row r="182" spans="1:8" ht="30" customHeight="1" x14ac:dyDescent="0.3">
      <c r="A182" s="5"/>
      <c r="B182" s="3"/>
      <c r="C182" s="3"/>
      <c r="D182" s="6"/>
      <c r="E182" s="8"/>
      <c r="F182" s="3"/>
      <c r="G182" s="3"/>
      <c r="H182" s="3"/>
    </row>
    <row r="183" spans="1:8" ht="30" customHeight="1" x14ac:dyDescent="0.3">
      <c r="A183" s="5"/>
      <c r="B183" s="3"/>
      <c r="C183" s="3"/>
      <c r="D183" s="6"/>
      <c r="E183" s="8"/>
      <c r="F183" s="3"/>
      <c r="G183" s="3"/>
      <c r="H183" s="3"/>
    </row>
    <row r="184" spans="1:8" ht="30" customHeight="1" x14ac:dyDescent="0.3">
      <c r="A184" s="5"/>
      <c r="B184" s="3"/>
      <c r="C184" s="3"/>
      <c r="D184" s="6"/>
      <c r="E184" s="8"/>
      <c r="F184" s="3"/>
      <c r="G184" s="3"/>
      <c r="H184" s="3"/>
    </row>
    <row r="185" spans="1:8" ht="30" customHeight="1" x14ac:dyDescent="0.3">
      <c r="A185" s="5"/>
      <c r="B185" s="3"/>
      <c r="C185" s="3"/>
      <c r="D185" s="6"/>
      <c r="E185" s="8"/>
      <c r="F185" s="3"/>
      <c r="G185" s="3"/>
      <c r="H185" s="3"/>
    </row>
    <row r="186" spans="1:8" ht="30" customHeight="1" x14ac:dyDescent="0.3">
      <c r="A186" s="5"/>
      <c r="B186" s="3"/>
      <c r="C186" s="3"/>
      <c r="D186" s="6"/>
      <c r="E186" s="8"/>
      <c r="F186" s="3"/>
      <c r="G186" s="3"/>
      <c r="H186" s="3"/>
    </row>
    <row r="187" spans="1:8" ht="30" customHeight="1" x14ac:dyDescent="0.3">
      <c r="A187" s="5"/>
      <c r="B187" s="3"/>
      <c r="C187" s="3"/>
      <c r="D187" s="6"/>
      <c r="E187" s="8"/>
      <c r="F187" s="3"/>
      <c r="G187" s="3"/>
      <c r="H187" s="3"/>
    </row>
    <row r="188" spans="1:8" ht="30" customHeight="1" x14ac:dyDescent="0.3">
      <c r="A188" s="5"/>
      <c r="B188" s="3"/>
      <c r="C188" s="3"/>
      <c r="D188" s="6"/>
      <c r="E188" s="8"/>
      <c r="F188" s="3"/>
      <c r="G188" s="3"/>
      <c r="H188" s="3"/>
    </row>
    <row r="189" spans="1:8" ht="30" customHeight="1" x14ac:dyDescent="0.3">
      <c r="A189" s="5"/>
      <c r="B189" s="3"/>
      <c r="C189" s="3"/>
      <c r="D189" s="6"/>
      <c r="E189" s="8"/>
      <c r="F189" s="3"/>
      <c r="G189" s="3"/>
      <c r="H189" s="3"/>
    </row>
    <row r="190" spans="1:8" ht="30" customHeight="1" x14ac:dyDescent="0.3">
      <c r="A190" s="5"/>
      <c r="B190" s="3"/>
      <c r="C190" s="3"/>
      <c r="D190" s="6"/>
      <c r="E190" s="8"/>
      <c r="F190" s="3"/>
      <c r="G190" s="3"/>
      <c r="H190" s="3"/>
    </row>
    <row r="191" spans="1:8" ht="30" customHeight="1" x14ac:dyDescent="0.3">
      <c r="A191" s="5"/>
      <c r="B191" s="3"/>
      <c r="C191" s="3"/>
      <c r="D191" s="6"/>
      <c r="E191" s="8"/>
      <c r="F191" s="3"/>
      <c r="G191" s="3"/>
      <c r="H191" s="3"/>
    </row>
    <row r="192" spans="1:8" ht="30" customHeight="1" x14ac:dyDescent="0.3">
      <c r="A192" s="5"/>
      <c r="B192" s="3"/>
      <c r="C192" s="3"/>
      <c r="D192" s="6"/>
      <c r="E192" s="8"/>
      <c r="F192" s="3"/>
      <c r="G192" s="3"/>
      <c r="H192" s="3"/>
    </row>
    <row r="193" spans="1:8" ht="30" customHeight="1" x14ac:dyDescent="0.3">
      <c r="A193" s="5"/>
      <c r="B193" s="3"/>
      <c r="C193" s="3"/>
      <c r="D193" s="6"/>
      <c r="E193" s="8"/>
      <c r="F193" s="3"/>
      <c r="G193" s="3"/>
      <c r="H193" s="3"/>
    </row>
    <row r="194" spans="1:8" ht="30" customHeight="1" x14ac:dyDescent="0.3">
      <c r="A194" s="5"/>
      <c r="B194" s="3"/>
      <c r="C194" s="3"/>
      <c r="D194" s="6"/>
      <c r="E194" s="8"/>
      <c r="F194" s="3"/>
      <c r="G194" s="3"/>
      <c r="H194" s="3"/>
    </row>
    <row r="195" spans="1:8" ht="30" customHeight="1" x14ac:dyDescent="0.3">
      <c r="A195" s="5"/>
      <c r="B195" s="3"/>
      <c r="C195" s="3"/>
      <c r="D195" s="6"/>
      <c r="E195" s="8"/>
      <c r="F195" s="3"/>
      <c r="G195" s="3"/>
      <c r="H195" s="3"/>
    </row>
    <row r="196" spans="1:8" ht="30" customHeight="1" x14ac:dyDescent="0.3">
      <c r="A196" s="5"/>
      <c r="B196" s="3"/>
      <c r="C196" s="3"/>
      <c r="D196" s="6"/>
      <c r="E196" s="8"/>
      <c r="F196" s="3"/>
      <c r="G196" s="3"/>
      <c r="H196" s="3"/>
    </row>
    <row r="197" spans="1:8" ht="30" customHeight="1" x14ac:dyDescent="0.3">
      <c r="A197" s="5"/>
      <c r="B197" s="3"/>
      <c r="C197" s="3"/>
      <c r="D197" s="6"/>
      <c r="E197" s="8"/>
      <c r="F197" s="3"/>
      <c r="G197" s="3"/>
      <c r="H197" s="3"/>
    </row>
    <row r="198" spans="1:8" ht="30" customHeight="1" x14ac:dyDescent="0.3">
      <c r="A198" s="5"/>
      <c r="B198" s="3"/>
      <c r="C198" s="3"/>
      <c r="D198" s="6"/>
      <c r="E198" s="8"/>
      <c r="F198" s="3"/>
      <c r="G198" s="3"/>
      <c r="H198" s="3"/>
    </row>
    <row r="199" spans="1:8" ht="30" customHeight="1" x14ac:dyDescent="0.3">
      <c r="A199" s="5"/>
      <c r="B199" s="3"/>
      <c r="C199" s="3"/>
      <c r="D199" s="6"/>
      <c r="E199" s="8"/>
      <c r="F199" s="3"/>
      <c r="G199" s="3"/>
      <c r="H199" s="3"/>
    </row>
    <row r="200" spans="1:8" ht="30" customHeight="1" x14ac:dyDescent="0.3">
      <c r="A200" s="5"/>
      <c r="B200" s="3"/>
      <c r="C200" s="3"/>
      <c r="D200" s="6"/>
      <c r="E200" s="8"/>
      <c r="F200" s="3"/>
      <c r="G200" s="3"/>
      <c r="H200" s="3"/>
    </row>
    <row r="201" spans="1:8" ht="30" customHeight="1" x14ac:dyDescent="0.3">
      <c r="A201" s="5"/>
      <c r="B201" s="3"/>
      <c r="C201" s="3"/>
      <c r="D201" s="6"/>
      <c r="E201" s="8"/>
      <c r="F201" s="3"/>
      <c r="G201" s="3"/>
      <c r="H201" s="3"/>
    </row>
    <row r="202" spans="1:8" ht="30" customHeight="1" x14ac:dyDescent="0.3">
      <c r="A202" s="5"/>
      <c r="B202" s="3"/>
      <c r="C202" s="3"/>
      <c r="D202" s="6"/>
      <c r="E202" s="8"/>
      <c r="F202" s="3"/>
      <c r="G202" s="3"/>
      <c r="H202" s="3"/>
    </row>
    <row r="203" spans="1:8" ht="30" customHeight="1" x14ac:dyDescent="0.3">
      <c r="A203" s="5"/>
      <c r="B203" s="3"/>
      <c r="C203" s="3"/>
      <c r="D203" s="6"/>
      <c r="E203" s="8"/>
      <c r="F203" s="3"/>
      <c r="G203" s="3"/>
      <c r="H203" s="3"/>
    </row>
    <row r="204" spans="1:8" ht="30" customHeight="1" x14ac:dyDescent="0.3">
      <c r="A204" s="5"/>
      <c r="B204" s="3"/>
      <c r="C204" s="3"/>
      <c r="D204" s="6"/>
      <c r="E204" s="8"/>
      <c r="F204" s="3"/>
      <c r="G204" s="3"/>
      <c r="H204" s="3"/>
    </row>
    <row r="205" spans="1:8" ht="30" customHeight="1" x14ac:dyDescent="0.3">
      <c r="A205" s="5"/>
      <c r="B205" s="3"/>
      <c r="C205" s="3"/>
      <c r="D205" s="6"/>
      <c r="E205" s="8"/>
      <c r="F205" s="3"/>
      <c r="G205" s="3"/>
      <c r="H205" s="3"/>
    </row>
    <row r="206" spans="1:8" ht="30" customHeight="1" x14ac:dyDescent="0.3">
      <c r="A206" s="5"/>
      <c r="B206" s="3"/>
      <c r="C206" s="3"/>
      <c r="D206" s="6"/>
      <c r="E206" s="8"/>
      <c r="F206" s="3"/>
      <c r="G206" s="3"/>
      <c r="H206" s="3"/>
    </row>
    <row r="207" spans="1:8" ht="30" customHeight="1" x14ac:dyDescent="0.3">
      <c r="A207" s="5"/>
      <c r="B207" s="3"/>
      <c r="C207" s="3"/>
      <c r="D207" s="6"/>
      <c r="E207" s="8"/>
      <c r="F207" s="3"/>
      <c r="G207" s="3"/>
      <c r="H207" s="3"/>
    </row>
    <row r="208" spans="1:8" ht="30" customHeight="1" x14ac:dyDescent="0.3">
      <c r="A208" s="5"/>
      <c r="B208" s="3"/>
      <c r="C208" s="3"/>
      <c r="D208" s="6"/>
      <c r="E208" s="8"/>
      <c r="F208" s="3"/>
      <c r="G208" s="3"/>
      <c r="H208" s="3"/>
    </row>
    <row r="209" spans="1:8" ht="30" customHeight="1" x14ac:dyDescent="0.3">
      <c r="A209" s="5"/>
      <c r="B209" s="3"/>
      <c r="C209" s="3"/>
      <c r="D209" s="6"/>
      <c r="E209" s="8"/>
      <c r="F209" s="3"/>
      <c r="G209" s="3"/>
      <c r="H209" s="3"/>
    </row>
    <row r="210" spans="1:8" ht="30" customHeight="1" x14ac:dyDescent="0.3">
      <c r="A210" s="5"/>
      <c r="B210" s="3"/>
      <c r="C210" s="3"/>
      <c r="D210" s="6"/>
      <c r="E210" s="8"/>
      <c r="F210" s="3"/>
      <c r="G210" s="3"/>
      <c r="H210" s="3"/>
    </row>
    <row r="211" spans="1:8" ht="30" customHeight="1" x14ac:dyDescent="0.3">
      <c r="A211" s="5"/>
      <c r="B211" s="3"/>
      <c r="C211" s="3"/>
      <c r="D211" s="6"/>
      <c r="E211" s="8"/>
      <c r="F211" s="3"/>
      <c r="G211" s="3"/>
      <c r="H211" s="3"/>
    </row>
    <row r="212" spans="1:8" ht="30" customHeight="1" x14ac:dyDescent="0.3">
      <c r="A212" s="5"/>
      <c r="B212" s="3"/>
      <c r="C212" s="3"/>
      <c r="D212" s="6"/>
      <c r="E212" s="8"/>
      <c r="F212" s="3"/>
      <c r="G212" s="3"/>
      <c r="H212" s="3"/>
    </row>
    <row r="213" spans="1:8" ht="30" customHeight="1" x14ac:dyDescent="0.3">
      <c r="A213" s="5"/>
      <c r="B213" s="3"/>
      <c r="C213" s="3"/>
      <c r="D213" s="6"/>
      <c r="E213" s="8"/>
      <c r="F213" s="3"/>
      <c r="G213" s="3"/>
      <c r="H213" s="3"/>
    </row>
    <row r="214" spans="1:8" ht="30" customHeight="1" x14ac:dyDescent="0.3">
      <c r="A214" s="5"/>
      <c r="B214" s="3"/>
      <c r="C214" s="3"/>
      <c r="D214" s="6"/>
      <c r="E214" s="8"/>
      <c r="F214" s="3"/>
      <c r="G214" s="3"/>
      <c r="H214" s="3"/>
    </row>
    <row r="215" spans="1:8" ht="30" customHeight="1" x14ac:dyDescent="0.3">
      <c r="A215" s="5"/>
      <c r="B215" s="3"/>
      <c r="C215" s="3"/>
      <c r="D215" s="6"/>
      <c r="E215" s="8"/>
      <c r="F215" s="3"/>
      <c r="G215" s="3"/>
      <c r="H215" s="3"/>
    </row>
    <row r="216" spans="1:8" ht="30" customHeight="1" x14ac:dyDescent="0.3">
      <c r="A216" s="5"/>
      <c r="B216" s="3"/>
      <c r="C216" s="3"/>
      <c r="D216" s="6"/>
      <c r="E216" s="8"/>
      <c r="F216" s="3"/>
      <c r="G216" s="3"/>
      <c r="H216" s="3"/>
    </row>
    <row r="217" spans="1:8" ht="30" customHeight="1" x14ac:dyDescent="0.3">
      <c r="A217" s="5"/>
      <c r="B217" s="3"/>
      <c r="C217" s="3"/>
      <c r="D217" s="6"/>
      <c r="E217" s="8"/>
      <c r="F217" s="3"/>
      <c r="G217" s="3"/>
      <c r="H217" s="3"/>
    </row>
    <row r="218" spans="1:8" ht="30" customHeight="1" x14ac:dyDescent="0.3">
      <c r="A218" s="5"/>
      <c r="B218" s="3"/>
      <c r="C218" s="3"/>
      <c r="D218" s="6"/>
      <c r="E218" s="8"/>
      <c r="F218" s="3"/>
      <c r="G218" s="3"/>
      <c r="H218" s="3"/>
    </row>
    <row r="219" spans="1:8" ht="30" customHeight="1" x14ac:dyDescent="0.3">
      <c r="A219" s="5"/>
      <c r="B219" s="3"/>
      <c r="C219" s="3"/>
      <c r="D219" s="6"/>
      <c r="E219" s="8"/>
      <c r="F219" s="3"/>
      <c r="G219" s="3"/>
      <c r="H219" s="3"/>
    </row>
    <row r="220" spans="1:8" ht="30" customHeight="1" x14ac:dyDescent="0.3">
      <c r="A220" s="5"/>
      <c r="B220" s="3"/>
      <c r="C220" s="3"/>
      <c r="D220" s="6"/>
      <c r="E220" s="8"/>
      <c r="F220" s="3"/>
      <c r="G220" s="3"/>
      <c r="H220" s="3"/>
    </row>
    <row r="221" spans="1:8" ht="30" customHeight="1" x14ac:dyDescent="0.3">
      <c r="A221" s="5"/>
      <c r="B221" s="3"/>
      <c r="C221" s="3"/>
      <c r="D221" s="6"/>
      <c r="E221" s="8"/>
      <c r="F221" s="3"/>
      <c r="G221" s="3"/>
      <c r="H221" s="3"/>
    </row>
    <row r="222" spans="1:8" ht="30" customHeight="1" x14ac:dyDescent="0.3">
      <c r="A222" s="5"/>
      <c r="B222" s="3"/>
      <c r="C222" s="3"/>
      <c r="D222" s="6"/>
      <c r="E222" s="8"/>
      <c r="F222" s="3"/>
      <c r="G222" s="3"/>
      <c r="H222" s="3"/>
    </row>
    <row r="223" spans="1:8" ht="30" customHeight="1" x14ac:dyDescent="0.3">
      <c r="A223" s="5"/>
      <c r="B223" s="3"/>
      <c r="C223" s="3"/>
      <c r="D223" s="6"/>
      <c r="E223" s="8"/>
      <c r="F223" s="3"/>
      <c r="G223" s="3"/>
      <c r="H223" s="3"/>
    </row>
    <row r="224" spans="1:8" ht="30" customHeight="1" x14ac:dyDescent="0.3">
      <c r="A224" s="5"/>
      <c r="B224" s="3"/>
      <c r="C224" s="3"/>
      <c r="D224" s="6"/>
      <c r="E224" s="8"/>
      <c r="F224" s="3"/>
      <c r="G224" s="3"/>
      <c r="H224" s="3"/>
    </row>
    <row r="225" spans="1:8" ht="30" customHeight="1" x14ac:dyDescent="0.3">
      <c r="A225" s="5"/>
      <c r="B225" s="3"/>
      <c r="C225" s="3"/>
      <c r="D225" s="6"/>
      <c r="E225" s="8"/>
      <c r="F225" s="3"/>
      <c r="G225" s="3"/>
      <c r="H225" s="3"/>
    </row>
    <row r="226" spans="1:8" ht="30" customHeight="1" x14ac:dyDescent="0.3">
      <c r="A226" s="5"/>
      <c r="B226" s="3"/>
      <c r="C226" s="3"/>
      <c r="D226" s="6"/>
      <c r="E226" s="8"/>
      <c r="F226" s="3"/>
      <c r="G226" s="3"/>
      <c r="H226" s="3"/>
    </row>
    <row r="227" spans="1:8" ht="30" customHeight="1" x14ac:dyDescent="0.3">
      <c r="A227" s="5"/>
      <c r="B227" s="3"/>
      <c r="C227" s="3"/>
      <c r="D227" s="6"/>
      <c r="E227" s="8"/>
      <c r="F227" s="3"/>
      <c r="G227" s="3"/>
      <c r="H227" s="3"/>
    </row>
    <row r="228" spans="1:8" ht="30" customHeight="1" x14ac:dyDescent="0.3">
      <c r="A228" s="5"/>
      <c r="B228" s="3"/>
      <c r="C228" s="3"/>
      <c r="D228" s="6"/>
      <c r="E228" s="8"/>
      <c r="F228" s="3"/>
      <c r="G228" s="3"/>
      <c r="H228" s="3"/>
    </row>
    <row r="229" spans="1:8" ht="30" customHeight="1" x14ac:dyDescent="0.3">
      <c r="A229" s="5"/>
      <c r="B229" s="3"/>
      <c r="C229" s="3"/>
      <c r="D229" s="6"/>
      <c r="E229" s="8"/>
      <c r="F229" s="3"/>
      <c r="G229" s="3"/>
      <c r="H229" s="3"/>
    </row>
    <row r="230" spans="1:8" ht="30" customHeight="1" x14ac:dyDescent="0.3">
      <c r="A230" s="5"/>
      <c r="B230" s="3"/>
      <c r="C230" s="3"/>
      <c r="D230" s="6"/>
      <c r="E230" s="8"/>
      <c r="F230" s="3"/>
      <c r="G230" s="3"/>
      <c r="H230" s="3"/>
    </row>
    <row r="231" spans="1:8" ht="30" customHeight="1" x14ac:dyDescent="0.3">
      <c r="A231" s="5"/>
      <c r="B231" s="3"/>
      <c r="C231" s="3"/>
      <c r="D231" s="6"/>
      <c r="E231" s="8"/>
      <c r="F231" s="3"/>
      <c r="G231" s="3"/>
      <c r="H231" s="3"/>
    </row>
    <row r="232" spans="1:8" ht="30" customHeight="1" x14ac:dyDescent="0.3">
      <c r="A232" s="5"/>
      <c r="B232" s="3"/>
      <c r="C232" s="3"/>
      <c r="D232" s="6"/>
      <c r="E232" s="8"/>
      <c r="F232" s="3"/>
      <c r="G232" s="3"/>
      <c r="H232" s="3"/>
    </row>
    <row r="233" spans="1:8" ht="30" customHeight="1" x14ac:dyDescent="0.3">
      <c r="A233" s="5"/>
      <c r="B233" s="3"/>
      <c r="C233" s="3"/>
      <c r="D233" s="6"/>
      <c r="E233" s="8"/>
      <c r="F233" s="3"/>
      <c r="G233" s="3"/>
      <c r="H233" s="3"/>
    </row>
    <row r="234" spans="1:8" ht="30" customHeight="1" x14ac:dyDescent="0.3">
      <c r="A234" s="5"/>
      <c r="B234" s="3"/>
      <c r="C234" s="3"/>
      <c r="D234" s="6"/>
      <c r="E234" s="8"/>
      <c r="F234" s="3"/>
      <c r="G234" s="3"/>
      <c r="H234" s="3"/>
    </row>
    <row r="235" spans="1:8" ht="30" customHeight="1" x14ac:dyDescent="0.3">
      <c r="A235" s="5"/>
      <c r="B235" s="3"/>
      <c r="C235" s="3"/>
      <c r="D235" s="6"/>
      <c r="E235" s="8"/>
      <c r="F235" s="3"/>
      <c r="G235" s="3"/>
      <c r="H235" s="3"/>
    </row>
    <row r="236" spans="1:8" ht="30" customHeight="1" x14ac:dyDescent="0.3">
      <c r="A236" s="5"/>
      <c r="B236" s="3"/>
      <c r="C236" s="3"/>
      <c r="D236" s="6"/>
      <c r="E236" s="8"/>
      <c r="F236" s="3"/>
      <c r="G236" s="3"/>
      <c r="H236" s="3"/>
    </row>
    <row r="237" spans="1:8" ht="30" customHeight="1" x14ac:dyDescent="0.3">
      <c r="A237" s="5"/>
      <c r="B237" s="3"/>
      <c r="C237" s="3"/>
      <c r="D237" s="6"/>
      <c r="E237" s="8"/>
      <c r="F237" s="3"/>
      <c r="G237" s="3"/>
      <c r="H237" s="3"/>
    </row>
    <row r="238" spans="1:8" ht="30" customHeight="1" x14ac:dyDescent="0.3">
      <c r="A238" s="5"/>
      <c r="B238" s="3"/>
      <c r="C238" s="3"/>
      <c r="D238" s="6"/>
      <c r="E238" s="8"/>
      <c r="F238" s="3"/>
      <c r="G238" s="3"/>
      <c r="H238" s="3"/>
    </row>
    <row r="239" spans="1:8" ht="30" customHeight="1" x14ac:dyDescent="0.3">
      <c r="A239" s="5"/>
      <c r="B239" s="3"/>
      <c r="C239" s="3"/>
      <c r="D239" s="6"/>
      <c r="E239" s="8"/>
      <c r="F239" s="3"/>
      <c r="G239" s="3"/>
      <c r="H239" s="3"/>
    </row>
    <row r="240" spans="1:8" ht="30" customHeight="1" x14ac:dyDescent="0.3">
      <c r="A240" s="5"/>
      <c r="B240" s="3"/>
      <c r="C240" s="3"/>
      <c r="D240" s="6"/>
      <c r="E240" s="8"/>
      <c r="F240" s="3"/>
      <c r="G240" s="3"/>
      <c r="H240" s="3"/>
    </row>
    <row r="241" spans="1:8" ht="30" customHeight="1" x14ac:dyDescent="0.3">
      <c r="A241" s="5"/>
      <c r="B241" s="3"/>
      <c r="C241" s="3"/>
      <c r="D241" s="6"/>
      <c r="E241" s="8"/>
      <c r="F241" s="3"/>
      <c r="G241" s="3"/>
      <c r="H241" s="3"/>
    </row>
    <row r="242" spans="1:8" ht="30" customHeight="1" x14ac:dyDescent="0.3">
      <c r="A242" s="5"/>
      <c r="B242" s="3"/>
      <c r="C242" s="3"/>
      <c r="D242" s="6"/>
      <c r="E242" s="8"/>
      <c r="F242" s="3"/>
      <c r="G242" s="3"/>
      <c r="H242" s="3"/>
    </row>
    <row r="243" spans="1:8" ht="30" customHeight="1" x14ac:dyDescent="0.3">
      <c r="A243" s="5"/>
      <c r="B243" s="3"/>
      <c r="C243" s="3"/>
      <c r="D243" s="6"/>
      <c r="E243" s="8"/>
      <c r="F243" s="3"/>
      <c r="G243" s="3"/>
      <c r="H243" s="3"/>
    </row>
    <row r="244" spans="1:8" ht="30" customHeight="1" x14ac:dyDescent="0.3">
      <c r="A244" s="5"/>
      <c r="B244" s="3"/>
      <c r="C244" s="3"/>
      <c r="D244" s="6"/>
      <c r="E244" s="8"/>
      <c r="F244" s="3"/>
      <c r="G244" s="3"/>
      <c r="H244" s="3"/>
    </row>
    <row r="245" spans="1:8" ht="30" customHeight="1" x14ac:dyDescent="0.3">
      <c r="A245" s="5"/>
      <c r="B245" s="3"/>
      <c r="C245" s="3"/>
      <c r="D245" s="6"/>
      <c r="E245" s="8"/>
      <c r="F245" s="3"/>
      <c r="G245" s="3"/>
      <c r="H245" s="3"/>
    </row>
    <row r="246" spans="1:8" ht="30" customHeight="1" x14ac:dyDescent="0.3">
      <c r="A246" s="5"/>
      <c r="B246" s="3"/>
      <c r="C246" s="3"/>
      <c r="D246" s="6"/>
      <c r="E246" s="8"/>
      <c r="F246" s="3"/>
      <c r="G246" s="3"/>
      <c r="H246" s="3"/>
    </row>
    <row r="247" spans="1:8" ht="30" customHeight="1" x14ac:dyDescent="0.3">
      <c r="A247" s="5"/>
      <c r="B247" s="3"/>
      <c r="C247" s="3"/>
      <c r="D247" s="6"/>
      <c r="E247" s="8"/>
      <c r="F247" s="3"/>
      <c r="G247" s="3"/>
      <c r="H247" s="3"/>
    </row>
    <row r="248" spans="1:8" ht="30" customHeight="1" x14ac:dyDescent="0.3">
      <c r="A248" s="5"/>
      <c r="B248" s="3"/>
      <c r="C248" s="3"/>
      <c r="D248" s="6"/>
      <c r="E248" s="8"/>
      <c r="F248" s="3"/>
      <c r="G248" s="3"/>
      <c r="H248" s="3"/>
    </row>
    <row r="249" spans="1:8" ht="30" customHeight="1" x14ac:dyDescent="0.3">
      <c r="A249" s="5"/>
      <c r="B249" s="3"/>
      <c r="C249" s="3"/>
      <c r="D249" s="6"/>
      <c r="E249" s="8"/>
      <c r="F249" s="3"/>
      <c r="G249" s="3"/>
      <c r="H249" s="3"/>
    </row>
    <row r="250" spans="1:8" ht="30" customHeight="1" x14ac:dyDescent="0.3">
      <c r="A250" s="5"/>
      <c r="B250" s="3"/>
      <c r="C250" s="3"/>
      <c r="D250" s="6"/>
      <c r="E250" s="8"/>
      <c r="F250" s="3"/>
      <c r="G250" s="3"/>
      <c r="H250" s="3"/>
    </row>
    <row r="251" spans="1:8" ht="30" customHeight="1" x14ac:dyDescent="0.3">
      <c r="A251" s="5"/>
      <c r="B251" s="3"/>
      <c r="C251" s="3"/>
      <c r="D251" s="6"/>
      <c r="E251" s="8"/>
      <c r="F251" s="3"/>
      <c r="G251" s="3"/>
      <c r="H251" s="3"/>
    </row>
    <row r="252" spans="1:8" ht="30" customHeight="1" x14ac:dyDescent="0.3">
      <c r="A252" s="5"/>
      <c r="B252" s="3"/>
      <c r="C252" s="3"/>
      <c r="D252" s="6"/>
      <c r="E252" s="8"/>
      <c r="F252" s="3"/>
      <c r="G252" s="3"/>
      <c r="H252" s="3"/>
    </row>
    <row r="253" spans="1:8" ht="30" customHeight="1" x14ac:dyDescent="0.3">
      <c r="A253" s="5"/>
      <c r="B253" s="3"/>
      <c r="C253" s="3"/>
      <c r="D253" s="6"/>
      <c r="E253" s="8"/>
      <c r="F253" s="3"/>
      <c r="G253" s="3"/>
      <c r="H253" s="3"/>
    </row>
    <row r="254" spans="1:8" ht="30" customHeight="1" x14ac:dyDescent="0.3">
      <c r="A254" s="5"/>
      <c r="B254" s="3"/>
      <c r="C254" s="3"/>
      <c r="D254" s="6"/>
      <c r="E254" s="8"/>
      <c r="F254" s="3"/>
      <c r="G254" s="3"/>
      <c r="H254" s="3"/>
    </row>
    <row r="255" spans="1:8" ht="30" customHeight="1" x14ac:dyDescent="0.3">
      <c r="A255" s="5"/>
      <c r="B255" s="3"/>
      <c r="C255" s="3"/>
      <c r="D255" s="6"/>
      <c r="E255" s="8"/>
      <c r="F255" s="3"/>
      <c r="G255" s="3"/>
      <c r="H255" s="3"/>
    </row>
    <row r="256" spans="1:8" ht="30" customHeight="1" x14ac:dyDescent="0.3">
      <c r="A256" s="5"/>
      <c r="B256" s="3"/>
      <c r="C256" s="3"/>
      <c r="D256" s="6"/>
      <c r="E256" s="8"/>
      <c r="F256" s="3"/>
      <c r="G256" s="3"/>
      <c r="H256" s="3"/>
    </row>
    <row r="257" spans="1:8" ht="30" customHeight="1" x14ac:dyDescent="0.3">
      <c r="A257" s="5"/>
      <c r="B257" s="3"/>
      <c r="C257" s="3"/>
      <c r="D257" s="6"/>
      <c r="E257" s="8"/>
      <c r="F257" s="3"/>
      <c r="G257" s="3"/>
      <c r="H257" s="3"/>
    </row>
    <row r="258" spans="1:8" ht="30" customHeight="1" x14ac:dyDescent="0.3">
      <c r="A258" s="5"/>
      <c r="B258" s="3"/>
      <c r="C258" s="3"/>
      <c r="D258" s="6"/>
      <c r="E258" s="8"/>
      <c r="F258" s="3"/>
      <c r="G258" s="3"/>
      <c r="H258" s="3"/>
    </row>
    <row r="259" spans="1:8" ht="30" customHeight="1" x14ac:dyDescent="0.3">
      <c r="A259" s="5"/>
      <c r="B259" s="3"/>
      <c r="C259" s="3"/>
      <c r="D259" s="6"/>
      <c r="E259" s="8"/>
      <c r="F259" s="3"/>
      <c r="G259" s="3"/>
      <c r="H259" s="3"/>
    </row>
    <row r="260" spans="1:8" ht="30" customHeight="1" x14ac:dyDescent="0.3">
      <c r="A260" s="5"/>
      <c r="B260" s="3"/>
      <c r="C260" s="3"/>
      <c r="D260" s="6"/>
      <c r="E260" s="8"/>
      <c r="F260" s="3"/>
      <c r="G260" s="3"/>
      <c r="H260" s="3"/>
    </row>
    <row r="261" spans="1:8" ht="30" customHeight="1" x14ac:dyDescent="0.3">
      <c r="A261" s="5"/>
      <c r="B261" s="3"/>
      <c r="C261" s="3"/>
      <c r="D261" s="6"/>
      <c r="E261" s="8"/>
      <c r="F261" s="3"/>
      <c r="G261" s="3"/>
      <c r="H261" s="3"/>
    </row>
    <row r="262" spans="1:8" ht="30" customHeight="1" x14ac:dyDescent="0.3">
      <c r="A262" s="5"/>
      <c r="B262" s="3"/>
      <c r="C262" s="3"/>
      <c r="D262" s="6"/>
      <c r="E262" s="8"/>
      <c r="F262" s="3"/>
      <c r="G262" s="3"/>
      <c r="H262" s="3"/>
    </row>
    <row r="263" spans="1:8" ht="30" customHeight="1" x14ac:dyDescent="0.3">
      <c r="A263" s="5"/>
      <c r="B263" s="3"/>
      <c r="C263" s="3"/>
      <c r="D263" s="6"/>
      <c r="E263" s="8"/>
      <c r="F263" s="3"/>
      <c r="G263" s="3"/>
      <c r="H263" s="3"/>
    </row>
    <row r="264" spans="1:8" ht="30" customHeight="1" x14ac:dyDescent="0.3">
      <c r="A264" s="5"/>
      <c r="B264" s="3"/>
      <c r="C264" s="3"/>
      <c r="D264" s="6"/>
      <c r="E264" s="8"/>
      <c r="F264" s="3"/>
      <c r="G264" s="3"/>
      <c r="H264" s="3"/>
    </row>
    <row r="265" spans="1:8" ht="30" customHeight="1" x14ac:dyDescent="0.3">
      <c r="A265" s="5"/>
      <c r="B265" s="3"/>
      <c r="C265" s="3"/>
      <c r="D265" s="6"/>
      <c r="E265" s="8"/>
      <c r="F265" s="3"/>
      <c r="G265" s="3"/>
      <c r="H265" s="3"/>
    </row>
    <row r="266" spans="1:8" ht="30" customHeight="1" x14ac:dyDescent="0.3">
      <c r="A266" s="5"/>
      <c r="B266" s="3"/>
      <c r="C266" s="3"/>
      <c r="D266" s="6"/>
      <c r="E266" s="8"/>
      <c r="F266" s="3"/>
      <c r="G266" s="3"/>
      <c r="H266" s="3"/>
    </row>
    <row r="267" spans="1:8" ht="30" customHeight="1" x14ac:dyDescent="0.3">
      <c r="A267" s="5"/>
      <c r="B267" s="3"/>
      <c r="C267" s="3"/>
      <c r="D267" s="6"/>
      <c r="E267" s="8"/>
      <c r="F267" s="3"/>
      <c r="G267" s="3"/>
      <c r="H267" s="3"/>
    </row>
    <row r="268" spans="1:8" ht="30" customHeight="1" x14ac:dyDescent="0.3">
      <c r="A268" s="5"/>
      <c r="B268" s="3"/>
      <c r="C268" s="3"/>
      <c r="D268" s="6"/>
      <c r="E268" s="8"/>
      <c r="F268" s="3"/>
      <c r="G268" s="3"/>
      <c r="H268" s="3"/>
    </row>
    <row r="269" spans="1:8" ht="30" customHeight="1" x14ac:dyDescent="0.3">
      <c r="A269" s="5"/>
      <c r="B269" s="3"/>
      <c r="C269" s="3"/>
      <c r="D269" s="6"/>
      <c r="E269" s="8"/>
      <c r="F269" s="3"/>
      <c r="G269" s="3"/>
      <c r="H269" s="3"/>
    </row>
    <row r="270" spans="1:8" ht="30" customHeight="1" x14ac:dyDescent="0.3">
      <c r="A270" s="5"/>
      <c r="B270" s="3"/>
      <c r="C270" s="3"/>
      <c r="D270" s="6"/>
      <c r="E270" s="8"/>
      <c r="F270" s="3"/>
      <c r="G270" s="3"/>
      <c r="H270" s="3"/>
    </row>
    <row r="271" spans="1:8" ht="30" customHeight="1" x14ac:dyDescent="0.3">
      <c r="A271" s="5"/>
      <c r="B271" s="3"/>
      <c r="C271" s="3"/>
      <c r="D271" s="6"/>
      <c r="E271" s="8"/>
      <c r="F271" s="3"/>
      <c r="G271" s="3"/>
      <c r="H271" s="3"/>
    </row>
    <row r="272" spans="1:8" ht="30" customHeight="1" x14ac:dyDescent="0.3">
      <c r="A272" s="5"/>
      <c r="B272" s="3"/>
      <c r="C272" s="3"/>
      <c r="D272" s="6"/>
      <c r="E272" s="8"/>
      <c r="F272" s="3"/>
      <c r="G272" s="3"/>
      <c r="H272" s="3"/>
    </row>
    <row r="273" spans="1:8" ht="30" customHeight="1" x14ac:dyDescent="0.3">
      <c r="A273" s="5"/>
      <c r="B273" s="3"/>
      <c r="C273" s="3"/>
      <c r="D273" s="6"/>
      <c r="E273" s="8"/>
      <c r="F273" s="3"/>
      <c r="G273" s="3"/>
      <c r="H273" s="3"/>
    </row>
    <row r="274" spans="1:8" ht="30" customHeight="1" x14ac:dyDescent="0.3">
      <c r="A274" s="5"/>
      <c r="B274" s="3"/>
      <c r="C274" s="3"/>
      <c r="D274" s="6"/>
      <c r="E274" s="8"/>
      <c r="F274" s="3"/>
      <c r="G274" s="3"/>
      <c r="H274" s="3"/>
    </row>
    <row r="275" spans="1:8" ht="30" customHeight="1" x14ac:dyDescent="0.3">
      <c r="A275" s="3"/>
      <c r="B275" s="3"/>
      <c r="C275" s="3"/>
      <c r="D275" s="6"/>
      <c r="E275" s="8"/>
      <c r="F275" s="3"/>
      <c r="G275" s="3"/>
      <c r="H275" s="3"/>
    </row>
    <row r="276" spans="1:8" ht="30" customHeight="1" x14ac:dyDescent="0.3">
      <c r="A276" s="3"/>
      <c r="B276" s="3"/>
      <c r="C276" s="3"/>
      <c r="D276" s="6"/>
      <c r="E276" s="8"/>
      <c r="F276" s="3"/>
      <c r="G276" s="3"/>
      <c r="H276" s="3"/>
    </row>
    <row r="277" spans="1:8" ht="30" customHeight="1" x14ac:dyDescent="0.3">
      <c r="A277" s="3"/>
      <c r="B277" s="3"/>
      <c r="C277" s="3"/>
      <c r="D277" s="6"/>
      <c r="E277" s="8"/>
      <c r="F277" s="3"/>
      <c r="G277" s="3"/>
      <c r="H277" s="3"/>
    </row>
    <row r="278" spans="1:8" ht="30" customHeight="1" x14ac:dyDescent="0.3">
      <c r="A278" s="3"/>
      <c r="B278" s="3"/>
      <c r="C278" s="3"/>
      <c r="D278" s="6"/>
      <c r="E278" s="8"/>
      <c r="F278" s="3"/>
      <c r="G278" s="3"/>
      <c r="H278" s="3"/>
    </row>
    <row r="279" spans="1:8" ht="30" customHeight="1" x14ac:dyDescent="0.3">
      <c r="A279" s="3"/>
      <c r="B279" s="3"/>
      <c r="C279" s="3"/>
      <c r="D279" s="6"/>
      <c r="E279" s="8"/>
      <c r="F279" s="3"/>
      <c r="G279" s="3"/>
      <c r="H279" s="3"/>
    </row>
    <row r="280" spans="1:8" ht="30" customHeight="1" x14ac:dyDescent="0.3">
      <c r="A280" s="3"/>
      <c r="B280" s="3"/>
      <c r="C280" s="3"/>
      <c r="D280" s="6"/>
      <c r="E280" s="8"/>
      <c r="F280" s="3"/>
      <c r="G280" s="3"/>
      <c r="H280" s="3"/>
    </row>
    <row r="281" spans="1:8" ht="30" customHeight="1" x14ac:dyDescent="0.3">
      <c r="A281" s="3"/>
      <c r="B281" s="3"/>
      <c r="C281" s="3"/>
      <c r="D281" s="3"/>
      <c r="E281" s="8"/>
      <c r="F281" s="3"/>
      <c r="G281" s="3"/>
      <c r="H281" s="3"/>
    </row>
    <row r="282" spans="1:8" ht="30" customHeight="1" x14ac:dyDescent="0.3">
      <c r="A282" s="3"/>
      <c r="B282" s="3"/>
      <c r="C282" s="3"/>
      <c r="D282" s="3"/>
      <c r="E282" s="8"/>
      <c r="F282" s="3"/>
      <c r="G282" s="3"/>
      <c r="H282" s="3"/>
    </row>
    <row r="283" spans="1:8" x14ac:dyDescent="0.3">
      <c r="A283" s="3"/>
      <c r="B283" s="3"/>
      <c r="C283" s="3"/>
      <c r="D283" s="3"/>
      <c r="E283" s="3"/>
      <c r="F283" s="3"/>
      <c r="G283" s="3"/>
      <c r="H283" s="3"/>
    </row>
    <row r="284" spans="1:8" x14ac:dyDescent="0.3">
      <c r="A284" s="3"/>
      <c r="B284" s="3"/>
      <c r="C284" s="3"/>
      <c r="D284" s="3"/>
      <c r="E284" s="3"/>
      <c r="F284" s="3"/>
      <c r="G284" s="3"/>
      <c r="H284" s="3"/>
    </row>
    <row r="285" spans="1:8" x14ac:dyDescent="0.3">
      <c r="A285" s="3"/>
      <c r="B285" s="3"/>
      <c r="C285" s="3"/>
      <c r="D285" s="3"/>
      <c r="E285" s="3"/>
      <c r="F285" s="3"/>
      <c r="G285" s="3"/>
      <c r="H285" s="3"/>
    </row>
    <row r="286" spans="1:8" x14ac:dyDescent="0.3">
      <c r="A286" s="3"/>
      <c r="B286" s="3"/>
      <c r="C286" s="3"/>
      <c r="D286" s="3"/>
      <c r="E286" s="3"/>
      <c r="F286" s="3"/>
      <c r="G286" s="3"/>
      <c r="H286" s="3"/>
    </row>
    <row r="287" spans="1:8" x14ac:dyDescent="0.3">
      <c r="A287" s="3"/>
      <c r="B287" s="3"/>
      <c r="C287" s="3"/>
      <c r="D287" s="3"/>
      <c r="E287" s="3"/>
      <c r="F287" s="3"/>
      <c r="G287" s="3"/>
      <c r="H287" s="3"/>
    </row>
    <row r="288" spans="1:8" x14ac:dyDescent="0.3">
      <c r="A288" s="3"/>
      <c r="B288" s="3"/>
      <c r="C288" s="3"/>
      <c r="D288" s="3"/>
      <c r="E288" s="3"/>
      <c r="F288" s="3"/>
      <c r="G288" s="3"/>
      <c r="H288" s="3"/>
    </row>
    <row r="289" spans="1:8" x14ac:dyDescent="0.3">
      <c r="A289" s="3"/>
      <c r="B289" s="3"/>
      <c r="C289" s="3"/>
      <c r="D289" s="3"/>
      <c r="E289" s="3"/>
      <c r="F289" s="3"/>
      <c r="G289" s="3"/>
      <c r="H289" s="3"/>
    </row>
    <row r="290" spans="1:8" x14ac:dyDescent="0.3">
      <c r="A290" s="3"/>
      <c r="B290" s="3"/>
      <c r="C290" s="3"/>
      <c r="D290" s="3"/>
      <c r="E290" s="3"/>
      <c r="F290" s="3"/>
      <c r="G290" s="3"/>
      <c r="H290" s="3"/>
    </row>
    <row r="291" spans="1:8" x14ac:dyDescent="0.3">
      <c r="A291" s="3"/>
      <c r="B291" s="3"/>
      <c r="C291" s="3"/>
      <c r="D291" s="3"/>
      <c r="E291" s="3"/>
      <c r="F291" s="3"/>
      <c r="G291" s="3"/>
      <c r="H291" s="3"/>
    </row>
    <row r="292" spans="1:8" x14ac:dyDescent="0.3">
      <c r="A292" s="3"/>
      <c r="B292" s="3"/>
      <c r="C292" s="3"/>
      <c r="D292" s="3"/>
      <c r="E292" s="3"/>
      <c r="F292" s="3"/>
      <c r="G292" s="3"/>
      <c r="H292" s="3"/>
    </row>
    <row r="293" spans="1:8" x14ac:dyDescent="0.3">
      <c r="A293" s="3"/>
      <c r="B293" s="3"/>
      <c r="C293" s="3"/>
      <c r="D293" s="3"/>
      <c r="E293" s="3"/>
      <c r="F293" s="3"/>
      <c r="G293" s="3"/>
      <c r="H293" s="3"/>
    </row>
    <row r="294" spans="1:8" x14ac:dyDescent="0.3">
      <c r="A294" s="3"/>
      <c r="B294" s="3"/>
      <c r="C294" s="3"/>
      <c r="D294" s="3"/>
      <c r="E294" s="3"/>
      <c r="F294" s="3"/>
      <c r="G294" s="3"/>
      <c r="H294" s="3"/>
    </row>
    <row r="295" spans="1:8" x14ac:dyDescent="0.3">
      <c r="A295" s="3"/>
      <c r="B295" s="3"/>
      <c r="C295" s="3"/>
      <c r="D295" s="3"/>
      <c r="E295" s="3"/>
      <c r="F295" s="3"/>
      <c r="G295" s="3"/>
      <c r="H295" s="3"/>
    </row>
    <row r="296" spans="1:8" x14ac:dyDescent="0.3">
      <c r="A296" s="3"/>
      <c r="B296" s="3"/>
      <c r="C296" s="3"/>
      <c r="D296" s="3"/>
      <c r="E296" s="3"/>
      <c r="F296" s="3"/>
      <c r="G296" s="3"/>
      <c r="H296" s="3"/>
    </row>
    <row r="297" spans="1:8" x14ac:dyDescent="0.3">
      <c r="A297" s="3"/>
      <c r="B297" s="3"/>
      <c r="C297" s="3"/>
      <c r="D297" s="3"/>
      <c r="E297" s="3"/>
      <c r="F297" s="3"/>
      <c r="G297" s="3"/>
      <c r="H297" s="3"/>
    </row>
    <row r="298" spans="1:8" x14ac:dyDescent="0.3">
      <c r="A298" s="3"/>
      <c r="B298" s="3"/>
      <c r="C298" s="3"/>
      <c r="D298" s="3"/>
      <c r="E298" s="3"/>
      <c r="F298" s="3"/>
      <c r="G298" s="3"/>
      <c r="H298" s="3"/>
    </row>
    <row r="299" spans="1:8" x14ac:dyDescent="0.3">
      <c r="A299" s="3"/>
      <c r="B299" s="3"/>
      <c r="C299" s="3"/>
      <c r="D299" s="3"/>
      <c r="E299" s="3"/>
      <c r="F299" s="3"/>
      <c r="G299" s="3"/>
      <c r="H299" s="3"/>
    </row>
    <row r="300" spans="1:8" x14ac:dyDescent="0.3">
      <c r="A300" s="3"/>
      <c r="B300" s="3"/>
      <c r="C300" s="3"/>
      <c r="D300" s="3"/>
      <c r="E300" s="3"/>
      <c r="F300" s="3"/>
      <c r="G300" s="3"/>
      <c r="H300" s="3"/>
    </row>
    <row r="301" spans="1:8" x14ac:dyDescent="0.3">
      <c r="A301" s="3"/>
      <c r="B301" s="3"/>
      <c r="C301" s="3"/>
      <c r="D301" s="3"/>
      <c r="E301" s="3"/>
      <c r="F301" s="3"/>
      <c r="G301" s="3"/>
      <c r="H301" s="3"/>
    </row>
    <row r="302" spans="1:8" x14ac:dyDescent="0.3">
      <c r="A302" s="3"/>
      <c r="B302" s="3"/>
      <c r="C302" s="3"/>
      <c r="D302" s="3"/>
      <c r="E302" s="3"/>
      <c r="F302" s="3"/>
      <c r="G302" s="3"/>
      <c r="H302" s="3"/>
    </row>
    <row r="303" spans="1:8" x14ac:dyDescent="0.3">
      <c r="A303" s="3"/>
      <c r="B303" s="3"/>
      <c r="C303" s="3"/>
      <c r="D303" s="3"/>
      <c r="E303" s="3"/>
      <c r="F303" s="3"/>
      <c r="G303" s="3"/>
      <c r="H303" s="3"/>
    </row>
    <row r="304" spans="1:8" x14ac:dyDescent="0.3">
      <c r="A304" s="3"/>
      <c r="B304" s="3"/>
      <c r="C304" s="3"/>
      <c r="D304" s="3"/>
      <c r="E304" s="3"/>
      <c r="F304" s="3"/>
      <c r="G304" s="3"/>
      <c r="H304" s="3"/>
    </row>
    <row r="305" spans="1:8" x14ac:dyDescent="0.3">
      <c r="A305" s="3"/>
      <c r="B305" s="3"/>
      <c r="C305" s="3"/>
      <c r="D305" s="3"/>
      <c r="E305" s="3"/>
      <c r="F305" s="3"/>
      <c r="G305" s="3"/>
      <c r="H305" s="3"/>
    </row>
    <row r="306" spans="1:8" x14ac:dyDescent="0.3">
      <c r="A306" s="3"/>
      <c r="B306" s="3"/>
      <c r="C306" s="3"/>
      <c r="D306" s="3"/>
      <c r="E306" s="3"/>
      <c r="F306" s="3"/>
      <c r="G306" s="3"/>
      <c r="H306" s="3"/>
    </row>
    <row r="307" spans="1:8" x14ac:dyDescent="0.3">
      <c r="A307" s="3"/>
      <c r="B307" s="3"/>
      <c r="C307" s="3"/>
      <c r="D307" s="3"/>
      <c r="E307" s="3"/>
      <c r="F307" s="3"/>
      <c r="G307" s="3"/>
      <c r="H307" s="3"/>
    </row>
    <row r="308" spans="1:8" x14ac:dyDescent="0.3">
      <c r="A308" s="3"/>
      <c r="B308" s="3"/>
      <c r="C308" s="3"/>
      <c r="D308" s="3"/>
      <c r="E308" s="3"/>
      <c r="F308" s="3"/>
      <c r="G308" s="3"/>
      <c r="H308" s="3"/>
    </row>
    <row r="309" spans="1:8" x14ac:dyDescent="0.3">
      <c r="A309" s="3"/>
      <c r="B309" s="3"/>
      <c r="C309" s="3"/>
      <c r="D309" s="3"/>
      <c r="E309" s="3"/>
      <c r="F309" s="3"/>
      <c r="G309" s="3"/>
      <c r="H309" s="3"/>
    </row>
    <row r="310" spans="1:8" x14ac:dyDescent="0.3">
      <c r="A310" s="3"/>
      <c r="B310" s="3"/>
      <c r="C310" s="3"/>
      <c r="D310" s="3"/>
      <c r="E310" s="3"/>
      <c r="F310" s="3"/>
      <c r="G310" s="3"/>
      <c r="H310" s="3"/>
    </row>
    <row r="311" spans="1:8" x14ac:dyDescent="0.3">
      <c r="A311" s="3"/>
      <c r="B311" s="3"/>
      <c r="C311" s="3"/>
      <c r="D311" s="3"/>
      <c r="E311" s="3"/>
      <c r="F311" s="3"/>
      <c r="G311" s="3"/>
      <c r="H311" s="3"/>
    </row>
    <row r="312" spans="1:8" x14ac:dyDescent="0.3">
      <c r="A312" s="3"/>
      <c r="B312" s="3"/>
      <c r="C312" s="3"/>
      <c r="D312" s="3"/>
      <c r="E312" s="3"/>
      <c r="F312" s="3"/>
      <c r="G312" s="3"/>
      <c r="H312" s="3"/>
    </row>
    <row r="313" spans="1:8" x14ac:dyDescent="0.3">
      <c r="A313" s="3"/>
      <c r="B313" s="3"/>
      <c r="C313" s="3"/>
      <c r="D313" s="3"/>
      <c r="E313" s="3"/>
      <c r="F313" s="3"/>
      <c r="G313" s="3"/>
      <c r="H313" s="3"/>
    </row>
    <row r="314" spans="1:8" x14ac:dyDescent="0.3">
      <c r="A314" s="3"/>
      <c r="B314" s="3"/>
      <c r="C314" s="3"/>
      <c r="D314" s="3"/>
      <c r="E314" s="3"/>
      <c r="F314" s="3"/>
      <c r="G314" s="3"/>
      <c r="H314" s="3"/>
    </row>
    <row r="315" spans="1:8" x14ac:dyDescent="0.3">
      <c r="A315" s="3"/>
      <c r="B315" s="3"/>
      <c r="C315" s="3"/>
      <c r="D315" s="3"/>
      <c r="E315" s="3"/>
      <c r="F315" s="3"/>
      <c r="G315" s="3"/>
      <c r="H315" s="3"/>
    </row>
    <row r="316" spans="1:8" x14ac:dyDescent="0.3">
      <c r="A316" s="3"/>
      <c r="B316" s="3"/>
      <c r="C316" s="3"/>
      <c r="D316" s="3"/>
      <c r="E316" s="3"/>
      <c r="F316" s="3"/>
      <c r="G316" s="3"/>
      <c r="H316" s="3"/>
    </row>
    <row r="317" spans="1:8" x14ac:dyDescent="0.3">
      <c r="A317" s="3"/>
      <c r="B317" s="3"/>
      <c r="C317" s="3"/>
      <c r="D317" s="3"/>
      <c r="E317" s="3"/>
      <c r="F317" s="3"/>
      <c r="G317" s="3"/>
      <c r="H317" s="3"/>
    </row>
    <row r="318" spans="1:8" x14ac:dyDescent="0.3">
      <c r="A318" s="3"/>
      <c r="B318" s="3"/>
      <c r="C318" s="3"/>
      <c r="D318" s="3"/>
      <c r="E318" s="3"/>
      <c r="F318" s="3"/>
      <c r="G318" s="3"/>
      <c r="H318" s="3"/>
    </row>
    <row r="319" spans="1:8" x14ac:dyDescent="0.3">
      <c r="A319" s="3"/>
      <c r="B319" s="3"/>
      <c r="C319" s="3"/>
      <c r="D319" s="3"/>
      <c r="E319" s="3"/>
      <c r="F319" s="3"/>
      <c r="G319" s="3"/>
      <c r="H319" s="3"/>
    </row>
    <row r="320" spans="1:8" x14ac:dyDescent="0.3">
      <c r="A320" s="3"/>
      <c r="B320" s="3"/>
      <c r="C320" s="3"/>
      <c r="D320" s="3"/>
      <c r="E320" s="3"/>
      <c r="F320" s="3"/>
      <c r="G320" s="3"/>
      <c r="H320" s="3"/>
    </row>
    <row r="321" spans="1:8" x14ac:dyDescent="0.3">
      <c r="A321" s="3"/>
      <c r="B321" s="3"/>
      <c r="C321" s="3"/>
      <c r="D321" s="3"/>
      <c r="E321" s="3"/>
      <c r="F321" s="3"/>
      <c r="G321" s="3"/>
      <c r="H321" s="3"/>
    </row>
    <row r="322" spans="1:8" x14ac:dyDescent="0.3">
      <c r="A322" s="3"/>
      <c r="B322" s="3"/>
      <c r="C322" s="3"/>
      <c r="D322" s="3"/>
      <c r="E322" s="3"/>
      <c r="F322" s="3"/>
      <c r="G322" s="3"/>
      <c r="H322" s="3"/>
    </row>
    <row r="323" spans="1:8" x14ac:dyDescent="0.3">
      <c r="A323" s="3"/>
      <c r="B323" s="3"/>
      <c r="C323" s="3"/>
      <c r="D323" s="3"/>
      <c r="E323" s="3"/>
      <c r="F323" s="3"/>
      <c r="G323" s="3"/>
      <c r="H323" s="3"/>
    </row>
    <row r="324" spans="1:8" x14ac:dyDescent="0.3">
      <c r="A324" s="3"/>
      <c r="B324" s="3"/>
      <c r="C324" s="3"/>
      <c r="D324" s="3"/>
      <c r="E324" s="3"/>
      <c r="F324" s="3"/>
      <c r="G324" s="3"/>
      <c r="H324" s="3"/>
    </row>
    <row r="325" spans="1:8" x14ac:dyDescent="0.3">
      <c r="A325" s="3"/>
      <c r="B325" s="3"/>
      <c r="C325" s="3"/>
      <c r="D325" s="3"/>
      <c r="E325" s="3"/>
      <c r="F325" s="3"/>
      <c r="G325" s="3"/>
      <c r="H325" s="3"/>
    </row>
    <row r="326" spans="1:8" x14ac:dyDescent="0.3">
      <c r="A326" s="3"/>
      <c r="B326" s="3"/>
      <c r="C326" s="3"/>
      <c r="D326" s="3"/>
      <c r="E326" s="3"/>
      <c r="F326" s="3"/>
      <c r="G326" s="3"/>
      <c r="H326" s="3"/>
    </row>
    <row r="327" spans="1:8" x14ac:dyDescent="0.3">
      <c r="A327" s="3"/>
      <c r="B327" s="3"/>
      <c r="C327" s="3"/>
      <c r="D327" s="3"/>
      <c r="E327" s="3"/>
      <c r="F327" s="3"/>
      <c r="G327" s="3"/>
      <c r="H327" s="3"/>
    </row>
    <row r="328" spans="1:8" x14ac:dyDescent="0.3">
      <c r="A328" s="3"/>
      <c r="B328" s="3"/>
      <c r="C328" s="3"/>
      <c r="D328" s="3"/>
      <c r="E328" s="3"/>
      <c r="F328" s="3"/>
      <c r="G328" s="3"/>
      <c r="H328" s="3"/>
    </row>
    <row r="329" spans="1:8" x14ac:dyDescent="0.3">
      <c r="A329" s="3"/>
      <c r="B329" s="3"/>
      <c r="C329" s="3"/>
      <c r="D329" s="3"/>
      <c r="E329" s="3"/>
      <c r="F329" s="3"/>
      <c r="G329" s="3"/>
      <c r="H329" s="3"/>
    </row>
    <row r="330" spans="1:8" x14ac:dyDescent="0.3">
      <c r="A330" s="3"/>
      <c r="B330" s="3"/>
      <c r="C330" s="3"/>
      <c r="D330" s="3"/>
      <c r="E330" s="3"/>
      <c r="F330" s="3"/>
      <c r="G330" s="3"/>
      <c r="H330" s="3"/>
    </row>
    <row r="331" spans="1:8" x14ac:dyDescent="0.3">
      <c r="A331" s="3"/>
      <c r="B331" s="3"/>
      <c r="C331" s="3"/>
      <c r="D331" s="3"/>
      <c r="E331" s="3"/>
      <c r="F331" s="3"/>
      <c r="G331" s="3"/>
      <c r="H331" s="3"/>
    </row>
    <row r="332" spans="1:8" x14ac:dyDescent="0.3">
      <c r="A332" s="3"/>
      <c r="B332" s="3"/>
      <c r="C332" s="3"/>
      <c r="D332" s="3"/>
      <c r="E332" s="3"/>
      <c r="F332" s="3"/>
      <c r="G332" s="3"/>
      <c r="H332" s="3"/>
    </row>
    <row r="333" spans="1:8" x14ac:dyDescent="0.3">
      <c r="A333" s="3"/>
      <c r="B333" s="3"/>
      <c r="C333" s="3"/>
      <c r="D333" s="3"/>
      <c r="E333" s="3"/>
      <c r="F333" s="3"/>
      <c r="G333" s="3"/>
      <c r="H333" s="3"/>
    </row>
    <row r="334" spans="1:8" x14ac:dyDescent="0.3">
      <c r="A334" s="3"/>
      <c r="B334" s="3"/>
      <c r="C334" s="3"/>
      <c r="D334" s="3"/>
      <c r="E334" s="3"/>
      <c r="F334" s="3"/>
      <c r="G334" s="3"/>
      <c r="H334" s="3"/>
    </row>
    <row r="335" spans="1:8" x14ac:dyDescent="0.3">
      <c r="A335" s="3"/>
      <c r="B335" s="3"/>
      <c r="C335" s="3"/>
      <c r="D335" s="3"/>
      <c r="E335" s="3"/>
      <c r="F335" s="3"/>
      <c r="G335" s="3"/>
      <c r="H335" s="3"/>
    </row>
    <row r="336" spans="1:8" x14ac:dyDescent="0.3">
      <c r="A336" s="3"/>
      <c r="B336" s="3"/>
      <c r="C336" s="3"/>
      <c r="D336" s="3"/>
      <c r="E336" s="3"/>
      <c r="F336" s="3"/>
      <c r="G336" s="3"/>
      <c r="H336" s="3"/>
    </row>
    <row r="337" spans="1:8" x14ac:dyDescent="0.3">
      <c r="A337" s="3"/>
      <c r="B337" s="3"/>
      <c r="C337" s="3"/>
      <c r="D337" s="3"/>
      <c r="E337" s="3"/>
      <c r="F337" s="3"/>
      <c r="G337" s="3"/>
      <c r="H337" s="3"/>
    </row>
    <row r="338" spans="1:8" x14ac:dyDescent="0.3">
      <c r="A338" s="3"/>
      <c r="B338" s="3"/>
      <c r="C338" s="3"/>
      <c r="D338" s="3"/>
      <c r="E338" s="3"/>
      <c r="F338" s="3"/>
      <c r="G338" s="3"/>
      <c r="H338" s="3"/>
    </row>
    <row r="339" spans="1:8" x14ac:dyDescent="0.3">
      <c r="A339" s="3"/>
      <c r="B339" s="3"/>
      <c r="C339" s="3"/>
      <c r="D339" s="3"/>
      <c r="E339" s="3"/>
      <c r="F339" s="3"/>
      <c r="G339" s="3"/>
      <c r="H339" s="3"/>
    </row>
    <row r="340" spans="1:8" x14ac:dyDescent="0.3">
      <c r="A340" s="3"/>
      <c r="B340" s="3"/>
      <c r="C340" s="3"/>
      <c r="D340" s="3"/>
      <c r="E340" s="3"/>
      <c r="F340" s="3"/>
      <c r="G340" s="3"/>
      <c r="H340" s="3"/>
    </row>
    <row r="341" spans="1:8" x14ac:dyDescent="0.3">
      <c r="A341" s="3"/>
      <c r="B341" s="3"/>
      <c r="C341" s="3"/>
      <c r="D341" s="3"/>
      <c r="E341" s="3"/>
      <c r="F341" s="3"/>
      <c r="G341" s="3"/>
      <c r="H341" s="3"/>
    </row>
    <row r="342" spans="1:8" x14ac:dyDescent="0.3">
      <c r="A342" s="3"/>
      <c r="B342" s="3"/>
      <c r="C342" s="3"/>
      <c r="D342" s="3"/>
      <c r="E342" s="3"/>
      <c r="F342" s="3"/>
      <c r="G342" s="3"/>
      <c r="H342" s="3"/>
    </row>
    <row r="343" spans="1:8" x14ac:dyDescent="0.3">
      <c r="A343" s="3"/>
      <c r="B343" s="3"/>
      <c r="C343" s="3"/>
      <c r="D343" s="3"/>
      <c r="E343" s="3"/>
      <c r="F343" s="3"/>
      <c r="G343" s="3"/>
      <c r="H343" s="3"/>
    </row>
    <row r="344" spans="1:8" x14ac:dyDescent="0.3">
      <c r="A344" s="3"/>
      <c r="B344" s="3"/>
      <c r="C344" s="3"/>
      <c r="D344" s="3"/>
      <c r="E344" s="3"/>
      <c r="F344" s="3"/>
      <c r="G344" s="3"/>
      <c r="H344" s="3"/>
    </row>
    <row r="345" spans="1:8" x14ac:dyDescent="0.3">
      <c r="A345" s="3"/>
      <c r="B345" s="3"/>
      <c r="C345" s="3"/>
      <c r="D345" s="3"/>
      <c r="E345" s="3"/>
      <c r="F345" s="3"/>
      <c r="G345" s="3"/>
      <c r="H345" s="3"/>
    </row>
    <row r="346" spans="1:8" x14ac:dyDescent="0.3">
      <c r="A346" s="3"/>
      <c r="B346" s="3"/>
      <c r="C346" s="3"/>
      <c r="D346" s="3"/>
      <c r="E346" s="3"/>
      <c r="F346" s="3"/>
      <c r="G346" s="3"/>
      <c r="H346" s="3"/>
    </row>
    <row r="347" spans="1:8" x14ac:dyDescent="0.3">
      <c r="A347" s="3"/>
      <c r="B347" s="3"/>
      <c r="C347" s="3"/>
      <c r="D347" s="3"/>
      <c r="E347" s="3"/>
      <c r="F347" s="3"/>
      <c r="G347" s="3"/>
      <c r="H347" s="3"/>
    </row>
    <row r="348" spans="1:8" x14ac:dyDescent="0.3">
      <c r="A348" s="3"/>
      <c r="B348" s="3"/>
      <c r="C348" s="3"/>
      <c r="D348" s="3"/>
      <c r="E348" s="3"/>
      <c r="F348" s="3"/>
      <c r="G348" s="3"/>
      <c r="H348" s="3"/>
    </row>
    <row r="349" spans="1:8" x14ac:dyDescent="0.3">
      <c r="A349" s="3"/>
      <c r="B349" s="3"/>
      <c r="C349" s="3"/>
      <c r="D349" s="3"/>
      <c r="E349" s="3"/>
      <c r="F349" s="3"/>
      <c r="G349" s="3"/>
      <c r="H349" s="3"/>
    </row>
    <row r="350" spans="1:8" x14ac:dyDescent="0.3">
      <c r="A350" s="3"/>
      <c r="B350" s="3"/>
      <c r="C350" s="3"/>
      <c r="D350" s="3"/>
      <c r="E350" s="3"/>
      <c r="F350" s="3"/>
      <c r="G350" s="3"/>
      <c r="H350" s="3"/>
    </row>
    <row r="351" spans="1:8" x14ac:dyDescent="0.3">
      <c r="A351" s="3"/>
      <c r="B351" s="3"/>
      <c r="C351" s="3"/>
      <c r="D351" s="3"/>
      <c r="E351" s="3"/>
      <c r="F351" s="3"/>
      <c r="G351" s="3"/>
      <c r="H351" s="3"/>
    </row>
    <row r="352" spans="1:8" x14ac:dyDescent="0.3">
      <c r="A352" s="3"/>
      <c r="B352" s="3"/>
      <c r="C352" s="3"/>
      <c r="D352" s="3"/>
      <c r="E352" s="3"/>
      <c r="F352" s="3"/>
      <c r="G352" s="3"/>
      <c r="H352" s="3"/>
    </row>
    <row r="353" spans="1:8" x14ac:dyDescent="0.3">
      <c r="A353" s="3"/>
      <c r="B353" s="3"/>
      <c r="C353" s="3"/>
      <c r="D353" s="3"/>
      <c r="E353" s="3"/>
      <c r="F353" s="3"/>
      <c r="G353" s="3"/>
      <c r="H353" s="3"/>
    </row>
    <row r="354" spans="1:8" x14ac:dyDescent="0.3">
      <c r="A354" s="3"/>
      <c r="B354" s="3"/>
      <c r="C354" s="3"/>
      <c r="D354" s="3"/>
      <c r="E354" s="3"/>
      <c r="F354" s="3"/>
      <c r="G354" s="3"/>
      <c r="H354" s="3"/>
    </row>
    <row r="355" spans="1:8" x14ac:dyDescent="0.3">
      <c r="A355" s="3"/>
      <c r="B355" s="3"/>
      <c r="C355" s="3"/>
      <c r="D355" s="3"/>
      <c r="E355" s="3"/>
      <c r="F355" s="3"/>
      <c r="G355" s="3"/>
      <c r="H355" s="3"/>
    </row>
    <row r="356" spans="1:8" x14ac:dyDescent="0.3">
      <c r="A356" s="3"/>
      <c r="B356" s="3"/>
      <c r="C356" s="3"/>
      <c r="D356" s="3"/>
      <c r="E356" s="3"/>
      <c r="F356" s="3"/>
      <c r="G356" s="3"/>
      <c r="H356" s="3"/>
    </row>
    <row r="357" spans="1:8" x14ac:dyDescent="0.3">
      <c r="A357" s="3"/>
      <c r="B357" s="3"/>
      <c r="C357" s="3"/>
      <c r="D357" s="3"/>
      <c r="E357" s="3"/>
      <c r="F357" s="3"/>
      <c r="G357" s="3"/>
      <c r="H357" s="3"/>
    </row>
    <row r="358" spans="1:8" x14ac:dyDescent="0.3">
      <c r="A358" s="3"/>
      <c r="B358" s="3"/>
      <c r="C358" s="3"/>
      <c r="D358" s="3"/>
      <c r="E358" s="3"/>
      <c r="F358" s="3"/>
      <c r="G358" s="3"/>
      <c r="H358" s="3"/>
    </row>
    <row r="359" spans="1:8" x14ac:dyDescent="0.3">
      <c r="A359" s="3"/>
      <c r="B359" s="3"/>
      <c r="C359" s="3"/>
      <c r="D359" s="3"/>
      <c r="E359" s="3"/>
      <c r="F359" s="3"/>
      <c r="G359" s="3"/>
      <c r="H359" s="3"/>
    </row>
    <row r="360" spans="1:8" x14ac:dyDescent="0.3">
      <c r="A360" s="3"/>
      <c r="B360" s="3"/>
      <c r="C360" s="3"/>
      <c r="D360" s="3"/>
      <c r="E360" s="3"/>
      <c r="F360" s="3"/>
      <c r="G360" s="3"/>
      <c r="H360" s="3"/>
    </row>
    <row r="361" spans="1:8" x14ac:dyDescent="0.3">
      <c r="A361" s="3"/>
      <c r="B361" s="3"/>
      <c r="C361" s="3"/>
      <c r="D361" s="3"/>
      <c r="E361" s="3"/>
      <c r="F361" s="3"/>
      <c r="G361" s="3"/>
      <c r="H361" s="3"/>
    </row>
    <row r="362" spans="1:8" x14ac:dyDescent="0.3">
      <c r="A362" s="3"/>
      <c r="B362" s="3"/>
      <c r="C362" s="3"/>
      <c r="D362" s="3"/>
      <c r="E362" s="3"/>
      <c r="F362" s="3"/>
      <c r="G362" s="3"/>
      <c r="H362" s="3"/>
    </row>
    <row r="363" spans="1:8" x14ac:dyDescent="0.3">
      <c r="A363" s="3"/>
      <c r="B363" s="3"/>
      <c r="C363" s="3"/>
      <c r="D363" s="3"/>
      <c r="E363" s="3"/>
      <c r="F363" s="3"/>
      <c r="G363" s="3"/>
      <c r="H363" s="3"/>
    </row>
    <row r="364" spans="1:8" x14ac:dyDescent="0.3">
      <c r="A364" s="3"/>
      <c r="B364" s="3"/>
      <c r="C364" s="3"/>
      <c r="D364" s="3"/>
      <c r="E364" s="3"/>
      <c r="F364" s="3"/>
      <c r="G364" s="3"/>
      <c r="H364" s="3"/>
    </row>
    <row r="365" spans="1:8" x14ac:dyDescent="0.3">
      <c r="A365" s="3"/>
      <c r="B365" s="3"/>
      <c r="C365" s="3"/>
      <c r="D365" s="3"/>
      <c r="E365" s="3"/>
      <c r="F365" s="3"/>
      <c r="G365" s="3"/>
      <c r="H365" s="3"/>
    </row>
    <row r="366" spans="1:8" x14ac:dyDescent="0.3">
      <c r="A366" s="3"/>
      <c r="B366" s="3"/>
      <c r="C366" s="3"/>
      <c r="D366" s="3"/>
      <c r="E366" s="3"/>
      <c r="F366" s="3"/>
      <c r="G366" s="3"/>
      <c r="H366" s="3"/>
    </row>
    <row r="367" spans="1:8" x14ac:dyDescent="0.3">
      <c r="A367" s="3"/>
      <c r="B367" s="3"/>
      <c r="C367" s="3"/>
      <c r="D367" s="3"/>
      <c r="E367" s="3"/>
      <c r="F367" s="3"/>
      <c r="G367" s="3"/>
      <c r="H367" s="3"/>
    </row>
    <row r="368" spans="1:8" x14ac:dyDescent="0.3">
      <c r="A368" s="3"/>
      <c r="B368" s="3"/>
      <c r="C368" s="3"/>
      <c r="D368" s="3"/>
      <c r="E368" s="3"/>
      <c r="F368" s="3"/>
      <c r="G368" s="3"/>
      <c r="H368" s="3"/>
    </row>
    <row r="369" spans="1:8" x14ac:dyDescent="0.3">
      <c r="A369" s="3"/>
      <c r="B369" s="3"/>
      <c r="C369" s="3"/>
      <c r="D369" s="3"/>
      <c r="E369" s="3"/>
      <c r="F369" s="3"/>
      <c r="G369" s="3"/>
      <c r="H369" s="3"/>
    </row>
    <row r="370" spans="1:8" x14ac:dyDescent="0.3">
      <c r="A370" s="3"/>
      <c r="B370" s="3"/>
      <c r="C370" s="3"/>
      <c r="D370" s="3"/>
      <c r="E370" s="3"/>
      <c r="F370" s="3"/>
      <c r="G370" s="3"/>
      <c r="H370" s="3"/>
    </row>
    <row r="371" spans="1:8" x14ac:dyDescent="0.3">
      <c r="A371" s="3"/>
      <c r="B371" s="3"/>
      <c r="C371" s="3"/>
      <c r="D371" s="3"/>
      <c r="E371" s="3"/>
      <c r="F371" s="3"/>
      <c r="G371" s="3"/>
      <c r="H371" s="3"/>
    </row>
    <row r="372" spans="1:8" x14ac:dyDescent="0.3">
      <c r="A372" s="3"/>
      <c r="B372" s="3"/>
      <c r="C372" s="3"/>
      <c r="D372" s="3"/>
      <c r="E372" s="3"/>
      <c r="F372" s="3"/>
      <c r="G372" s="3"/>
      <c r="H372" s="3"/>
    </row>
    <row r="373" spans="1:8" x14ac:dyDescent="0.3">
      <c r="A373" s="3"/>
      <c r="B373" s="3"/>
      <c r="C373" s="3"/>
      <c r="D373" s="3"/>
      <c r="E373" s="3"/>
      <c r="F373" s="3"/>
      <c r="G373" s="3"/>
      <c r="H373" s="3"/>
    </row>
    <row r="374" spans="1:8" x14ac:dyDescent="0.3">
      <c r="A374" s="3"/>
      <c r="B374" s="3"/>
      <c r="C374" s="3"/>
      <c r="D374" s="3"/>
      <c r="E374" s="3"/>
      <c r="F374" s="3"/>
      <c r="G374" s="3"/>
      <c r="H374" s="3"/>
    </row>
    <row r="375" spans="1:8" x14ac:dyDescent="0.3">
      <c r="A375" s="3"/>
      <c r="B375" s="3"/>
      <c r="C375" s="3"/>
      <c r="D375" s="3"/>
      <c r="E375" s="3"/>
      <c r="F375" s="3"/>
      <c r="G375" s="3"/>
      <c r="H375" s="3"/>
    </row>
    <row r="376" spans="1:8" x14ac:dyDescent="0.3">
      <c r="A376" s="3"/>
      <c r="B376" s="3"/>
      <c r="C376" s="3"/>
      <c r="D376" s="3"/>
      <c r="E376" s="3"/>
      <c r="F376" s="3"/>
      <c r="G376" s="3"/>
      <c r="H376" s="3"/>
    </row>
    <row r="377" spans="1:8" x14ac:dyDescent="0.3">
      <c r="A377" s="3"/>
      <c r="B377" s="3"/>
      <c r="C377" s="3"/>
      <c r="D377" s="3"/>
      <c r="E377" s="3"/>
      <c r="F377" s="3"/>
      <c r="G377" s="3"/>
      <c r="H377" s="3"/>
    </row>
    <row r="378" spans="1:8" x14ac:dyDescent="0.3">
      <c r="A378" s="3"/>
      <c r="B378" s="3"/>
      <c r="C378" s="3"/>
      <c r="D378" s="3"/>
      <c r="E378" s="3"/>
      <c r="F378" s="3"/>
      <c r="G378" s="3"/>
      <c r="H378" s="3"/>
    </row>
    <row r="379" spans="1:8" x14ac:dyDescent="0.3">
      <c r="A379" s="3"/>
      <c r="B379" s="3"/>
      <c r="C379" s="3"/>
      <c r="D379" s="3"/>
      <c r="E379" s="3"/>
      <c r="F379" s="3"/>
      <c r="G379" s="3"/>
      <c r="H379" s="3"/>
    </row>
    <row r="380" spans="1:8" x14ac:dyDescent="0.3">
      <c r="A380" s="3"/>
      <c r="B380" s="3"/>
      <c r="C380" s="3"/>
      <c r="D380" s="3"/>
      <c r="E380" s="3"/>
      <c r="F380" s="3"/>
      <c r="G380" s="3"/>
      <c r="H380" s="3"/>
    </row>
    <row r="381" spans="1:8" x14ac:dyDescent="0.3">
      <c r="A381" s="3"/>
      <c r="B381" s="3"/>
      <c r="C381" s="3"/>
      <c r="D381" s="3"/>
      <c r="E381" s="3"/>
      <c r="F381" s="3"/>
      <c r="G381" s="3"/>
      <c r="H381" s="3"/>
    </row>
    <row r="382" spans="1:8" x14ac:dyDescent="0.3">
      <c r="A382" s="3"/>
      <c r="B382" s="3"/>
      <c r="C382" s="3"/>
      <c r="D382" s="3"/>
      <c r="E382" s="3"/>
      <c r="F382" s="3"/>
      <c r="G382" s="3"/>
      <c r="H382" s="3"/>
    </row>
    <row r="383" spans="1:8" x14ac:dyDescent="0.3">
      <c r="A383" s="3"/>
      <c r="B383" s="3"/>
      <c r="C383" s="3"/>
      <c r="D383" s="3"/>
      <c r="E383" s="3"/>
      <c r="F383" s="3"/>
      <c r="G383" s="3"/>
      <c r="H383" s="3"/>
    </row>
    <row r="384" spans="1:8" x14ac:dyDescent="0.3">
      <c r="A384" s="3"/>
      <c r="B384" s="3"/>
      <c r="C384" s="3"/>
      <c r="D384" s="3"/>
      <c r="E384" s="3"/>
      <c r="F384" s="3"/>
      <c r="G384" s="3"/>
      <c r="H384" s="3"/>
    </row>
    <row r="385" spans="1:8" x14ac:dyDescent="0.3">
      <c r="A385" s="3"/>
      <c r="B385" s="3"/>
      <c r="C385" s="3"/>
      <c r="D385" s="3"/>
      <c r="E385" s="3"/>
      <c r="F385" s="3"/>
      <c r="G385" s="3"/>
      <c r="H385" s="3"/>
    </row>
    <row r="386" spans="1:8" x14ac:dyDescent="0.3">
      <c r="A386" s="3"/>
      <c r="B386" s="3"/>
      <c r="C386" s="3"/>
      <c r="D386" s="3"/>
      <c r="E386" s="3"/>
      <c r="F386" s="3"/>
      <c r="G386" s="3"/>
      <c r="H386" s="3"/>
    </row>
    <row r="387" spans="1:8" x14ac:dyDescent="0.3">
      <c r="A387" s="3"/>
      <c r="B387" s="3"/>
      <c r="C387" s="3"/>
      <c r="D387" s="3"/>
      <c r="E387" s="3"/>
      <c r="F387" s="3"/>
      <c r="G387" s="3"/>
      <c r="H387" s="3"/>
    </row>
    <row r="388" spans="1:8" x14ac:dyDescent="0.3">
      <c r="A388" s="3"/>
      <c r="B388" s="3"/>
      <c r="C388" s="3"/>
      <c r="D388" s="3"/>
      <c r="E388" s="3"/>
      <c r="F388" s="3"/>
      <c r="G388" s="3"/>
      <c r="H388" s="3"/>
    </row>
    <row r="389" spans="1:8" x14ac:dyDescent="0.3">
      <c r="A389" s="3"/>
      <c r="B389" s="3"/>
      <c r="C389" s="3"/>
      <c r="D389" s="3"/>
      <c r="E389" s="3"/>
      <c r="F389" s="3"/>
      <c r="G389" s="3"/>
      <c r="H389" s="3"/>
    </row>
    <row r="390" spans="1:8" x14ac:dyDescent="0.3">
      <c r="A390" s="3"/>
      <c r="B390" s="3"/>
      <c r="C390" s="3"/>
      <c r="D390" s="3"/>
      <c r="E390" s="3"/>
      <c r="F390" s="3"/>
      <c r="G390" s="3"/>
      <c r="H390" s="3"/>
    </row>
    <row r="391" spans="1:8" x14ac:dyDescent="0.3">
      <c r="A391" s="3"/>
      <c r="B391" s="3"/>
      <c r="C391" s="3"/>
      <c r="D391" s="3"/>
      <c r="E391" s="3"/>
      <c r="F391" s="3"/>
      <c r="G391" s="3"/>
      <c r="H391" s="3"/>
    </row>
    <row r="392" spans="1:8" x14ac:dyDescent="0.3">
      <c r="A392" s="3"/>
      <c r="B392" s="3"/>
      <c r="C392" s="3"/>
      <c r="D392" s="3"/>
      <c r="E392" s="3"/>
      <c r="F392" s="3"/>
      <c r="G392" s="3"/>
      <c r="H392" s="3"/>
    </row>
    <row r="393" spans="1:8" x14ac:dyDescent="0.3">
      <c r="A393" s="3"/>
      <c r="B393" s="3"/>
      <c r="C393" s="3"/>
      <c r="D393" s="3"/>
      <c r="E393" s="3"/>
      <c r="F393" s="3"/>
      <c r="G393" s="3"/>
      <c r="H393" s="3"/>
    </row>
    <row r="394" spans="1:8" x14ac:dyDescent="0.3">
      <c r="A394" s="3"/>
      <c r="B394" s="3"/>
      <c r="C394" s="3"/>
      <c r="D394" s="3"/>
      <c r="E394" s="3"/>
      <c r="F394" s="3"/>
      <c r="G394" s="3"/>
      <c r="H394" s="3"/>
    </row>
    <row r="395" spans="1:8" x14ac:dyDescent="0.3">
      <c r="A395" s="3"/>
      <c r="B395" s="3"/>
      <c r="C395" s="3"/>
      <c r="D395" s="3"/>
      <c r="E395" s="3"/>
      <c r="F395" s="3"/>
      <c r="G395" s="3"/>
      <c r="H395" s="3"/>
    </row>
    <row r="396" spans="1:8" x14ac:dyDescent="0.3">
      <c r="A396" s="3"/>
      <c r="B396" s="3"/>
      <c r="C396" s="3"/>
      <c r="D396" s="3"/>
      <c r="E396" s="3"/>
      <c r="F396" s="3"/>
      <c r="G396" s="3"/>
      <c r="H396" s="3"/>
    </row>
    <row r="397" spans="1:8" x14ac:dyDescent="0.3">
      <c r="A397" s="3"/>
      <c r="B397" s="3"/>
      <c r="C397" s="3"/>
      <c r="D397" s="3"/>
      <c r="E397" s="3"/>
      <c r="F397" s="3"/>
      <c r="G397" s="3"/>
      <c r="H397" s="3"/>
    </row>
    <row r="398" spans="1:8" x14ac:dyDescent="0.3">
      <c r="A398" s="3"/>
      <c r="B398" s="3"/>
      <c r="C398" s="3"/>
      <c r="D398" s="3"/>
      <c r="E398" s="3"/>
      <c r="F398" s="3"/>
      <c r="G398" s="3"/>
      <c r="H398" s="3"/>
    </row>
    <row r="399" spans="1:8" x14ac:dyDescent="0.3">
      <c r="A399" s="3"/>
      <c r="B399" s="3"/>
      <c r="C399" s="3"/>
      <c r="D399" s="3"/>
      <c r="E399" s="3"/>
      <c r="F399" s="3"/>
      <c r="G399" s="3"/>
      <c r="H399" s="3"/>
    </row>
    <row r="400" spans="1:8" x14ac:dyDescent="0.3">
      <c r="A400" s="3"/>
      <c r="B400" s="3"/>
      <c r="C400" s="3"/>
      <c r="D400" s="3"/>
      <c r="E400" s="3"/>
      <c r="F400" s="3"/>
      <c r="G400" s="3"/>
      <c r="H400" s="3"/>
    </row>
    <row r="401" spans="1:8" x14ac:dyDescent="0.3">
      <c r="A401" s="3"/>
      <c r="B401" s="3"/>
      <c r="C401" s="3"/>
      <c r="D401" s="3"/>
      <c r="E401" s="3"/>
      <c r="F401" s="3"/>
      <c r="G401" s="3"/>
      <c r="H401" s="3"/>
    </row>
    <row r="402" spans="1:8" x14ac:dyDescent="0.3">
      <c r="A402" s="3"/>
      <c r="B402" s="3"/>
      <c r="C402" s="3"/>
      <c r="D402" s="3"/>
      <c r="E402" s="3"/>
      <c r="F402" s="3"/>
      <c r="G402" s="3"/>
      <c r="H402" s="3"/>
    </row>
    <row r="403" spans="1:8" x14ac:dyDescent="0.3">
      <c r="A403" s="3"/>
      <c r="B403" s="3"/>
      <c r="C403" s="3"/>
      <c r="D403" s="3"/>
      <c r="E403" s="3"/>
      <c r="F403" s="3"/>
      <c r="G403" s="3"/>
      <c r="H403" s="3"/>
    </row>
    <row r="404" spans="1:8" x14ac:dyDescent="0.3">
      <c r="A404" s="3"/>
      <c r="B404" s="3"/>
      <c r="C404" s="3"/>
      <c r="D404" s="3"/>
      <c r="E404" s="3"/>
      <c r="F404" s="3"/>
      <c r="G404" s="3"/>
      <c r="H404" s="3"/>
    </row>
    <row r="405" spans="1:8" x14ac:dyDescent="0.3">
      <c r="A405" s="3"/>
      <c r="B405" s="3"/>
      <c r="C405" s="3"/>
      <c r="D405" s="3"/>
      <c r="E405" s="3"/>
      <c r="F405" s="3"/>
      <c r="G405" s="3"/>
      <c r="H405" s="3"/>
    </row>
    <row r="406" spans="1:8" x14ac:dyDescent="0.3">
      <c r="A406" s="3"/>
      <c r="B406" s="3"/>
      <c r="C406" s="3"/>
      <c r="D406" s="3"/>
      <c r="E406" s="3"/>
      <c r="F406" s="3"/>
      <c r="G406" s="3"/>
      <c r="H406" s="3"/>
    </row>
    <row r="407" spans="1:8" x14ac:dyDescent="0.3">
      <c r="A407" s="3"/>
      <c r="B407" s="3"/>
      <c r="C407" s="3"/>
      <c r="D407" s="3"/>
      <c r="E407" s="3"/>
      <c r="F407" s="3"/>
      <c r="G407" s="3"/>
      <c r="H407" s="3"/>
    </row>
    <row r="408" spans="1:8" x14ac:dyDescent="0.3">
      <c r="A408" s="3"/>
      <c r="B408" s="3"/>
      <c r="C408" s="3"/>
      <c r="D408" s="3"/>
      <c r="E408" s="3"/>
      <c r="F408" s="3"/>
      <c r="G408" s="3"/>
      <c r="H408" s="3"/>
    </row>
    <row r="409" spans="1:8" x14ac:dyDescent="0.3">
      <c r="A409" s="3"/>
      <c r="B409" s="3"/>
      <c r="C409" s="3"/>
      <c r="D409" s="3"/>
      <c r="E409" s="3"/>
      <c r="F409" s="3"/>
      <c r="G409" s="3"/>
      <c r="H409" s="3"/>
    </row>
    <row r="410" spans="1:8" x14ac:dyDescent="0.3">
      <c r="A410" s="3"/>
      <c r="B410" s="3"/>
      <c r="C410" s="3"/>
      <c r="D410" s="3"/>
      <c r="E410" s="3"/>
      <c r="F410" s="3"/>
      <c r="G410" s="3"/>
      <c r="H410" s="3"/>
    </row>
    <row r="411" spans="1:8" x14ac:dyDescent="0.3">
      <c r="A411" s="9"/>
      <c r="B411" s="9"/>
      <c r="C411" s="9"/>
      <c r="D411" s="9"/>
      <c r="E411" s="9"/>
      <c r="F411" s="9"/>
      <c r="G411" s="9"/>
      <c r="H411" s="9"/>
    </row>
    <row r="412" spans="1:8" x14ac:dyDescent="0.3">
      <c r="A412" s="9"/>
      <c r="B412" s="9"/>
      <c r="C412" s="9"/>
      <c r="D412" s="9"/>
      <c r="E412" s="9"/>
      <c r="F412" s="9"/>
      <c r="G412" s="9"/>
      <c r="H412" s="9"/>
    </row>
  </sheetData>
  <mergeCells count="8">
    <mergeCell ref="A1:H1"/>
    <mergeCell ref="A3:B3"/>
    <mergeCell ref="C3:C4"/>
    <mergeCell ref="D3:D4"/>
    <mergeCell ref="E3:E4"/>
    <mergeCell ref="F3:F4"/>
    <mergeCell ref="G3:G4"/>
    <mergeCell ref="H3:H4"/>
  </mergeCells>
  <phoneticPr fontId="5" type="noConversion"/>
  <pageMargins left="0.7" right="0.7" top="0.75" bottom="0.75" header="0.3" footer="0.3"/>
  <pageSetup orientation="portrait" horizontalDpi="360" verticalDpi="36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B2795-F089-47D3-AF82-508AB56ECEF0}">
  <dimension ref="A1"/>
  <sheetViews>
    <sheetView workbookViewId="0"/>
  </sheetViews>
  <sheetFormatPr defaultRowHeight="15" x14ac:dyDescent="0.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2E040-E0F5-46D8-BE74-DF13A231FE5F}">
  <dimension ref="A1:H412"/>
  <sheetViews>
    <sheetView topLeftCell="D1" zoomScale="70" zoomScaleNormal="70" workbookViewId="0">
      <pane ySplit="4" topLeftCell="A5" activePane="bottomLeft" state="frozen"/>
      <selection activeCell="D1" sqref="D1"/>
      <selection pane="bottomLeft" activeCell="G9" sqref="G9"/>
    </sheetView>
  </sheetViews>
  <sheetFormatPr defaultRowHeight="20.25" x14ac:dyDescent="0.3"/>
  <cols>
    <col min="1" max="2" width="20.7109375" style="1" customWidth="1"/>
    <col min="3" max="3" width="15.7109375" style="1" customWidth="1"/>
    <col min="4" max="7" width="80.7109375" style="1" customWidth="1"/>
    <col min="8" max="8" width="45.7109375" style="1" customWidth="1"/>
    <col min="9" max="16384" width="9.140625" style="1"/>
  </cols>
  <sheetData>
    <row r="1" spans="1:8" ht="30" x14ac:dyDescent="0.4">
      <c r="A1" s="109" t="s">
        <v>118</v>
      </c>
      <c r="B1" s="109"/>
      <c r="C1" s="109"/>
      <c r="D1" s="109"/>
      <c r="E1" s="109"/>
      <c r="F1" s="109"/>
      <c r="G1" s="109"/>
      <c r="H1" s="109"/>
    </row>
    <row r="3" spans="1:8" x14ac:dyDescent="0.3">
      <c r="A3" s="110" t="s">
        <v>1</v>
      </c>
      <c r="B3" s="110"/>
      <c r="C3" s="110" t="s">
        <v>4</v>
      </c>
      <c r="D3" s="110" t="s">
        <v>5</v>
      </c>
      <c r="E3" s="110" t="s">
        <v>1</v>
      </c>
      <c r="F3" s="110" t="s">
        <v>83</v>
      </c>
      <c r="G3" s="110"/>
      <c r="H3" s="110" t="s">
        <v>11</v>
      </c>
    </row>
    <row r="4" spans="1:8" x14ac:dyDescent="0.3">
      <c r="A4" s="4" t="s">
        <v>2</v>
      </c>
      <c r="B4" s="4" t="s">
        <v>3</v>
      </c>
      <c r="C4" s="110"/>
      <c r="D4" s="110"/>
      <c r="E4" s="110"/>
      <c r="F4" s="110"/>
      <c r="G4" s="110"/>
      <c r="H4" s="110"/>
    </row>
    <row r="5" spans="1:8" ht="30" customHeight="1" x14ac:dyDescent="0.3">
      <c r="A5" s="7" t="s">
        <v>324</v>
      </c>
      <c r="B5" s="8"/>
      <c r="C5" s="8"/>
      <c r="D5" s="6" t="s">
        <v>23</v>
      </c>
      <c r="E5" s="7" t="s">
        <v>356</v>
      </c>
      <c r="F5" s="23" t="s">
        <v>357</v>
      </c>
      <c r="G5" s="23" t="s">
        <v>358</v>
      </c>
      <c r="H5" s="9"/>
    </row>
    <row r="6" spans="1:8" ht="30" customHeight="1" x14ac:dyDescent="0.3">
      <c r="A6" s="7" t="s">
        <v>663</v>
      </c>
      <c r="B6" s="8"/>
      <c r="C6" s="8"/>
      <c r="D6" s="6" t="s">
        <v>673</v>
      </c>
      <c r="E6" s="7" t="s">
        <v>674</v>
      </c>
      <c r="F6" s="23" t="s">
        <v>357</v>
      </c>
      <c r="G6" s="23" t="s">
        <v>358</v>
      </c>
      <c r="H6" s="9"/>
    </row>
    <row r="7" spans="1:8" ht="30" customHeight="1" x14ac:dyDescent="0.3">
      <c r="A7" s="8"/>
      <c r="B7" s="8"/>
      <c r="C7" s="8"/>
      <c r="D7" s="6" t="s">
        <v>1448</v>
      </c>
      <c r="E7" s="7" t="s">
        <v>1449</v>
      </c>
      <c r="F7" s="23" t="s">
        <v>517</v>
      </c>
      <c r="G7" s="23" t="s">
        <v>1450</v>
      </c>
      <c r="H7" s="9"/>
    </row>
    <row r="8" spans="1:8" ht="30" customHeight="1" x14ac:dyDescent="0.3">
      <c r="A8" s="8"/>
      <c r="B8" s="8"/>
      <c r="C8" s="8"/>
      <c r="D8" s="6" t="s">
        <v>673</v>
      </c>
      <c r="E8" s="7" t="s">
        <v>1932</v>
      </c>
      <c r="F8" s="23" t="s">
        <v>357</v>
      </c>
      <c r="G8" s="23" t="s">
        <v>2699</v>
      </c>
      <c r="H8" s="9"/>
    </row>
    <row r="9" spans="1:8" ht="30" customHeight="1" x14ac:dyDescent="0.3">
      <c r="A9" s="7"/>
      <c r="B9" s="8"/>
      <c r="C9" s="8"/>
      <c r="D9" s="6" t="s">
        <v>1448</v>
      </c>
      <c r="E9" s="7" t="s">
        <v>3034</v>
      </c>
      <c r="F9" s="23" t="s">
        <v>3035</v>
      </c>
      <c r="G9" s="23"/>
      <c r="H9" s="9"/>
    </row>
    <row r="10" spans="1:8" s="26" customFormat="1" ht="30" customHeight="1" x14ac:dyDescent="0.3">
      <c r="A10" s="14"/>
      <c r="B10" s="15"/>
      <c r="C10" s="8"/>
      <c r="D10" s="16"/>
      <c r="E10" s="14"/>
      <c r="F10" s="24"/>
      <c r="G10" s="24"/>
      <c r="H10" s="20"/>
    </row>
    <row r="11" spans="1:8" ht="30" customHeight="1" x14ac:dyDescent="0.3">
      <c r="A11" s="8"/>
      <c r="B11" s="8"/>
      <c r="C11" s="8"/>
      <c r="D11" s="6"/>
      <c r="E11" s="7"/>
      <c r="F11" s="23"/>
      <c r="G11" s="23"/>
      <c r="H11" s="9"/>
    </row>
    <row r="12" spans="1:8" ht="30" customHeight="1" x14ac:dyDescent="0.3">
      <c r="A12" s="8"/>
      <c r="B12" s="8"/>
      <c r="C12" s="8"/>
      <c r="D12" s="6"/>
      <c r="E12" s="7"/>
      <c r="F12" s="23"/>
      <c r="G12" s="23"/>
      <c r="H12" s="9"/>
    </row>
    <row r="13" spans="1:8" ht="30" customHeight="1" x14ac:dyDescent="0.3">
      <c r="A13" s="8"/>
      <c r="B13" s="8"/>
      <c r="C13" s="8"/>
      <c r="D13" s="6"/>
      <c r="E13" s="7"/>
      <c r="F13" s="23"/>
      <c r="G13" s="23"/>
      <c r="H13" s="9"/>
    </row>
    <row r="14" spans="1:8" ht="30" customHeight="1" x14ac:dyDescent="0.3">
      <c r="A14" s="8"/>
      <c r="B14" s="8"/>
      <c r="C14" s="8"/>
      <c r="D14" s="6"/>
      <c r="E14" s="7"/>
      <c r="F14" s="23"/>
      <c r="G14" s="23"/>
      <c r="H14" s="9"/>
    </row>
    <row r="15" spans="1:8" ht="30" customHeight="1" x14ac:dyDescent="0.3">
      <c r="A15" s="8"/>
      <c r="B15" s="8"/>
      <c r="C15" s="8"/>
      <c r="D15" s="6"/>
      <c r="E15" s="7"/>
      <c r="F15" s="23"/>
      <c r="G15" s="23"/>
      <c r="H15" s="9"/>
    </row>
    <row r="16" spans="1:8" ht="30" customHeight="1" x14ac:dyDescent="0.3">
      <c r="A16" s="8"/>
      <c r="B16" s="8"/>
      <c r="C16" s="8"/>
      <c r="D16" s="6"/>
      <c r="E16" s="7"/>
      <c r="F16" s="23"/>
      <c r="G16" s="23"/>
      <c r="H16" s="9"/>
    </row>
    <row r="17" spans="1:8" ht="30" customHeight="1" x14ac:dyDescent="0.3">
      <c r="A17" s="8"/>
      <c r="B17" s="8"/>
      <c r="C17" s="8"/>
      <c r="D17" s="6"/>
      <c r="E17" s="7"/>
      <c r="F17" s="23"/>
      <c r="G17" s="23"/>
      <c r="H17" s="9"/>
    </row>
    <row r="18" spans="1:8" ht="30" customHeight="1" x14ac:dyDescent="0.3">
      <c r="A18" s="8"/>
      <c r="B18" s="8"/>
      <c r="C18" s="8"/>
      <c r="D18" s="6"/>
      <c r="E18" s="7"/>
      <c r="F18" s="23"/>
      <c r="G18" s="23"/>
      <c r="H18" s="9"/>
    </row>
    <row r="19" spans="1:8" ht="30" customHeight="1" x14ac:dyDescent="0.3">
      <c r="A19" s="8"/>
      <c r="B19" s="8"/>
      <c r="C19" s="8"/>
      <c r="D19" s="6"/>
      <c r="E19" s="7"/>
      <c r="F19" s="23"/>
      <c r="G19" s="23"/>
      <c r="H19" s="9"/>
    </row>
    <row r="20" spans="1:8" ht="30" customHeight="1" x14ac:dyDescent="0.3">
      <c r="A20" s="8"/>
      <c r="B20" s="8"/>
      <c r="C20" s="8"/>
      <c r="D20" s="6"/>
      <c r="E20" s="7"/>
      <c r="F20" s="23"/>
      <c r="G20" s="23"/>
      <c r="H20" s="9"/>
    </row>
    <row r="21" spans="1:8" ht="30" customHeight="1" x14ac:dyDescent="0.3">
      <c r="A21" s="8"/>
      <c r="B21" s="8"/>
      <c r="C21" s="8"/>
      <c r="D21" s="6"/>
      <c r="E21" s="7"/>
      <c r="F21" s="23"/>
      <c r="G21" s="23"/>
      <c r="H21" s="9"/>
    </row>
    <row r="22" spans="1:8" ht="30" customHeight="1" x14ac:dyDescent="0.3">
      <c r="A22" s="8"/>
      <c r="B22" s="8"/>
      <c r="C22" s="8"/>
      <c r="D22" s="6"/>
      <c r="E22" s="7"/>
      <c r="F22" s="23"/>
      <c r="G22" s="23"/>
      <c r="H22" s="9"/>
    </row>
    <row r="23" spans="1:8" ht="30" customHeight="1" x14ac:dyDescent="0.3">
      <c r="A23" s="8"/>
      <c r="B23" s="8"/>
      <c r="C23" s="8"/>
      <c r="D23" s="6"/>
      <c r="E23" s="7"/>
      <c r="F23" s="23"/>
      <c r="G23" s="23"/>
      <c r="H23" s="9"/>
    </row>
    <row r="24" spans="1:8" ht="30" customHeight="1" x14ac:dyDescent="0.3">
      <c r="A24" s="8"/>
      <c r="B24" s="8"/>
      <c r="C24" s="8"/>
      <c r="D24" s="6"/>
      <c r="E24" s="7"/>
      <c r="F24" s="23"/>
      <c r="G24" s="23"/>
      <c r="H24" s="9"/>
    </row>
    <row r="25" spans="1:8" ht="30" customHeight="1" x14ac:dyDescent="0.3">
      <c r="A25" s="8"/>
      <c r="B25" s="8"/>
      <c r="C25" s="8"/>
      <c r="D25" s="6"/>
      <c r="E25" s="7"/>
      <c r="F25" s="23"/>
      <c r="G25" s="23"/>
      <c r="H25" s="9"/>
    </row>
    <row r="26" spans="1:8" ht="30" customHeight="1" x14ac:dyDescent="0.3">
      <c r="A26" s="8"/>
      <c r="B26" s="8"/>
      <c r="C26" s="8"/>
      <c r="D26" s="6"/>
      <c r="E26" s="7"/>
      <c r="F26" s="23"/>
      <c r="G26" s="23"/>
      <c r="H26" s="9"/>
    </row>
    <row r="27" spans="1:8" ht="30" customHeight="1" x14ac:dyDescent="0.3">
      <c r="A27" s="8"/>
      <c r="B27" s="8"/>
      <c r="C27" s="8"/>
      <c r="D27" s="6"/>
      <c r="E27" s="7"/>
      <c r="F27" s="23"/>
      <c r="G27" s="23"/>
      <c r="H27" s="9"/>
    </row>
    <row r="28" spans="1:8" ht="30" customHeight="1" x14ac:dyDescent="0.3">
      <c r="A28" s="8"/>
      <c r="B28" s="8"/>
      <c r="C28" s="8"/>
      <c r="D28" s="6"/>
      <c r="E28" s="7"/>
      <c r="F28" s="23"/>
      <c r="G28" s="23"/>
      <c r="H28" s="9"/>
    </row>
    <row r="29" spans="1:8" ht="30" customHeight="1" x14ac:dyDescent="0.3">
      <c r="A29" s="8"/>
      <c r="B29" s="8"/>
      <c r="C29" s="8"/>
      <c r="D29" s="6"/>
      <c r="E29" s="7"/>
      <c r="F29" s="21"/>
      <c r="G29" s="21"/>
      <c r="H29" s="9"/>
    </row>
    <row r="30" spans="1:8" ht="30" customHeight="1" x14ac:dyDescent="0.3">
      <c r="A30" s="8"/>
      <c r="B30" s="8"/>
      <c r="C30" s="8"/>
      <c r="D30" s="6"/>
      <c r="E30" s="7"/>
      <c r="F30" s="21"/>
      <c r="G30" s="21"/>
      <c r="H30" s="9"/>
    </row>
    <row r="31" spans="1:8" ht="30" customHeight="1" x14ac:dyDescent="0.3">
      <c r="A31" s="8"/>
      <c r="B31" s="8"/>
      <c r="C31" s="8"/>
      <c r="D31" s="6"/>
      <c r="E31" s="8"/>
      <c r="F31" s="21"/>
      <c r="G31" s="21"/>
      <c r="H31" s="9"/>
    </row>
    <row r="32" spans="1:8" ht="30" customHeight="1" x14ac:dyDescent="0.3">
      <c r="A32" s="8"/>
      <c r="B32" s="8"/>
      <c r="C32" s="8"/>
      <c r="D32" s="6"/>
      <c r="E32" s="8"/>
      <c r="F32" s="25"/>
      <c r="G32" s="25"/>
      <c r="H32" s="9"/>
    </row>
    <row r="33" spans="1:8" ht="30" customHeight="1" x14ac:dyDescent="0.3">
      <c r="A33" s="8"/>
      <c r="B33" s="8"/>
      <c r="C33" s="8"/>
      <c r="D33" s="6"/>
      <c r="E33" s="8"/>
      <c r="F33" s="21"/>
      <c r="G33" s="21"/>
      <c r="H33" s="9"/>
    </row>
    <row r="34" spans="1:8" ht="30" customHeight="1" x14ac:dyDescent="0.3">
      <c r="A34" s="8"/>
      <c r="B34" s="8"/>
      <c r="C34" s="8"/>
      <c r="D34" s="6"/>
      <c r="E34" s="8"/>
      <c r="F34" s="21"/>
      <c r="G34" s="21"/>
      <c r="H34" s="9"/>
    </row>
    <row r="35" spans="1:8" ht="30" customHeight="1" x14ac:dyDescent="0.3">
      <c r="A35" s="8"/>
      <c r="B35" s="8"/>
      <c r="C35" s="8"/>
      <c r="D35" s="6"/>
      <c r="E35" s="8"/>
      <c r="F35" s="21"/>
      <c r="G35" s="21"/>
      <c r="H35" s="9"/>
    </row>
    <row r="36" spans="1:8" ht="30" customHeight="1" x14ac:dyDescent="0.3">
      <c r="A36" s="8"/>
      <c r="B36" s="8"/>
      <c r="C36" s="8"/>
      <c r="D36" s="6"/>
      <c r="E36" s="8"/>
      <c r="F36" s="21"/>
      <c r="G36" s="21"/>
      <c r="H36" s="9"/>
    </row>
    <row r="37" spans="1:8" ht="30" customHeight="1" x14ac:dyDescent="0.3">
      <c r="A37" s="8"/>
      <c r="B37" s="8"/>
      <c r="C37" s="8"/>
      <c r="D37" s="6"/>
      <c r="E37" s="8"/>
      <c r="F37" s="21"/>
      <c r="G37" s="21"/>
      <c r="H37" s="9"/>
    </row>
    <row r="38" spans="1:8" ht="30" customHeight="1" x14ac:dyDescent="0.3">
      <c r="A38" s="8"/>
      <c r="B38" s="8"/>
      <c r="C38" s="8"/>
      <c r="D38" s="6"/>
      <c r="E38" s="8"/>
      <c r="F38" s="21"/>
      <c r="G38" s="21"/>
      <c r="H38" s="9"/>
    </row>
    <row r="39" spans="1:8" ht="30" customHeight="1" x14ac:dyDescent="0.3">
      <c r="A39" s="8"/>
      <c r="B39" s="8"/>
      <c r="C39" s="8"/>
      <c r="D39" s="6"/>
      <c r="E39" s="8"/>
      <c r="F39" s="21"/>
      <c r="G39" s="21"/>
      <c r="H39" s="9"/>
    </row>
    <row r="40" spans="1:8" ht="30" customHeight="1" x14ac:dyDescent="0.3">
      <c r="A40" s="8"/>
      <c r="B40" s="8"/>
      <c r="C40" s="8"/>
      <c r="D40" s="6"/>
      <c r="E40" s="8"/>
      <c r="F40" s="21"/>
      <c r="G40" s="21"/>
      <c r="H40" s="9"/>
    </row>
    <row r="41" spans="1:8" ht="30" customHeight="1" x14ac:dyDescent="0.3">
      <c r="A41" s="8"/>
      <c r="B41" s="8"/>
      <c r="C41" s="8"/>
      <c r="D41" s="6"/>
      <c r="E41" s="8"/>
      <c r="F41" s="21"/>
      <c r="G41" s="21"/>
      <c r="H41" s="9"/>
    </row>
    <row r="42" spans="1:8" ht="30" customHeight="1" x14ac:dyDescent="0.3">
      <c r="A42" s="8"/>
      <c r="B42" s="8"/>
      <c r="C42" s="8"/>
      <c r="D42" s="6"/>
      <c r="E42" s="8"/>
      <c r="F42" s="21"/>
      <c r="G42" s="21"/>
      <c r="H42" s="9"/>
    </row>
    <row r="43" spans="1:8" ht="30" customHeight="1" x14ac:dyDescent="0.3">
      <c r="A43" s="8"/>
      <c r="B43" s="8"/>
      <c r="C43" s="8"/>
      <c r="D43" s="6"/>
      <c r="E43" s="8"/>
      <c r="F43" s="21"/>
      <c r="G43" s="21"/>
      <c r="H43" s="9"/>
    </row>
    <row r="44" spans="1:8" ht="30" customHeight="1" x14ac:dyDescent="0.3">
      <c r="A44" s="8"/>
      <c r="B44" s="8"/>
      <c r="C44" s="8"/>
      <c r="D44" s="6"/>
      <c r="E44" s="8"/>
      <c r="F44" s="21"/>
      <c r="G44" s="21"/>
      <c r="H44" s="9"/>
    </row>
    <row r="45" spans="1:8" ht="30" customHeight="1" x14ac:dyDescent="0.3">
      <c r="A45" s="8"/>
      <c r="B45" s="8"/>
      <c r="C45" s="8"/>
      <c r="D45" s="6"/>
      <c r="E45" s="8"/>
      <c r="F45" s="21"/>
      <c r="G45" s="21"/>
      <c r="H45" s="9"/>
    </row>
    <row r="46" spans="1:8" ht="30" customHeight="1" x14ac:dyDescent="0.3">
      <c r="A46" s="8"/>
      <c r="B46" s="8"/>
      <c r="C46" s="8"/>
      <c r="D46" s="6"/>
      <c r="E46" s="8"/>
      <c r="F46" s="21"/>
      <c r="G46" s="21"/>
      <c r="H46" s="9"/>
    </row>
    <row r="47" spans="1:8" ht="30" customHeight="1" x14ac:dyDescent="0.3">
      <c r="A47" s="8"/>
      <c r="B47" s="8"/>
      <c r="C47" s="8"/>
      <c r="D47" s="6"/>
      <c r="E47" s="8"/>
      <c r="F47" s="21"/>
      <c r="G47" s="21"/>
      <c r="H47" s="9"/>
    </row>
    <row r="48" spans="1:8" ht="30" customHeight="1" x14ac:dyDescent="0.3">
      <c r="A48" s="8"/>
      <c r="B48" s="8"/>
      <c r="C48" s="8"/>
      <c r="D48" s="6"/>
      <c r="E48" s="8"/>
      <c r="F48" s="21"/>
      <c r="G48" s="21"/>
      <c r="H48" s="9"/>
    </row>
    <row r="49" spans="1:8" ht="30" customHeight="1" x14ac:dyDescent="0.3">
      <c r="A49" s="8"/>
      <c r="B49" s="8"/>
      <c r="C49" s="8"/>
      <c r="D49" s="6"/>
      <c r="E49" s="8"/>
      <c r="F49" s="21"/>
      <c r="G49" s="21"/>
      <c r="H49" s="9"/>
    </row>
    <row r="50" spans="1:8" ht="30" customHeight="1" x14ac:dyDescent="0.3">
      <c r="A50" s="8"/>
      <c r="B50" s="8"/>
      <c r="C50" s="8"/>
      <c r="D50" s="6"/>
      <c r="E50" s="8"/>
      <c r="F50" s="21"/>
      <c r="G50" s="21"/>
      <c r="H50" s="9"/>
    </row>
    <row r="51" spans="1:8" ht="30" customHeight="1" x14ac:dyDescent="0.3">
      <c r="A51" s="8"/>
      <c r="B51" s="8"/>
      <c r="C51" s="8"/>
      <c r="D51" s="6"/>
      <c r="E51" s="8"/>
      <c r="F51" s="21"/>
      <c r="G51" s="21"/>
      <c r="H51" s="9"/>
    </row>
    <row r="52" spans="1:8" ht="30" customHeight="1" x14ac:dyDescent="0.3">
      <c r="A52" s="8"/>
      <c r="B52" s="8"/>
      <c r="C52" s="8"/>
      <c r="D52" s="6"/>
      <c r="E52" s="8"/>
      <c r="F52" s="21"/>
      <c r="G52" s="21"/>
      <c r="H52" s="9"/>
    </row>
    <row r="53" spans="1:8" ht="30" customHeight="1" x14ac:dyDescent="0.3">
      <c r="A53" s="8"/>
      <c r="B53" s="8"/>
      <c r="C53" s="8"/>
      <c r="D53" s="6"/>
      <c r="E53" s="8"/>
      <c r="F53" s="21"/>
      <c r="G53" s="21"/>
      <c r="H53" s="9"/>
    </row>
    <row r="54" spans="1:8" ht="30" customHeight="1" x14ac:dyDescent="0.3">
      <c r="A54" s="8"/>
      <c r="B54" s="8"/>
      <c r="C54" s="8"/>
      <c r="D54" s="6"/>
      <c r="E54" s="8"/>
      <c r="F54" s="21"/>
      <c r="G54" s="21"/>
      <c r="H54" s="9"/>
    </row>
    <row r="55" spans="1:8" ht="30" customHeight="1" x14ac:dyDescent="0.3">
      <c r="A55" s="8"/>
      <c r="B55" s="8"/>
      <c r="C55" s="8"/>
      <c r="D55" s="6"/>
      <c r="E55" s="8"/>
      <c r="F55" s="21"/>
      <c r="G55" s="21"/>
      <c r="H55" s="9"/>
    </row>
    <row r="56" spans="1:8" ht="30" customHeight="1" x14ac:dyDescent="0.3">
      <c r="A56" s="8"/>
      <c r="B56" s="8"/>
      <c r="C56" s="8"/>
      <c r="D56" s="6"/>
      <c r="E56" s="8"/>
      <c r="F56" s="21"/>
      <c r="G56" s="21"/>
      <c r="H56" s="9"/>
    </row>
    <row r="57" spans="1:8" ht="30" customHeight="1" x14ac:dyDescent="0.3">
      <c r="A57" s="8"/>
      <c r="B57" s="8"/>
      <c r="C57" s="8"/>
      <c r="D57" s="6"/>
      <c r="E57" s="8"/>
      <c r="F57" s="21"/>
      <c r="G57" s="21"/>
      <c r="H57" s="9"/>
    </row>
    <row r="58" spans="1:8" ht="30" customHeight="1" x14ac:dyDescent="0.3">
      <c r="A58" s="8"/>
      <c r="B58" s="8"/>
      <c r="C58" s="8"/>
      <c r="D58" s="6"/>
      <c r="E58" s="8"/>
      <c r="F58" s="21"/>
      <c r="G58" s="21"/>
      <c r="H58" s="9"/>
    </row>
    <row r="59" spans="1:8" ht="30" customHeight="1" x14ac:dyDescent="0.3">
      <c r="A59" s="8"/>
      <c r="B59" s="8"/>
      <c r="C59" s="8"/>
      <c r="D59" s="6"/>
      <c r="E59" s="8"/>
      <c r="F59" s="21"/>
      <c r="G59" s="21"/>
      <c r="H59" s="9"/>
    </row>
    <row r="60" spans="1:8" ht="30" customHeight="1" x14ac:dyDescent="0.3">
      <c r="A60" s="8"/>
      <c r="B60" s="8"/>
      <c r="C60" s="8"/>
      <c r="D60" s="6"/>
      <c r="E60" s="8"/>
      <c r="F60" s="21"/>
      <c r="G60" s="21"/>
      <c r="H60" s="9"/>
    </row>
    <row r="61" spans="1:8" ht="30" customHeight="1" x14ac:dyDescent="0.3">
      <c r="A61" s="8"/>
      <c r="B61" s="8"/>
      <c r="C61" s="8"/>
      <c r="D61" s="6"/>
      <c r="E61" s="8"/>
      <c r="F61" s="21"/>
      <c r="G61" s="21"/>
      <c r="H61" s="9"/>
    </row>
    <row r="62" spans="1:8" ht="30" customHeight="1" x14ac:dyDescent="0.3">
      <c r="A62" s="8"/>
      <c r="B62" s="8"/>
      <c r="C62" s="8"/>
      <c r="D62" s="6"/>
      <c r="E62" s="8"/>
      <c r="F62" s="25"/>
      <c r="G62" s="25"/>
      <c r="H62" s="9"/>
    </row>
    <row r="63" spans="1:8" ht="30" customHeight="1" x14ac:dyDescent="0.3">
      <c r="A63" s="8"/>
      <c r="B63" s="8"/>
      <c r="C63" s="8"/>
      <c r="D63" s="6"/>
      <c r="E63" s="8"/>
      <c r="F63" s="25"/>
      <c r="G63" s="25"/>
      <c r="H63" s="9"/>
    </row>
    <row r="64" spans="1:8" ht="30" customHeight="1" x14ac:dyDescent="0.3">
      <c r="A64" s="8"/>
      <c r="B64" s="8"/>
      <c r="C64" s="8"/>
      <c r="D64" s="6"/>
      <c r="E64" s="8"/>
      <c r="F64" s="21"/>
      <c r="G64" s="21"/>
      <c r="H64" s="9"/>
    </row>
    <row r="65" spans="1:8" ht="30" customHeight="1" x14ac:dyDescent="0.3">
      <c r="A65" s="8"/>
      <c r="B65" s="8"/>
      <c r="C65" s="8"/>
      <c r="D65" s="6"/>
      <c r="E65" s="8"/>
      <c r="F65" s="21"/>
      <c r="G65" s="21"/>
      <c r="H65" s="9"/>
    </row>
    <row r="66" spans="1:8" ht="30" customHeight="1" x14ac:dyDescent="0.3">
      <c r="A66" s="8"/>
      <c r="B66" s="8"/>
      <c r="C66" s="8"/>
      <c r="D66" s="6"/>
      <c r="E66" s="8"/>
      <c r="F66" s="21"/>
      <c r="G66" s="21"/>
      <c r="H66" s="9"/>
    </row>
    <row r="67" spans="1:8" ht="30" customHeight="1" x14ac:dyDescent="0.3">
      <c r="A67" s="8"/>
      <c r="B67" s="8"/>
      <c r="C67" s="8"/>
      <c r="D67" s="6"/>
      <c r="E67" s="8"/>
      <c r="F67" s="21"/>
      <c r="G67" s="21"/>
      <c r="H67" s="9"/>
    </row>
    <row r="68" spans="1:8" ht="30" customHeight="1" x14ac:dyDescent="0.3">
      <c r="A68" s="8"/>
      <c r="B68" s="8"/>
      <c r="C68" s="8"/>
      <c r="D68" s="6"/>
      <c r="E68" s="8"/>
      <c r="F68" s="21"/>
      <c r="G68" s="21"/>
      <c r="H68" s="9"/>
    </row>
    <row r="69" spans="1:8" ht="30" customHeight="1" x14ac:dyDescent="0.3">
      <c r="A69" s="8"/>
      <c r="B69" s="8"/>
      <c r="C69" s="8"/>
      <c r="D69" s="6"/>
      <c r="E69" s="8"/>
      <c r="F69" s="21"/>
      <c r="G69" s="21"/>
      <c r="H69" s="9"/>
    </row>
    <row r="70" spans="1:8" ht="30" customHeight="1" x14ac:dyDescent="0.3">
      <c r="A70" s="8"/>
      <c r="B70" s="8"/>
      <c r="C70" s="8"/>
      <c r="D70" s="6"/>
      <c r="E70" s="8"/>
      <c r="F70" s="21"/>
      <c r="G70" s="21"/>
      <c r="H70" s="9"/>
    </row>
    <row r="71" spans="1:8" ht="30" customHeight="1" x14ac:dyDescent="0.3">
      <c r="A71" s="8"/>
      <c r="B71" s="8"/>
      <c r="C71" s="8"/>
      <c r="D71" s="6"/>
      <c r="E71" s="8"/>
      <c r="F71" s="21"/>
      <c r="G71" s="21"/>
      <c r="H71" s="9"/>
    </row>
    <row r="72" spans="1:8" ht="30" customHeight="1" x14ac:dyDescent="0.3">
      <c r="A72" s="8"/>
      <c r="B72" s="8"/>
      <c r="C72" s="8"/>
      <c r="D72" s="6"/>
      <c r="E72" s="8"/>
      <c r="F72" s="21"/>
      <c r="G72" s="21"/>
      <c r="H72" s="9"/>
    </row>
    <row r="73" spans="1:8" ht="30" customHeight="1" x14ac:dyDescent="0.3">
      <c r="A73" s="8"/>
      <c r="B73" s="8"/>
      <c r="C73" s="8"/>
      <c r="D73" s="6"/>
      <c r="E73" s="8"/>
      <c r="F73" s="25"/>
      <c r="G73" s="25"/>
      <c r="H73" s="9"/>
    </row>
    <row r="74" spans="1:8" ht="30" customHeight="1" x14ac:dyDescent="0.3">
      <c r="A74" s="8"/>
      <c r="B74" s="8"/>
      <c r="C74" s="8"/>
      <c r="D74" s="6"/>
      <c r="E74" s="8"/>
      <c r="F74" s="21"/>
      <c r="G74" s="21"/>
      <c r="H74" s="9"/>
    </row>
    <row r="75" spans="1:8" ht="30" customHeight="1" x14ac:dyDescent="0.3">
      <c r="A75" s="8"/>
      <c r="B75" s="8"/>
      <c r="C75" s="8"/>
      <c r="D75" s="6"/>
      <c r="E75" s="8"/>
      <c r="F75" s="25"/>
      <c r="G75" s="25"/>
      <c r="H75" s="9"/>
    </row>
    <row r="76" spans="1:8" ht="30" customHeight="1" x14ac:dyDescent="0.3">
      <c r="A76" s="8"/>
      <c r="B76" s="8"/>
      <c r="C76" s="8"/>
      <c r="D76" s="6"/>
      <c r="E76" s="8"/>
      <c r="F76" s="21"/>
      <c r="G76" s="21"/>
      <c r="H76" s="9"/>
    </row>
    <row r="77" spans="1:8" ht="30" customHeight="1" x14ac:dyDescent="0.3">
      <c r="A77" s="8"/>
      <c r="B77" s="8"/>
      <c r="C77" s="8"/>
      <c r="D77" s="6"/>
      <c r="E77" s="8"/>
      <c r="F77" s="21"/>
      <c r="G77" s="21"/>
      <c r="H77" s="9"/>
    </row>
    <row r="78" spans="1:8" ht="30" customHeight="1" x14ac:dyDescent="0.3">
      <c r="A78" s="8"/>
      <c r="B78" s="8"/>
      <c r="C78" s="8"/>
      <c r="D78" s="6"/>
      <c r="E78" s="8"/>
      <c r="F78" s="21"/>
      <c r="G78" s="21"/>
      <c r="H78" s="9"/>
    </row>
    <row r="79" spans="1:8" ht="30" customHeight="1" x14ac:dyDescent="0.3">
      <c r="A79" s="8"/>
      <c r="B79" s="8"/>
      <c r="C79" s="8"/>
      <c r="D79" s="6"/>
      <c r="E79" s="8"/>
      <c r="F79" s="21"/>
      <c r="G79" s="21"/>
      <c r="H79" s="9"/>
    </row>
    <row r="80" spans="1:8" ht="30" customHeight="1" x14ac:dyDescent="0.3">
      <c r="A80" s="8"/>
      <c r="B80" s="8"/>
      <c r="C80" s="8"/>
      <c r="D80" s="6"/>
      <c r="E80" s="8"/>
      <c r="F80" s="21"/>
      <c r="G80" s="21"/>
      <c r="H80" s="9"/>
    </row>
    <row r="81" spans="1:8" ht="30" customHeight="1" x14ac:dyDescent="0.3">
      <c r="A81" s="8"/>
      <c r="B81" s="8"/>
      <c r="C81" s="8"/>
      <c r="D81" s="6"/>
      <c r="E81" s="8"/>
      <c r="F81" s="21"/>
      <c r="G81" s="21"/>
      <c r="H81" s="9"/>
    </row>
    <row r="82" spans="1:8" ht="30" customHeight="1" x14ac:dyDescent="0.3">
      <c r="A82" s="8"/>
      <c r="B82" s="8"/>
      <c r="C82" s="8"/>
      <c r="D82" s="6"/>
      <c r="E82" s="8"/>
      <c r="F82" s="21"/>
      <c r="G82" s="21"/>
      <c r="H82" s="9"/>
    </row>
    <row r="83" spans="1:8" ht="30" customHeight="1" x14ac:dyDescent="0.3">
      <c r="A83" s="8"/>
      <c r="B83" s="8"/>
      <c r="C83" s="8"/>
      <c r="D83" s="6"/>
      <c r="E83" s="8"/>
      <c r="F83" s="21"/>
      <c r="G83" s="21"/>
      <c r="H83" s="9"/>
    </row>
    <row r="84" spans="1:8" ht="30" customHeight="1" x14ac:dyDescent="0.3">
      <c r="A84" s="8"/>
      <c r="B84" s="8"/>
      <c r="C84" s="8"/>
      <c r="D84" s="6"/>
      <c r="E84" s="8"/>
      <c r="F84" s="21"/>
      <c r="G84" s="21"/>
      <c r="H84" s="9"/>
    </row>
    <row r="85" spans="1:8" ht="30" customHeight="1" x14ac:dyDescent="0.3">
      <c r="A85" s="8"/>
      <c r="B85" s="8"/>
      <c r="C85" s="8"/>
      <c r="D85" s="6"/>
      <c r="E85" s="8"/>
      <c r="F85" s="21"/>
      <c r="G85" s="21"/>
      <c r="H85" s="9"/>
    </row>
    <row r="86" spans="1:8" ht="30" customHeight="1" x14ac:dyDescent="0.3">
      <c r="A86" s="8"/>
      <c r="B86" s="8"/>
      <c r="C86" s="8"/>
      <c r="D86" s="6"/>
      <c r="E86" s="8"/>
      <c r="F86" s="21"/>
      <c r="G86" s="21"/>
      <c r="H86" s="9"/>
    </row>
    <row r="87" spans="1:8" ht="30" customHeight="1" x14ac:dyDescent="0.3">
      <c r="A87" s="8"/>
      <c r="B87" s="8"/>
      <c r="C87" s="8"/>
      <c r="D87" s="6"/>
      <c r="E87" s="8"/>
      <c r="F87" s="21"/>
      <c r="G87" s="21"/>
      <c r="H87" s="9"/>
    </row>
    <row r="88" spans="1:8" ht="30" customHeight="1" x14ac:dyDescent="0.3">
      <c r="A88" s="8"/>
      <c r="B88" s="8"/>
      <c r="C88" s="8"/>
      <c r="D88" s="6"/>
      <c r="E88" s="8"/>
      <c r="F88" s="21"/>
      <c r="G88" s="21"/>
      <c r="H88" s="9"/>
    </row>
    <row r="89" spans="1:8" ht="30" customHeight="1" x14ac:dyDescent="0.3">
      <c r="A89" s="8"/>
      <c r="B89" s="8"/>
      <c r="C89" s="8"/>
      <c r="D89" s="6"/>
      <c r="E89" s="8"/>
      <c r="F89" s="21"/>
      <c r="G89" s="21"/>
      <c r="H89" s="9"/>
    </row>
    <row r="90" spans="1:8" ht="30" customHeight="1" x14ac:dyDescent="0.3">
      <c r="A90" s="8"/>
      <c r="B90" s="8"/>
      <c r="C90" s="8"/>
      <c r="D90" s="6"/>
      <c r="E90" s="8"/>
      <c r="F90" s="21"/>
      <c r="G90" s="21"/>
      <c r="H90" s="9"/>
    </row>
    <row r="91" spans="1:8" ht="30" customHeight="1" x14ac:dyDescent="0.3">
      <c r="A91" s="8"/>
      <c r="B91" s="8"/>
      <c r="C91" s="8"/>
      <c r="D91" s="6"/>
      <c r="E91" s="8"/>
      <c r="F91" s="21"/>
      <c r="G91" s="21"/>
      <c r="H91" s="9"/>
    </row>
    <row r="92" spans="1:8" ht="30" customHeight="1" x14ac:dyDescent="0.3">
      <c r="A92" s="8"/>
      <c r="B92" s="8"/>
      <c r="C92" s="8"/>
      <c r="D92" s="6"/>
      <c r="E92" s="8"/>
      <c r="F92" s="21"/>
      <c r="G92" s="21"/>
      <c r="H92" s="9"/>
    </row>
    <row r="93" spans="1:8" ht="30" customHeight="1" x14ac:dyDescent="0.3">
      <c r="A93" s="8"/>
      <c r="B93" s="8"/>
      <c r="C93" s="8"/>
      <c r="D93" s="6"/>
      <c r="E93" s="8"/>
      <c r="F93" s="21"/>
      <c r="G93" s="21"/>
      <c r="H93" s="9"/>
    </row>
    <row r="94" spans="1:8" ht="30" customHeight="1" x14ac:dyDescent="0.3">
      <c r="A94" s="8"/>
      <c r="B94" s="8"/>
      <c r="C94" s="8"/>
      <c r="D94" s="6"/>
      <c r="E94" s="8"/>
      <c r="F94" s="21"/>
      <c r="G94" s="21"/>
      <c r="H94" s="9"/>
    </row>
    <row r="95" spans="1:8" ht="30" customHeight="1" x14ac:dyDescent="0.3">
      <c r="A95" s="8"/>
      <c r="B95" s="8"/>
      <c r="C95" s="8"/>
      <c r="D95" s="6"/>
      <c r="E95" s="8"/>
      <c r="F95" s="21"/>
      <c r="G95" s="21"/>
      <c r="H95" s="9"/>
    </row>
    <row r="96" spans="1:8" ht="30" customHeight="1" x14ac:dyDescent="0.3">
      <c r="A96" s="8"/>
      <c r="B96" s="8"/>
      <c r="C96" s="8"/>
      <c r="D96" s="6"/>
      <c r="E96" s="8"/>
      <c r="F96" s="21"/>
      <c r="G96" s="21"/>
      <c r="H96" s="9"/>
    </row>
    <row r="97" spans="1:8" ht="30" customHeight="1" x14ac:dyDescent="0.3">
      <c r="A97" s="8"/>
      <c r="B97" s="8"/>
      <c r="C97" s="8"/>
      <c r="D97" s="6"/>
      <c r="E97" s="8"/>
      <c r="F97" s="21"/>
      <c r="G97" s="21"/>
      <c r="H97" s="9"/>
    </row>
    <row r="98" spans="1:8" ht="30" customHeight="1" x14ac:dyDescent="0.3">
      <c r="A98" s="8"/>
      <c r="B98" s="8"/>
      <c r="C98" s="8"/>
      <c r="D98" s="6"/>
      <c r="E98" s="8"/>
      <c r="F98" s="21"/>
      <c r="G98" s="21"/>
      <c r="H98" s="9"/>
    </row>
    <row r="99" spans="1:8" ht="30" customHeight="1" x14ac:dyDescent="0.3">
      <c r="A99" s="5"/>
      <c r="B99" s="3"/>
      <c r="C99" s="8"/>
      <c r="D99" s="6"/>
      <c r="E99" s="8"/>
      <c r="F99" s="21"/>
      <c r="G99" s="21"/>
      <c r="H99" s="9"/>
    </row>
    <row r="100" spans="1:8" ht="30" customHeight="1" x14ac:dyDescent="0.3">
      <c r="A100" s="5"/>
      <c r="B100" s="3"/>
      <c r="C100" s="8"/>
      <c r="D100" s="6"/>
      <c r="E100" s="8"/>
      <c r="F100" s="21"/>
      <c r="G100" s="21"/>
      <c r="H100" s="9"/>
    </row>
    <row r="101" spans="1:8" ht="30" customHeight="1" x14ac:dyDescent="0.3">
      <c r="A101" s="5"/>
      <c r="B101" s="3"/>
      <c r="C101" s="8"/>
      <c r="D101" s="6"/>
      <c r="E101" s="8"/>
      <c r="F101" s="21"/>
      <c r="G101" s="21"/>
      <c r="H101" s="9"/>
    </row>
    <row r="102" spans="1:8" ht="30" customHeight="1" x14ac:dyDescent="0.3">
      <c r="A102" s="5"/>
      <c r="B102" s="3"/>
      <c r="C102" s="8"/>
      <c r="D102" s="6"/>
      <c r="E102" s="8"/>
      <c r="F102" s="21"/>
      <c r="G102" s="21"/>
      <c r="H102" s="9"/>
    </row>
    <row r="103" spans="1:8" ht="30" customHeight="1" x14ac:dyDescent="0.3">
      <c r="A103" s="5"/>
      <c r="B103" s="3"/>
      <c r="C103" s="8"/>
      <c r="D103" s="6"/>
      <c r="E103" s="8"/>
      <c r="F103" s="21"/>
      <c r="G103" s="21"/>
      <c r="H103" s="9"/>
    </row>
    <row r="104" spans="1:8" ht="30" customHeight="1" x14ac:dyDescent="0.3">
      <c r="A104" s="5"/>
      <c r="B104" s="3"/>
      <c r="C104" s="8"/>
      <c r="D104" s="6"/>
      <c r="E104" s="8"/>
      <c r="F104" s="21"/>
      <c r="G104" s="21"/>
      <c r="H104" s="9"/>
    </row>
    <row r="105" spans="1:8" ht="30" customHeight="1" x14ac:dyDescent="0.3">
      <c r="A105" s="5"/>
      <c r="B105" s="3"/>
      <c r="C105" s="8"/>
      <c r="D105" s="6"/>
      <c r="E105" s="8"/>
      <c r="F105" s="21"/>
      <c r="G105" s="21"/>
      <c r="H105" s="9"/>
    </row>
    <row r="106" spans="1:8" ht="30" customHeight="1" x14ac:dyDescent="0.3">
      <c r="A106" s="5"/>
      <c r="B106" s="3"/>
      <c r="C106" s="8"/>
      <c r="D106" s="6"/>
      <c r="E106" s="8"/>
      <c r="F106" s="21"/>
      <c r="G106" s="21"/>
      <c r="H106" s="9"/>
    </row>
    <row r="107" spans="1:8" ht="30" customHeight="1" x14ac:dyDescent="0.3">
      <c r="A107" s="5"/>
      <c r="B107" s="3"/>
      <c r="C107" s="8"/>
      <c r="D107" s="6"/>
      <c r="E107" s="8"/>
      <c r="F107" s="21"/>
      <c r="G107" s="21"/>
      <c r="H107" s="9"/>
    </row>
    <row r="108" spans="1:8" ht="30" customHeight="1" x14ac:dyDescent="0.3">
      <c r="A108" s="5"/>
      <c r="B108" s="3"/>
      <c r="C108" s="8"/>
      <c r="D108" s="6"/>
      <c r="E108" s="8"/>
      <c r="F108" s="21"/>
      <c r="G108" s="21"/>
      <c r="H108" s="9"/>
    </row>
    <row r="109" spans="1:8" ht="30" customHeight="1" x14ac:dyDescent="0.3">
      <c r="A109" s="5"/>
      <c r="B109" s="3"/>
      <c r="C109" s="8"/>
      <c r="D109" s="6"/>
      <c r="E109" s="8"/>
      <c r="F109" s="21"/>
      <c r="G109" s="21"/>
      <c r="H109" s="9"/>
    </row>
    <row r="110" spans="1:8" ht="30" customHeight="1" x14ac:dyDescent="0.3">
      <c r="A110" s="5"/>
      <c r="B110" s="3"/>
      <c r="C110" s="8"/>
      <c r="D110" s="6"/>
      <c r="E110" s="8"/>
      <c r="F110" s="21"/>
      <c r="G110" s="21"/>
      <c r="H110" s="9"/>
    </row>
    <row r="111" spans="1:8" ht="30" customHeight="1" x14ac:dyDescent="0.3">
      <c r="A111" s="5"/>
      <c r="B111" s="3"/>
      <c r="C111" s="8"/>
      <c r="D111" s="6"/>
      <c r="E111" s="8"/>
      <c r="F111" s="21"/>
      <c r="G111" s="21"/>
      <c r="H111" s="9"/>
    </row>
    <row r="112" spans="1:8" ht="30" customHeight="1" x14ac:dyDescent="0.3">
      <c r="A112" s="5"/>
      <c r="B112" s="3"/>
      <c r="C112" s="8"/>
      <c r="D112" s="6"/>
      <c r="E112" s="8"/>
      <c r="F112" s="21"/>
      <c r="G112" s="21"/>
      <c r="H112" s="9"/>
    </row>
    <row r="113" spans="1:8" ht="30" customHeight="1" x14ac:dyDescent="0.3">
      <c r="A113" s="5"/>
      <c r="B113" s="3"/>
      <c r="C113" s="8"/>
      <c r="D113" s="6"/>
      <c r="E113" s="8"/>
      <c r="F113" s="21"/>
      <c r="G113" s="21"/>
      <c r="H113" s="9"/>
    </row>
    <row r="114" spans="1:8" ht="30" customHeight="1" x14ac:dyDescent="0.3">
      <c r="A114" s="5"/>
      <c r="B114" s="3"/>
      <c r="C114" s="8"/>
      <c r="D114" s="6"/>
      <c r="E114" s="8"/>
      <c r="F114" s="21"/>
      <c r="G114" s="21"/>
      <c r="H114" s="9"/>
    </row>
    <row r="115" spans="1:8" ht="30" customHeight="1" x14ac:dyDescent="0.3">
      <c r="A115" s="5"/>
      <c r="B115" s="3"/>
      <c r="C115" s="8"/>
      <c r="D115" s="6"/>
      <c r="E115" s="8"/>
      <c r="F115" s="21"/>
      <c r="G115" s="21"/>
      <c r="H115" s="9"/>
    </row>
    <row r="116" spans="1:8" ht="30" customHeight="1" x14ac:dyDescent="0.3">
      <c r="A116" s="5"/>
      <c r="B116" s="3"/>
      <c r="C116" s="8"/>
      <c r="D116" s="6"/>
      <c r="E116" s="8"/>
      <c r="F116" s="21"/>
      <c r="G116" s="21"/>
      <c r="H116" s="9"/>
    </row>
    <row r="117" spans="1:8" ht="30" customHeight="1" x14ac:dyDescent="0.3">
      <c r="A117" s="5"/>
      <c r="B117" s="3"/>
      <c r="C117" s="8"/>
      <c r="D117" s="6"/>
      <c r="E117" s="8"/>
      <c r="F117" s="21"/>
      <c r="G117" s="21"/>
      <c r="H117" s="9"/>
    </row>
    <row r="118" spans="1:8" ht="30" customHeight="1" x14ac:dyDescent="0.3">
      <c r="A118" s="5"/>
      <c r="B118" s="3"/>
      <c r="C118" s="8"/>
      <c r="D118" s="6"/>
      <c r="E118" s="8"/>
      <c r="F118" s="21"/>
      <c r="G118" s="21"/>
      <c r="H118" s="9"/>
    </row>
    <row r="119" spans="1:8" ht="30" customHeight="1" x14ac:dyDescent="0.3">
      <c r="A119" s="5"/>
      <c r="B119" s="3"/>
      <c r="C119" s="8"/>
      <c r="D119" s="6"/>
      <c r="E119" s="8"/>
      <c r="F119" s="21"/>
      <c r="G119" s="21"/>
      <c r="H119" s="9"/>
    </row>
    <row r="120" spans="1:8" ht="30" customHeight="1" x14ac:dyDescent="0.3">
      <c r="A120" s="5"/>
      <c r="B120" s="3"/>
      <c r="C120" s="8"/>
      <c r="D120" s="6"/>
      <c r="E120" s="8"/>
      <c r="F120" s="21"/>
      <c r="G120" s="21"/>
      <c r="H120" s="9"/>
    </row>
    <row r="121" spans="1:8" ht="30" customHeight="1" x14ac:dyDescent="0.3">
      <c r="A121" s="5"/>
      <c r="B121" s="3"/>
      <c r="C121" s="8"/>
      <c r="D121" s="6"/>
      <c r="E121" s="8"/>
      <c r="F121" s="21"/>
      <c r="G121" s="21"/>
      <c r="H121" s="9"/>
    </row>
    <row r="122" spans="1:8" ht="30" customHeight="1" x14ac:dyDescent="0.3">
      <c r="A122" s="5"/>
      <c r="B122" s="3"/>
      <c r="C122" s="8"/>
      <c r="D122" s="6"/>
      <c r="E122" s="8"/>
      <c r="F122" s="21"/>
      <c r="G122" s="21"/>
      <c r="H122" s="9"/>
    </row>
    <row r="123" spans="1:8" ht="30" customHeight="1" x14ac:dyDescent="0.3">
      <c r="A123" s="5"/>
      <c r="B123" s="3"/>
      <c r="C123" s="8"/>
      <c r="D123" s="6"/>
      <c r="E123" s="8"/>
      <c r="F123" s="21"/>
      <c r="G123" s="21"/>
      <c r="H123" s="9"/>
    </row>
    <row r="124" spans="1:8" ht="30" customHeight="1" x14ac:dyDescent="0.3">
      <c r="A124" s="5"/>
      <c r="B124" s="3"/>
      <c r="C124" s="8"/>
      <c r="D124" s="6"/>
      <c r="E124" s="8"/>
      <c r="F124" s="21"/>
      <c r="G124" s="21"/>
      <c r="H124" s="9"/>
    </row>
    <row r="125" spans="1:8" ht="30" customHeight="1" x14ac:dyDescent="0.3">
      <c r="A125" s="5"/>
      <c r="B125" s="3"/>
      <c r="C125" s="8"/>
      <c r="D125" s="6"/>
      <c r="E125" s="8"/>
      <c r="F125" s="21"/>
      <c r="G125" s="21"/>
      <c r="H125" s="9"/>
    </row>
    <row r="126" spans="1:8" ht="30" customHeight="1" x14ac:dyDescent="0.3">
      <c r="A126" s="5"/>
      <c r="B126" s="3"/>
      <c r="C126" s="8"/>
      <c r="D126" s="6"/>
      <c r="E126" s="8"/>
      <c r="F126" s="21"/>
      <c r="G126" s="21"/>
      <c r="H126" s="9"/>
    </row>
    <row r="127" spans="1:8" ht="30" customHeight="1" x14ac:dyDescent="0.3">
      <c r="A127" s="5"/>
      <c r="B127" s="3"/>
      <c r="C127" s="8"/>
      <c r="D127" s="6"/>
      <c r="E127" s="8"/>
      <c r="F127" s="21"/>
      <c r="G127" s="21"/>
      <c r="H127" s="9"/>
    </row>
    <row r="128" spans="1:8" ht="30" customHeight="1" x14ac:dyDescent="0.3">
      <c r="A128" s="5"/>
      <c r="B128" s="3"/>
      <c r="C128" s="8"/>
      <c r="D128" s="6"/>
      <c r="E128" s="8"/>
      <c r="F128" s="21"/>
      <c r="G128" s="21"/>
      <c r="H128" s="9"/>
    </row>
    <row r="129" spans="1:8" ht="30" customHeight="1" x14ac:dyDescent="0.3">
      <c r="A129" s="5"/>
      <c r="B129" s="3"/>
      <c r="C129" s="8"/>
      <c r="D129" s="6"/>
      <c r="E129" s="8"/>
      <c r="F129" s="21"/>
      <c r="G129" s="21"/>
      <c r="H129" s="9"/>
    </row>
    <row r="130" spans="1:8" ht="30" customHeight="1" x14ac:dyDescent="0.3">
      <c r="A130" s="5"/>
      <c r="B130" s="3"/>
      <c r="C130" s="8"/>
      <c r="D130" s="6"/>
      <c r="E130" s="8"/>
      <c r="F130" s="21"/>
      <c r="G130" s="21"/>
      <c r="H130" s="9"/>
    </row>
    <row r="131" spans="1:8" ht="30" customHeight="1" x14ac:dyDescent="0.3">
      <c r="A131" s="5"/>
      <c r="B131" s="3"/>
      <c r="C131" s="8"/>
      <c r="D131" s="6"/>
      <c r="E131" s="8"/>
      <c r="F131" s="21"/>
      <c r="G131" s="21"/>
      <c r="H131" s="9"/>
    </row>
    <row r="132" spans="1:8" ht="30" customHeight="1" x14ac:dyDescent="0.3">
      <c r="A132" s="5"/>
      <c r="B132" s="3"/>
      <c r="C132" s="8"/>
      <c r="D132" s="6"/>
      <c r="E132" s="8"/>
      <c r="F132" s="21"/>
      <c r="G132" s="21"/>
      <c r="H132" s="9"/>
    </row>
    <row r="133" spans="1:8" ht="30" customHeight="1" x14ac:dyDescent="0.3">
      <c r="A133" s="5"/>
      <c r="B133" s="3"/>
      <c r="C133" s="8"/>
      <c r="D133" s="6"/>
      <c r="E133" s="8"/>
      <c r="F133" s="21"/>
      <c r="G133" s="21"/>
      <c r="H133" s="9"/>
    </row>
    <row r="134" spans="1:8" ht="30" customHeight="1" x14ac:dyDescent="0.3">
      <c r="A134" s="5"/>
      <c r="B134" s="3"/>
      <c r="C134" s="8"/>
      <c r="D134" s="6"/>
      <c r="E134" s="8"/>
      <c r="F134" s="21"/>
      <c r="G134" s="21"/>
      <c r="H134" s="9"/>
    </row>
    <row r="135" spans="1:8" ht="30" customHeight="1" x14ac:dyDescent="0.3">
      <c r="A135" s="5"/>
      <c r="B135" s="3"/>
      <c r="C135" s="8"/>
      <c r="D135" s="6"/>
      <c r="E135" s="8"/>
      <c r="F135" s="21"/>
      <c r="G135" s="21"/>
      <c r="H135" s="9"/>
    </row>
    <row r="136" spans="1:8" ht="30" customHeight="1" x14ac:dyDescent="0.3">
      <c r="A136" s="5"/>
      <c r="B136" s="3"/>
      <c r="C136" s="8"/>
      <c r="D136" s="6"/>
      <c r="E136" s="8"/>
      <c r="F136" s="21"/>
      <c r="G136" s="21"/>
      <c r="H136" s="9"/>
    </row>
    <row r="137" spans="1:8" ht="30" customHeight="1" x14ac:dyDescent="0.3">
      <c r="A137" s="5"/>
      <c r="B137" s="3"/>
      <c r="C137" s="8"/>
      <c r="D137" s="6"/>
      <c r="E137" s="8"/>
      <c r="F137" s="21"/>
      <c r="G137" s="21"/>
      <c r="H137" s="9"/>
    </row>
    <row r="138" spans="1:8" ht="30" customHeight="1" x14ac:dyDescent="0.3">
      <c r="A138" s="5"/>
      <c r="B138" s="3"/>
      <c r="C138" s="8"/>
      <c r="D138" s="6"/>
      <c r="E138" s="8"/>
      <c r="F138" s="21"/>
      <c r="G138" s="21"/>
      <c r="H138" s="9"/>
    </row>
    <row r="139" spans="1:8" ht="30" customHeight="1" x14ac:dyDescent="0.3">
      <c r="A139" s="5"/>
      <c r="B139" s="3"/>
      <c r="C139" s="8"/>
      <c r="D139" s="6"/>
      <c r="E139" s="8"/>
      <c r="F139" s="21"/>
      <c r="G139" s="21"/>
      <c r="H139" s="9"/>
    </row>
    <row r="140" spans="1:8" ht="30" customHeight="1" x14ac:dyDescent="0.3">
      <c r="A140" s="5"/>
      <c r="B140" s="3"/>
      <c r="C140" s="8"/>
      <c r="D140" s="6"/>
      <c r="E140" s="8"/>
      <c r="F140" s="21"/>
      <c r="G140" s="21"/>
      <c r="H140" s="9"/>
    </row>
    <row r="141" spans="1:8" ht="30" customHeight="1" x14ac:dyDescent="0.3">
      <c r="A141" s="5"/>
      <c r="B141" s="3"/>
      <c r="C141" s="8"/>
      <c r="D141" s="6"/>
      <c r="E141" s="8"/>
      <c r="F141" s="21"/>
      <c r="G141" s="21"/>
      <c r="H141" s="9"/>
    </row>
    <row r="142" spans="1:8" ht="30" customHeight="1" x14ac:dyDescent="0.3">
      <c r="A142" s="5"/>
      <c r="B142" s="3"/>
      <c r="C142" s="8"/>
      <c r="D142" s="6"/>
      <c r="E142" s="8"/>
      <c r="F142" s="21"/>
      <c r="G142" s="21"/>
      <c r="H142" s="9"/>
    </row>
    <row r="143" spans="1:8" ht="30" customHeight="1" x14ac:dyDescent="0.3">
      <c r="A143" s="5"/>
      <c r="B143" s="3"/>
      <c r="C143" s="8"/>
      <c r="D143" s="6"/>
      <c r="E143" s="8"/>
      <c r="F143" s="21"/>
      <c r="G143" s="21"/>
      <c r="H143" s="9"/>
    </row>
    <row r="144" spans="1:8" ht="30" customHeight="1" x14ac:dyDescent="0.3">
      <c r="A144" s="5"/>
      <c r="B144" s="3"/>
      <c r="C144" s="8"/>
      <c r="D144" s="6"/>
      <c r="E144" s="8"/>
      <c r="F144" s="21"/>
      <c r="G144" s="21"/>
      <c r="H144" s="9"/>
    </row>
    <row r="145" spans="1:8" ht="30" customHeight="1" x14ac:dyDescent="0.3">
      <c r="A145" s="5"/>
      <c r="B145" s="3"/>
      <c r="C145" s="8"/>
      <c r="D145" s="6"/>
      <c r="E145" s="8"/>
      <c r="F145" s="21"/>
      <c r="G145" s="21"/>
      <c r="H145" s="9"/>
    </row>
    <row r="146" spans="1:8" ht="30" customHeight="1" x14ac:dyDescent="0.3">
      <c r="A146" s="5"/>
      <c r="B146" s="3"/>
      <c r="C146" s="8"/>
      <c r="D146" s="6"/>
      <c r="E146" s="8"/>
      <c r="F146" s="21"/>
      <c r="G146" s="21"/>
      <c r="H146" s="9"/>
    </row>
    <row r="147" spans="1:8" ht="30" customHeight="1" x14ac:dyDescent="0.3">
      <c r="A147" s="5"/>
      <c r="B147" s="3"/>
      <c r="C147" s="8"/>
      <c r="D147" s="6"/>
      <c r="E147" s="8"/>
      <c r="F147" s="21"/>
      <c r="G147" s="21"/>
      <c r="H147" s="9"/>
    </row>
    <row r="148" spans="1:8" ht="30" customHeight="1" x14ac:dyDescent="0.3">
      <c r="A148" s="5"/>
      <c r="B148" s="3"/>
      <c r="C148" s="8"/>
      <c r="D148" s="6"/>
      <c r="E148" s="8"/>
      <c r="F148" s="21"/>
      <c r="G148" s="21"/>
      <c r="H148" s="9"/>
    </row>
    <row r="149" spans="1:8" ht="30" customHeight="1" x14ac:dyDescent="0.3">
      <c r="A149" s="5"/>
      <c r="B149" s="3"/>
      <c r="C149" s="8"/>
      <c r="D149" s="6"/>
      <c r="E149" s="8"/>
      <c r="F149" s="21"/>
      <c r="G149" s="21"/>
      <c r="H149" s="9"/>
    </row>
    <row r="150" spans="1:8" ht="30" customHeight="1" x14ac:dyDescent="0.3">
      <c r="A150" s="5"/>
      <c r="B150" s="3"/>
      <c r="C150" s="8"/>
      <c r="D150" s="6"/>
      <c r="E150" s="8"/>
      <c r="F150" s="21"/>
      <c r="G150" s="21"/>
      <c r="H150" s="9"/>
    </row>
    <row r="151" spans="1:8" ht="30" customHeight="1" x14ac:dyDescent="0.3">
      <c r="A151" s="5"/>
      <c r="B151" s="3"/>
      <c r="C151" s="8"/>
      <c r="D151" s="6"/>
      <c r="E151" s="8"/>
      <c r="F151" s="21"/>
      <c r="G151" s="21"/>
      <c r="H151" s="9"/>
    </row>
    <row r="152" spans="1:8" ht="30" customHeight="1" x14ac:dyDescent="0.3">
      <c r="A152" s="5"/>
      <c r="B152" s="3"/>
      <c r="C152" s="8"/>
      <c r="D152" s="6"/>
      <c r="E152" s="8"/>
      <c r="F152" s="3"/>
      <c r="G152" s="3"/>
      <c r="H152" s="9"/>
    </row>
    <row r="153" spans="1:8" ht="30" customHeight="1" x14ac:dyDescent="0.3">
      <c r="A153" s="5"/>
      <c r="B153" s="3"/>
      <c r="C153" s="8"/>
      <c r="D153" s="6"/>
      <c r="E153" s="8"/>
      <c r="F153" s="3"/>
      <c r="G153" s="3"/>
      <c r="H153" s="9"/>
    </row>
    <row r="154" spans="1:8" ht="30" customHeight="1" x14ac:dyDescent="0.3">
      <c r="A154" s="5"/>
      <c r="B154" s="3"/>
      <c r="C154" s="8"/>
      <c r="D154" s="6"/>
      <c r="E154" s="8"/>
      <c r="F154" s="3"/>
      <c r="G154" s="3"/>
      <c r="H154" s="9"/>
    </row>
    <row r="155" spans="1:8" ht="30" customHeight="1" x14ac:dyDescent="0.3">
      <c r="A155" s="5"/>
      <c r="B155" s="3"/>
      <c r="C155" s="8"/>
      <c r="D155" s="6"/>
      <c r="E155" s="8"/>
      <c r="F155" s="3"/>
      <c r="G155" s="3"/>
      <c r="H155" s="9"/>
    </row>
    <row r="156" spans="1:8" ht="30" customHeight="1" x14ac:dyDescent="0.3">
      <c r="A156" s="5"/>
      <c r="B156" s="3"/>
      <c r="C156" s="8"/>
      <c r="D156" s="6"/>
      <c r="E156" s="8"/>
      <c r="F156" s="3"/>
      <c r="G156" s="3"/>
      <c r="H156" s="9"/>
    </row>
    <row r="157" spans="1:8" ht="30" customHeight="1" x14ac:dyDescent="0.3">
      <c r="A157" s="5"/>
      <c r="B157" s="3"/>
      <c r="C157" s="8"/>
      <c r="D157" s="6"/>
      <c r="E157" s="8"/>
      <c r="F157" s="3"/>
      <c r="G157" s="3"/>
      <c r="H157" s="9"/>
    </row>
    <row r="158" spans="1:8" ht="30" customHeight="1" x14ac:dyDescent="0.3">
      <c r="A158" s="5"/>
      <c r="B158" s="3"/>
      <c r="C158" s="8"/>
      <c r="D158" s="6"/>
      <c r="E158" s="8"/>
      <c r="F158" s="3"/>
      <c r="G158" s="3"/>
      <c r="H158" s="9"/>
    </row>
    <row r="159" spans="1:8" ht="30" customHeight="1" x14ac:dyDescent="0.3">
      <c r="A159" s="5"/>
      <c r="B159" s="3"/>
      <c r="C159" s="8"/>
      <c r="D159" s="6"/>
      <c r="E159" s="8"/>
      <c r="F159" s="3"/>
      <c r="G159" s="3"/>
      <c r="H159" s="9"/>
    </row>
    <row r="160" spans="1:8" ht="30" customHeight="1" x14ac:dyDescent="0.3">
      <c r="A160" s="5"/>
      <c r="B160" s="3"/>
      <c r="C160" s="8"/>
      <c r="D160" s="6"/>
      <c r="E160" s="8"/>
      <c r="F160" s="3"/>
      <c r="G160" s="3"/>
      <c r="H160" s="9"/>
    </row>
    <row r="161" spans="1:8" ht="30" customHeight="1" x14ac:dyDescent="0.3">
      <c r="A161" s="5"/>
      <c r="B161" s="3"/>
      <c r="C161" s="8"/>
      <c r="D161" s="6"/>
      <c r="E161" s="8"/>
      <c r="F161" s="3"/>
      <c r="G161" s="3"/>
      <c r="H161" s="9"/>
    </row>
    <row r="162" spans="1:8" ht="30" customHeight="1" x14ac:dyDescent="0.3">
      <c r="A162" s="5"/>
      <c r="B162" s="3"/>
      <c r="C162" s="8"/>
      <c r="D162" s="6"/>
      <c r="E162" s="8"/>
      <c r="F162" s="3"/>
      <c r="G162" s="3"/>
      <c r="H162" s="9"/>
    </row>
    <row r="163" spans="1:8" ht="30" customHeight="1" x14ac:dyDescent="0.3">
      <c r="A163" s="5"/>
      <c r="B163" s="3"/>
      <c r="C163" s="8"/>
      <c r="D163" s="6"/>
      <c r="E163" s="8"/>
      <c r="F163" s="3"/>
      <c r="G163" s="3"/>
      <c r="H163" s="9"/>
    </row>
    <row r="164" spans="1:8" ht="30" customHeight="1" x14ac:dyDescent="0.3">
      <c r="A164" s="5"/>
      <c r="B164" s="3"/>
      <c r="C164" s="8"/>
      <c r="D164" s="6"/>
      <c r="E164" s="8"/>
      <c r="F164" s="3"/>
      <c r="G164" s="3"/>
      <c r="H164" s="9"/>
    </row>
    <row r="165" spans="1:8" ht="30" customHeight="1" x14ac:dyDescent="0.3">
      <c r="A165" s="5"/>
      <c r="B165" s="3"/>
      <c r="C165" s="8"/>
      <c r="D165" s="6"/>
      <c r="E165" s="8"/>
      <c r="F165" s="3"/>
      <c r="G165" s="3"/>
      <c r="H165" s="9"/>
    </row>
    <row r="166" spans="1:8" ht="30" customHeight="1" x14ac:dyDescent="0.3">
      <c r="A166" s="5"/>
      <c r="B166" s="3"/>
      <c r="C166" s="8"/>
      <c r="D166" s="6"/>
      <c r="E166" s="8"/>
      <c r="F166" s="3"/>
      <c r="G166" s="3"/>
      <c r="H166" s="9"/>
    </row>
    <row r="167" spans="1:8" ht="30" customHeight="1" x14ac:dyDescent="0.3">
      <c r="A167" s="5"/>
      <c r="B167" s="3"/>
      <c r="C167" s="8"/>
      <c r="D167" s="6"/>
      <c r="E167" s="8"/>
      <c r="F167" s="3"/>
      <c r="G167" s="3"/>
      <c r="H167" s="9"/>
    </row>
    <row r="168" spans="1:8" ht="30" customHeight="1" x14ac:dyDescent="0.3">
      <c r="A168" s="5"/>
      <c r="B168" s="3"/>
      <c r="C168" s="8"/>
      <c r="D168" s="6"/>
      <c r="E168" s="8"/>
      <c r="F168" s="3"/>
      <c r="G168" s="3"/>
      <c r="H168" s="9"/>
    </row>
    <row r="169" spans="1:8" ht="30" customHeight="1" x14ac:dyDescent="0.3">
      <c r="A169" s="5"/>
      <c r="B169" s="3"/>
      <c r="C169" s="8"/>
      <c r="D169" s="6"/>
      <c r="E169" s="8"/>
      <c r="F169" s="3"/>
      <c r="G169" s="3"/>
      <c r="H169" s="9"/>
    </row>
    <row r="170" spans="1:8" ht="30" customHeight="1" x14ac:dyDescent="0.3">
      <c r="A170" s="5"/>
      <c r="B170" s="3"/>
      <c r="C170" s="8"/>
      <c r="D170" s="6"/>
      <c r="E170" s="8"/>
      <c r="F170" s="3"/>
      <c r="G170" s="3"/>
      <c r="H170" s="9"/>
    </row>
    <row r="171" spans="1:8" ht="30" customHeight="1" x14ac:dyDescent="0.3">
      <c r="A171" s="5"/>
      <c r="B171" s="3"/>
      <c r="C171" s="8"/>
      <c r="D171" s="6"/>
      <c r="E171" s="8"/>
      <c r="F171" s="3"/>
      <c r="G171" s="3"/>
      <c r="H171" s="9"/>
    </row>
    <row r="172" spans="1:8" ht="30" customHeight="1" x14ac:dyDescent="0.3">
      <c r="A172" s="5"/>
      <c r="B172" s="3"/>
      <c r="C172" s="8"/>
      <c r="D172" s="6"/>
      <c r="E172" s="8"/>
      <c r="F172" s="3"/>
      <c r="G172" s="3"/>
      <c r="H172" s="9"/>
    </row>
    <row r="173" spans="1:8" ht="30" customHeight="1" x14ac:dyDescent="0.3">
      <c r="A173" s="5"/>
      <c r="B173" s="3"/>
      <c r="C173" s="10"/>
      <c r="D173" s="6"/>
      <c r="E173" s="8"/>
      <c r="F173" s="3"/>
      <c r="G173" s="3"/>
      <c r="H173" s="9"/>
    </row>
    <row r="174" spans="1:8" ht="30" customHeight="1" x14ac:dyDescent="0.3">
      <c r="A174" s="5"/>
      <c r="B174" s="3"/>
      <c r="C174" s="10"/>
      <c r="D174" s="6"/>
      <c r="E174" s="8"/>
      <c r="F174" s="3"/>
      <c r="G174" s="3"/>
      <c r="H174" s="9"/>
    </row>
    <row r="175" spans="1:8" ht="30" customHeight="1" x14ac:dyDescent="0.3">
      <c r="A175" s="5"/>
      <c r="B175" s="3"/>
      <c r="C175" s="10"/>
      <c r="D175" s="6"/>
      <c r="E175" s="8"/>
      <c r="F175" s="3"/>
      <c r="G175" s="3"/>
      <c r="H175" s="9"/>
    </row>
    <row r="176" spans="1:8" ht="30" customHeight="1" x14ac:dyDescent="0.3">
      <c r="A176" s="5"/>
      <c r="B176" s="3"/>
      <c r="C176" s="10"/>
      <c r="D176" s="6"/>
      <c r="E176" s="8"/>
      <c r="F176" s="3"/>
      <c r="G176" s="3"/>
      <c r="H176" s="9"/>
    </row>
    <row r="177" spans="1:8" ht="30" customHeight="1" x14ac:dyDescent="0.3">
      <c r="A177" s="5"/>
      <c r="B177" s="3"/>
      <c r="C177" s="10"/>
      <c r="D177" s="6"/>
      <c r="E177" s="8"/>
      <c r="F177" s="3"/>
      <c r="G177" s="3"/>
      <c r="H177" s="9"/>
    </row>
    <row r="178" spans="1:8" ht="30" customHeight="1" x14ac:dyDescent="0.3">
      <c r="A178" s="5"/>
      <c r="B178" s="3"/>
      <c r="C178" s="10"/>
      <c r="D178" s="6"/>
      <c r="E178" s="8"/>
      <c r="F178" s="3"/>
      <c r="G178" s="3"/>
      <c r="H178" s="9"/>
    </row>
    <row r="179" spans="1:8" ht="30" customHeight="1" x14ac:dyDescent="0.3">
      <c r="A179" s="5"/>
      <c r="B179" s="3"/>
      <c r="C179" s="10"/>
      <c r="D179" s="6"/>
      <c r="E179" s="8"/>
      <c r="F179" s="3"/>
      <c r="G179" s="3"/>
      <c r="H179" s="9"/>
    </row>
    <row r="180" spans="1:8" ht="30" customHeight="1" x14ac:dyDescent="0.3">
      <c r="A180" s="5"/>
      <c r="B180" s="3"/>
      <c r="C180" s="10"/>
      <c r="D180" s="6"/>
      <c r="E180" s="8"/>
      <c r="F180" s="3"/>
      <c r="G180" s="3"/>
      <c r="H180" s="9"/>
    </row>
    <row r="181" spans="1:8" ht="30" customHeight="1" x14ac:dyDescent="0.3">
      <c r="A181" s="5"/>
      <c r="B181" s="3"/>
      <c r="C181" s="9"/>
      <c r="D181" s="6"/>
      <c r="E181" s="8"/>
      <c r="F181" s="3"/>
      <c r="G181" s="3"/>
      <c r="H181" s="9"/>
    </row>
    <row r="182" spans="1:8" ht="30" customHeight="1" x14ac:dyDescent="0.3">
      <c r="A182" s="5"/>
      <c r="B182" s="3"/>
      <c r="C182" s="9"/>
      <c r="D182" s="6"/>
      <c r="E182" s="8"/>
      <c r="F182" s="3"/>
      <c r="G182" s="3"/>
      <c r="H182" s="9"/>
    </row>
    <row r="183" spans="1:8" ht="30" customHeight="1" x14ac:dyDescent="0.3">
      <c r="A183" s="5"/>
      <c r="B183" s="3"/>
      <c r="C183" s="9"/>
      <c r="D183" s="6"/>
      <c r="E183" s="8"/>
      <c r="F183" s="3"/>
      <c r="G183" s="3"/>
      <c r="H183" s="9"/>
    </row>
    <row r="184" spans="1:8" ht="30" customHeight="1" x14ac:dyDescent="0.3">
      <c r="A184" s="5"/>
      <c r="B184" s="3"/>
      <c r="C184" s="9"/>
      <c r="D184" s="6"/>
      <c r="E184" s="8"/>
      <c r="F184" s="3"/>
      <c r="G184" s="3"/>
      <c r="H184" s="9"/>
    </row>
    <row r="185" spans="1:8" ht="30" customHeight="1" x14ac:dyDescent="0.3">
      <c r="A185" s="5"/>
      <c r="B185" s="3"/>
      <c r="C185" s="9"/>
      <c r="D185" s="6"/>
      <c r="E185" s="8"/>
      <c r="F185" s="3"/>
      <c r="G185" s="3"/>
      <c r="H185" s="9"/>
    </row>
    <row r="186" spans="1:8" ht="30" customHeight="1" x14ac:dyDescent="0.3">
      <c r="A186" s="5"/>
      <c r="B186" s="3"/>
      <c r="C186" s="9"/>
      <c r="D186" s="6"/>
      <c r="E186" s="8"/>
      <c r="F186" s="3"/>
      <c r="G186" s="3"/>
      <c r="H186" s="9"/>
    </row>
    <row r="187" spans="1:8" ht="30" customHeight="1" x14ac:dyDescent="0.3">
      <c r="A187" s="5"/>
      <c r="B187" s="3"/>
      <c r="C187" s="9"/>
      <c r="D187" s="6"/>
      <c r="E187" s="8"/>
      <c r="F187" s="3"/>
      <c r="G187" s="3"/>
      <c r="H187" s="9"/>
    </row>
    <row r="188" spans="1:8" ht="30" customHeight="1" x14ac:dyDescent="0.3">
      <c r="A188" s="5"/>
      <c r="B188" s="3"/>
      <c r="C188" s="9"/>
      <c r="D188" s="6"/>
      <c r="E188" s="8"/>
      <c r="F188" s="3"/>
      <c r="G188" s="3"/>
      <c r="H188" s="9"/>
    </row>
    <row r="189" spans="1:8" ht="30" customHeight="1" x14ac:dyDescent="0.3">
      <c r="A189" s="5"/>
      <c r="B189" s="3"/>
      <c r="C189" s="9"/>
      <c r="D189" s="6"/>
      <c r="E189" s="8"/>
      <c r="F189" s="3"/>
      <c r="G189" s="3"/>
      <c r="H189" s="9"/>
    </row>
    <row r="190" spans="1:8" ht="30" customHeight="1" x14ac:dyDescent="0.3">
      <c r="A190" s="5"/>
      <c r="B190" s="3"/>
      <c r="C190" s="9"/>
      <c r="D190" s="6"/>
      <c r="E190" s="8"/>
      <c r="F190" s="3"/>
      <c r="G190" s="3"/>
      <c r="H190" s="9"/>
    </row>
    <row r="191" spans="1:8" ht="30" customHeight="1" x14ac:dyDescent="0.3">
      <c r="A191" s="5"/>
      <c r="B191" s="3"/>
      <c r="C191" s="9"/>
      <c r="D191" s="6"/>
      <c r="E191" s="8"/>
      <c r="F191" s="3"/>
      <c r="G191" s="3"/>
      <c r="H191" s="9"/>
    </row>
    <row r="192" spans="1:8" ht="30" customHeight="1" x14ac:dyDescent="0.3">
      <c r="A192" s="5"/>
      <c r="B192" s="3"/>
      <c r="C192" s="9"/>
      <c r="D192" s="6"/>
      <c r="E192" s="8"/>
      <c r="F192" s="3"/>
      <c r="G192" s="3"/>
      <c r="H192" s="9"/>
    </row>
    <row r="193" spans="1:8" ht="30" customHeight="1" x14ac:dyDescent="0.3">
      <c r="A193" s="5"/>
      <c r="B193" s="3"/>
      <c r="C193" s="9"/>
      <c r="D193" s="6"/>
      <c r="E193" s="8"/>
      <c r="F193" s="3"/>
      <c r="G193" s="3"/>
      <c r="H193" s="9"/>
    </row>
    <row r="194" spans="1:8" ht="30" customHeight="1" x14ac:dyDescent="0.3">
      <c r="A194" s="5"/>
      <c r="B194" s="3"/>
      <c r="C194" s="9"/>
      <c r="D194" s="6"/>
      <c r="E194" s="8"/>
      <c r="F194" s="3"/>
      <c r="G194" s="3"/>
      <c r="H194" s="9"/>
    </row>
    <row r="195" spans="1:8" ht="30" customHeight="1" x14ac:dyDescent="0.3">
      <c r="A195" s="5"/>
      <c r="B195" s="3"/>
      <c r="C195" s="9"/>
      <c r="D195" s="6"/>
      <c r="E195" s="8"/>
      <c r="F195" s="3"/>
      <c r="G195" s="3"/>
      <c r="H195" s="9"/>
    </row>
    <row r="196" spans="1:8" ht="30" customHeight="1" x14ac:dyDescent="0.3">
      <c r="A196" s="5"/>
      <c r="B196" s="3"/>
      <c r="C196" s="9"/>
      <c r="D196" s="6"/>
      <c r="E196" s="8"/>
      <c r="F196" s="3"/>
      <c r="G196" s="3"/>
      <c r="H196" s="9"/>
    </row>
    <row r="197" spans="1:8" ht="30" customHeight="1" x14ac:dyDescent="0.3">
      <c r="A197" s="5"/>
      <c r="B197" s="3"/>
      <c r="C197" s="9"/>
      <c r="D197" s="6"/>
      <c r="E197" s="8"/>
      <c r="F197" s="3"/>
      <c r="G197" s="3"/>
      <c r="H197" s="9"/>
    </row>
    <row r="198" spans="1:8" ht="30" customHeight="1" x14ac:dyDescent="0.3">
      <c r="A198" s="5"/>
      <c r="B198" s="3"/>
      <c r="C198" s="9"/>
      <c r="D198" s="6"/>
      <c r="E198" s="8"/>
      <c r="F198" s="3"/>
      <c r="G198" s="3"/>
      <c r="H198" s="9"/>
    </row>
    <row r="199" spans="1:8" ht="30" customHeight="1" x14ac:dyDescent="0.3">
      <c r="A199" s="5"/>
      <c r="B199" s="3"/>
      <c r="C199" s="9"/>
      <c r="D199" s="6"/>
      <c r="E199" s="8"/>
      <c r="F199" s="3"/>
      <c r="G199" s="3"/>
      <c r="H199" s="9"/>
    </row>
    <row r="200" spans="1:8" ht="30" customHeight="1" x14ac:dyDescent="0.3">
      <c r="A200" s="5"/>
      <c r="B200" s="3"/>
      <c r="C200" s="9"/>
      <c r="D200" s="6"/>
      <c r="E200" s="8"/>
      <c r="F200" s="3"/>
      <c r="G200" s="3"/>
      <c r="H200" s="9"/>
    </row>
    <row r="201" spans="1:8" ht="30" customHeight="1" x14ac:dyDescent="0.3">
      <c r="A201" s="5"/>
      <c r="B201" s="3"/>
      <c r="C201" s="9"/>
      <c r="D201" s="6"/>
      <c r="E201" s="8"/>
      <c r="F201" s="3"/>
      <c r="G201" s="3"/>
      <c r="H201" s="9"/>
    </row>
    <row r="202" spans="1:8" ht="30" customHeight="1" x14ac:dyDescent="0.3">
      <c r="A202" s="5"/>
      <c r="B202" s="3"/>
      <c r="C202" s="9"/>
      <c r="D202" s="6"/>
      <c r="E202" s="8"/>
      <c r="F202" s="3"/>
      <c r="G202" s="3"/>
      <c r="H202" s="9"/>
    </row>
    <row r="203" spans="1:8" ht="30" customHeight="1" x14ac:dyDescent="0.3">
      <c r="A203" s="5"/>
      <c r="B203" s="3"/>
      <c r="C203" s="9"/>
      <c r="D203" s="6"/>
      <c r="E203" s="8"/>
      <c r="F203" s="3"/>
      <c r="G203" s="3"/>
      <c r="H203" s="9"/>
    </row>
    <row r="204" spans="1:8" ht="30" customHeight="1" x14ac:dyDescent="0.3">
      <c r="A204" s="5"/>
      <c r="B204" s="3"/>
      <c r="C204" s="9"/>
      <c r="D204" s="6"/>
      <c r="E204" s="8"/>
      <c r="F204" s="3"/>
      <c r="G204" s="3"/>
      <c r="H204" s="9"/>
    </row>
    <row r="205" spans="1:8" ht="30" customHeight="1" x14ac:dyDescent="0.3">
      <c r="A205" s="5"/>
      <c r="B205" s="3"/>
      <c r="C205" s="9"/>
      <c r="D205" s="6"/>
      <c r="E205" s="8"/>
      <c r="F205" s="3"/>
      <c r="G205" s="3"/>
      <c r="H205" s="9"/>
    </row>
    <row r="206" spans="1:8" ht="30" customHeight="1" x14ac:dyDescent="0.3">
      <c r="A206" s="5"/>
      <c r="B206" s="3"/>
      <c r="C206" s="9"/>
      <c r="D206" s="6"/>
      <c r="E206" s="8"/>
      <c r="F206" s="3"/>
      <c r="G206" s="3"/>
      <c r="H206" s="9"/>
    </row>
    <row r="207" spans="1:8" ht="30" customHeight="1" x14ac:dyDescent="0.3">
      <c r="A207" s="5"/>
      <c r="B207" s="3"/>
      <c r="C207" s="9"/>
      <c r="D207" s="6"/>
      <c r="E207" s="8"/>
      <c r="F207" s="3"/>
      <c r="G207" s="3"/>
      <c r="H207" s="9"/>
    </row>
    <row r="208" spans="1:8" ht="30" customHeight="1" x14ac:dyDescent="0.3">
      <c r="A208" s="5"/>
      <c r="B208" s="3"/>
      <c r="C208" s="9"/>
      <c r="D208" s="6"/>
      <c r="E208" s="8"/>
      <c r="F208" s="3"/>
      <c r="G208" s="3"/>
      <c r="H208" s="9"/>
    </row>
    <row r="209" spans="1:8" ht="30" customHeight="1" x14ac:dyDescent="0.3">
      <c r="A209" s="5"/>
      <c r="B209" s="3"/>
      <c r="C209" s="9"/>
      <c r="D209" s="6"/>
      <c r="E209" s="8"/>
      <c r="F209" s="3"/>
      <c r="G209" s="3"/>
      <c r="H209" s="9"/>
    </row>
    <row r="210" spans="1:8" ht="30" customHeight="1" x14ac:dyDescent="0.3">
      <c r="A210" s="5"/>
      <c r="B210" s="3"/>
      <c r="C210" s="9"/>
      <c r="D210" s="6"/>
      <c r="E210" s="8"/>
      <c r="F210" s="3"/>
      <c r="G210" s="3"/>
      <c r="H210" s="9"/>
    </row>
    <row r="211" spans="1:8" ht="30" customHeight="1" x14ac:dyDescent="0.3">
      <c r="A211" s="5"/>
      <c r="B211" s="3"/>
      <c r="C211" s="9"/>
      <c r="D211" s="6"/>
      <c r="E211" s="8"/>
      <c r="F211" s="3"/>
      <c r="G211" s="3"/>
      <c r="H211" s="9"/>
    </row>
    <row r="212" spans="1:8" ht="30" customHeight="1" x14ac:dyDescent="0.3">
      <c r="A212" s="5"/>
      <c r="B212" s="3"/>
      <c r="C212" s="9"/>
      <c r="D212" s="6"/>
      <c r="E212" s="8"/>
      <c r="F212" s="3"/>
      <c r="G212" s="3"/>
      <c r="H212" s="9"/>
    </row>
    <row r="213" spans="1:8" ht="30" customHeight="1" x14ac:dyDescent="0.3">
      <c r="A213" s="5"/>
      <c r="B213" s="3"/>
      <c r="C213" s="9"/>
      <c r="D213" s="6"/>
      <c r="E213" s="8"/>
      <c r="F213" s="3"/>
      <c r="G213" s="3"/>
      <c r="H213" s="9"/>
    </row>
    <row r="214" spans="1:8" ht="30" customHeight="1" x14ac:dyDescent="0.3">
      <c r="A214" s="5"/>
      <c r="B214" s="3"/>
      <c r="C214" s="9"/>
      <c r="D214" s="6"/>
      <c r="E214" s="8"/>
      <c r="F214" s="3"/>
      <c r="G214" s="3"/>
      <c r="H214" s="9"/>
    </row>
    <row r="215" spans="1:8" ht="30" customHeight="1" x14ac:dyDescent="0.3">
      <c r="A215" s="5"/>
      <c r="B215" s="3"/>
      <c r="C215" s="9"/>
      <c r="D215" s="6"/>
      <c r="E215" s="8"/>
      <c r="F215" s="3"/>
      <c r="G215" s="3"/>
      <c r="H215" s="9"/>
    </row>
    <row r="216" spans="1:8" ht="30" customHeight="1" x14ac:dyDescent="0.3">
      <c r="A216" s="5"/>
      <c r="B216" s="3"/>
      <c r="C216" s="9"/>
      <c r="D216" s="6"/>
      <c r="E216" s="8"/>
      <c r="F216" s="3"/>
      <c r="G216" s="3"/>
      <c r="H216" s="9"/>
    </row>
    <row r="217" spans="1:8" ht="30" customHeight="1" x14ac:dyDescent="0.3">
      <c r="A217" s="5"/>
      <c r="B217" s="3"/>
      <c r="C217" s="9"/>
      <c r="D217" s="6"/>
      <c r="E217" s="8"/>
      <c r="F217" s="3"/>
      <c r="G217" s="3"/>
      <c r="H217" s="9"/>
    </row>
    <row r="218" spans="1:8" ht="30" customHeight="1" x14ac:dyDescent="0.3">
      <c r="A218" s="5"/>
      <c r="B218" s="3"/>
      <c r="C218" s="9"/>
      <c r="D218" s="6"/>
      <c r="E218" s="8"/>
      <c r="F218" s="3"/>
      <c r="G218" s="3"/>
      <c r="H218" s="9"/>
    </row>
    <row r="219" spans="1:8" ht="30" customHeight="1" x14ac:dyDescent="0.3">
      <c r="A219" s="5"/>
      <c r="B219" s="3"/>
      <c r="C219" s="9"/>
      <c r="D219" s="6"/>
      <c r="E219" s="8"/>
      <c r="F219" s="3"/>
      <c r="G219" s="3"/>
      <c r="H219" s="9"/>
    </row>
    <row r="220" spans="1:8" ht="30" customHeight="1" x14ac:dyDescent="0.3">
      <c r="A220" s="5"/>
      <c r="B220" s="3"/>
      <c r="C220" s="9"/>
      <c r="D220" s="6"/>
      <c r="E220" s="8"/>
      <c r="F220" s="3"/>
      <c r="G220" s="3"/>
      <c r="H220" s="9"/>
    </row>
    <row r="221" spans="1:8" ht="30" customHeight="1" x14ac:dyDescent="0.3">
      <c r="A221" s="5"/>
      <c r="B221" s="3"/>
      <c r="C221" s="9"/>
      <c r="D221" s="6"/>
      <c r="E221" s="8"/>
      <c r="F221" s="3"/>
      <c r="G221" s="3"/>
      <c r="H221" s="9"/>
    </row>
    <row r="222" spans="1:8" ht="30" customHeight="1" x14ac:dyDescent="0.3">
      <c r="A222" s="5"/>
      <c r="B222" s="3"/>
      <c r="C222" s="9"/>
      <c r="D222" s="6"/>
      <c r="E222" s="8"/>
      <c r="F222" s="3"/>
      <c r="G222" s="3"/>
      <c r="H222" s="9"/>
    </row>
    <row r="223" spans="1:8" ht="30" customHeight="1" x14ac:dyDescent="0.3">
      <c r="A223" s="5"/>
      <c r="B223" s="3"/>
      <c r="C223" s="9"/>
      <c r="D223" s="6"/>
      <c r="E223" s="8"/>
      <c r="F223" s="3"/>
      <c r="G223" s="3"/>
      <c r="H223" s="9"/>
    </row>
    <row r="224" spans="1:8" ht="30" customHeight="1" x14ac:dyDescent="0.3">
      <c r="A224" s="5"/>
      <c r="B224" s="3"/>
      <c r="C224" s="9"/>
      <c r="D224" s="6"/>
      <c r="E224" s="8"/>
      <c r="F224" s="3"/>
      <c r="G224" s="3"/>
      <c r="H224" s="9"/>
    </row>
    <row r="225" spans="1:8" ht="30" customHeight="1" x14ac:dyDescent="0.3">
      <c r="A225" s="5"/>
      <c r="B225" s="3"/>
      <c r="C225" s="9"/>
      <c r="D225" s="6"/>
      <c r="E225" s="8"/>
      <c r="F225" s="3"/>
      <c r="G225" s="3"/>
      <c r="H225" s="9"/>
    </row>
    <row r="226" spans="1:8" ht="30" customHeight="1" x14ac:dyDescent="0.3">
      <c r="A226" s="5"/>
      <c r="B226" s="3"/>
      <c r="C226" s="9"/>
      <c r="D226" s="6"/>
      <c r="E226" s="8"/>
      <c r="F226" s="3"/>
      <c r="G226" s="3"/>
      <c r="H226" s="9"/>
    </row>
    <row r="227" spans="1:8" ht="30" customHeight="1" x14ac:dyDescent="0.3">
      <c r="A227" s="5"/>
      <c r="B227" s="3"/>
      <c r="C227" s="9"/>
      <c r="D227" s="6"/>
      <c r="E227" s="8"/>
      <c r="F227" s="3"/>
      <c r="G227" s="3"/>
      <c r="H227" s="9"/>
    </row>
    <row r="228" spans="1:8" ht="30" customHeight="1" x14ac:dyDescent="0.3">
      <c r="A228" s="5"/>
      <c r="B228" s="3"/>
      <c r="C228" s="9"/>
      <c r="D228" s="6"/>
      <c r="E228" s="8"/>
      <c r="F228" s="3"/>
      <c r="G228" s="3"/>
      <c r="H228" s="9"/>
    </row>
    <row r="229" spans="1:8" ht="30" customHeight="1" x14ac:dyDescent="0.3">
      <c r="A229" s="5"/>
      <c r="B229" s="3"/>
      <c r="C229" s="9"/>
      <c r="D229" s="6"/>
      <c r="E229" s="8"/>
      <c r="F229" s="3"/>
      <c r="G229" s="3"/>
      <c r="H229" s="9"/>
    </row>
    <row r="230" spans="1:8" ht="30" customHeight="1" x14ac:dyDescent="0.3">
      <c r="A230" s="5"/>
      <c r="B230" s="3"/>
      <c r="C230" s="9"/>
      <c r="D230" s="6"/>
      <c r="E230" s="8"/>
      <c r="F230" s="3"/>
      <c r="G230" s="3"/>
      <c r="H230" s="9"/>
    </row>
    <row r="231" spans="1:8" ht="30" customHeight="1" x14ac:dyDescent="0.3">
      <c r="A231" s="5"/>
      <c r="B231" s="3"/>
      <c r="C231" s="9"/>
      <c r="D231" s="6"/>
      <c r="E231" s="8"/>
      <c r="F231" s="3"/>
      <c r="G231" s="3"/>
      <c r="H231" s="9"/>
    </row>
    <row r="232" spans="1:8" ht="30" customHeight="1" x14ac:dyDescent="0.3">
      <c r="A232" s="5"/>
      <c r="B232" s="3"/>
      <c r="C232" s="9"/>
      <c r="D232" s="6"/>
      <c r="E232" s="8"/>
      <c r="F232" s="3"/>
      <c r="G232" s="3"/>
      <c r="H232" s="9"/>
    </row>
    <row r="233" spans="1:8" ht="30" customHeight="1" x14ac:dyDescent="0.3">
      <c r="A233" s="5"/>
      <c r="B233" s="3"/>
      <c r="C233" s="9"/>
      <c r="D233" s="6"/>
      <c r="E233" s="8"/>
      <c r="F233" s="3"/>
      <c r="G233" s="3"/>
      <c r="H233" s="9"/>
    </row>
    <row r="234" spans="1:8" ht="30" customHeight="1" x14ac:dyDescent="0.3">
      <c r="A234" s="5"/>
      <c r="B234" s="3"/>
      <c r="C234" s="9"/>
      <c r="D234" s="6"/>
      <c r="E234" s="8"/>
      <c r="F234" s="3"/>
      <c r="G234" s="3"/>
      <c r="H234" s="9"/>
    </row>
    <row r="235" spans="1:8" ht="30" customHeight="1" x14ac:dyDescent="0.3">
      <c r="A235" s="5"/>
      <c r="B235" s="3"/>
      <c r="C235" s="9"/>
      <c r="D235" s="6"/>
      <c r="E235" s="8"/>
      <c r="F235" s="3"/>
      <c r="G235" s="3"/>
      <c r="H235" s="9"/>
    </row>
    <row r="236" spans="1:8" ht="30" customHeight="1" x14ac:dyDescent="0.3">
      <c r="A236" s="5"/>
      <c r="B236" s="3"/>
      <c r="C236" s="9"/>
      <c r="D236" s="6"/>
      <c r="E236" s="8"/>
      <c r="F236" s="3"/>
      <c r="G236" s="3"/>
      <c r="H236" s="9"/>
    </row>
    <row r="237" spans="1:8" ht="30" customHeight="1" x14ac:dyDescent="0.3">
      <c r="A237" s="5"/>
      <c r="B237" s="3"/>
      <c r="C237" s="9"/>
      <c r="D237" s="6"/>
      <c r="E237" s="8"/>
      <c r="F237" s="3"/>
      <c r="G237" s="3"/>
      <c r="H237" s="9"/>
    </row>
    <row r="238" spans="1:8" ht="30" customHeight="1" x14ac:dyDescent="0.3">
      <c r="A238" s="5"/>
      <c r="B238" s="3"/>
      <c r="C238" s="9"/>
      <c r="D238" s="6"/>
      <c r="E238" s="8"/>
      <c r="F238" s="3"/>
      <c r="G238" s="3"/>
      <c r="H238" s="9"/>
    </row>
    <row r="239" spans="1:8" ht="30" customHeight="1" x14ac:dyDescent="0.3">
      <c r="A239" s="5"/>
      <c r="B239" s="3"/>
      <c r="C239" s="9"/>
      <c r="D239" s="6"/>
      <c r="E239" s="8"/>
      <c r="F239" s="3"/>
      <c r="G239" s="3"/>
      <c r="H239" s="9"/>
    </row>
    <row r="240" spans="1:8" ht="30" customHeight="1" x14ac:dyDescent="0.3">
      <c r="A240" s="5"/>
      <c r="B240" s="3"/>
      <c r="C240" s="9"/>
      <c r="D240" s="6"/>
      <c r="E240" s="8"/>
      <c r="F240" s="3"/>
      <c r="G240" s="3"/>
      <c r="H240" s="9"/>
    </row>
    <row r="241" spans="1:8" ht="30" customHeight="1" x14ac:dyDescent="0.3">
      <c r="A241" s="5"/>
      <c r="B241" s="3"/>
      <c r="C241" s="9"/>
      <c r="D241" s="6"/>
      <c r="E241" s="8"/>
      <c r="F241" s="3"/>
      <c r="G241" s="3"/>
      <c r="H241" s="9"/>
    </row>
    <row r="242" spans="1:8" ht="30" customHeight="1" x14ac:dyDescent="0.3">
      <c r="A242" s="5"/>
      <c r="B242" s="3"/>
      <c r="C242" s="9"/>
      <c r="D242" s="6"/>
      <c r="E242" s="8"/>
      <c r="F242" s="3"/>
      <c r="G242" s="3"/>
      <c r="H242" s="9"/>
    </row>
    <row r="243" spans="1:8" ht="30" customHeight="1" x14ac:dyDescent="0.3">
      <c r="A243" s="5"/>
      <c r="B243" s="3"/>
      <c r="C243" s="9"/>
      <c r="D243" s="6"/>
      <c r="E243" s="8"/>
      <c r="F243" s="3"/>
      <c r="G243" s="3"/>
      <c r="H243" s="9"/>
    </row>
    <row r="244" spans="1:8" ht="30" customHeight="1" x14ac:dyDescent="0.3">
      <c r="A244" s="5"/>
      <c r="B244" s="3"/>
      <c r="C244" s="9"/>
      <c r="D244" s="6"/>
      <c r="E244" s="8"/>
      <c r="F244" s="3"/>
      <c r="G244" s="3"/>
      <c r="H244" s="9"/>
    </row>
    <row r="245" spans="1:8" ht="30" customHeight="1" x14ac:dyDescent="0.3">
      <c r="A245" s="5"/>
      <c r="B245" s="3"/>
      <c r="C245" s="9"/>
      <c r="D245" s="6"/>
      <c r="E245" s="8"/>
      <c r="F245" s="3"/>
      <c r="G245" s="3"/>
      <c r="H245" s="9"/>
    </row>
    <row r="246" spans="1:8" ht="30" customHeight="1" x14ac:dyDescent="0.3">
      <c r="A246" s="5"/>
      <c r="B246" s="3"/>
      <c r="C246" s="9"/>
      <c r="D246" s="6"/>
      <c r="E246" s="8"/>
      <c r="F246" s="3"/>
      <c r="G246" s="3"/>
      <c r="H246" s="9"/>
    </row>
    <row r="247" spans="1:8" ht="30" customHeight="1" x14ac:dyDescent="0.3">
      <c r="A247" s="5"/>
      <c r="B247" s="3"/>
      <c r="C247" s="9"/>
      <c r="D247" s="6"/>
      <c r="E247" s="8"/>
      <c r="F247" s="3"/>
      <c r="G247" s="3"/>
      <c r="H247" s="9"/>
    </row>
    <row r="248" spans="1:8" ht="30" customHeight="1" x14ac:dyDescent="0.3">
      <c r="A248" s="5"/>
      <c r="B248" s="3"/>
      <c r="C248" s="9"/>
      <c r="D248" s="6"/>
      <c r="E248" s="8"/>
      <c r="F248" s="3"/>
      <c r="G248" s="3"/>
      <c r="H248" s="9"/>
    </row>
    <row r="249" spans="1:8" ht="30" customHeight="1" x14ac:dyDescent="0.3">
      <c r="A249" s="5"/>
      <c r="B249" s="3"/>
      <c r="C249" s="9"/>
      <c r="D249" s="6"/>
      <c r="E249" s="8"/>
      <c r="F249" s="3"/>
      <c r="G249" s="3"/>
      <c r="H249" s="9"/>
    </row>
    <row r="250" spans="1:8" ht="30" customHeight="1" x14ac:dyDescent="0.3">
      <c r="A250" s="5"/>
      <c r="B250" s="3"/>
      <c r="C250" s="9"/>
      <c r="D250" s="6"/>
      <c r="E250" s="8"/>
      <c r="F250" s="3"/>
      <c r="G250" s="3"/>
      <c r="H250" s="9"/>
    </row>
    <row r="251" spans="1:8" ht="30" customHeight="1" x14ac:dyDescent="0.3">
      <c r="A251" s="5"/>
      <c r="B251" s="3"/>
      <c r="C251" s="9"/>
      <c r="D251" s="6"/>
      <c r="E251" s="8"/>
      <c r="F251" s="3"/>
      <c r="G251" s="3"/>
      <c r="H251" s="9"/>
    </row>
    <row r="252" spans="1:8" ht="30" customHeight="1" x14ac:dyDescent="0.3">
      <c r="A252" s="5"/>
      <c r="B252" s="3"/>
      <c r="C252" s="9"/>
      <c r="D252" s="6"/>
      <c r="E252" s="8"/>
      <c r="F252" s="3"/>
      <c r="G252" s="3"/>
      <c r="H252" s="9"/>
    </row>
    <row r="253" spans="1:8" ht="30" customHeight="1" x14ac:dyDescent="0.3">
      <c r="A253" s="5"/>
      <c r="B253" s="3"/>
      <c r="C253" s="9"/>
      <c r="D253" s="6"/>
      <c r="E253" s="8"/>
      <c r="F253" s="3"/>
      <c r="G253" s="3"/>
      <c r="H253" s="9"/>
    </row>
    <row r="254" spans="1:8" ht="30" customHeight="1" x14ac:dyDescent="0.3">
      <c r="A254" s="5"/>
      <c r="B254" s="3"/>
      <c r="C254" s="9"/>
      <c r="D254" s="6"/>
      <c r="E254" s="8"/>
      <c r="F254" s="3"/>
      <c r="G254" s="3"/>
      <c r="H254" s="9"/>
    </row>
    <row r="255" spans="1:8" ht="30" customHeight="1" x14ac:dyDescent="0.3">
      <c r="A255" s="5"/>
      <c r="B255" s="3"/>
      <c r="C255" s="9"/>
      <c r="D255" s="6"/>
      <c r="E255" s="8"/>
      <c r="F255" s="3"/>
      <c r="G255" s="3"/>
      <c r="H255" s="9"/>
    </row>
    <row r="256" spans="1:8" ht="30" customHeight="1" x14ac:dyDescent="0.3">
      <c r="A256" s="5"/>
      <c r="B256" s="3"/>
      <c r="C256" s="9"/>
      <c r="D256" s="6"/>
      <c r="E256" s="8"/>
      <c r="F256" s="3"/>
      <c r="G256" s="3"/>
      <c r="H256" s="9"/>
    </row>
    <row r="257" spans="1:8" ht="30" customHeight="1" x14ac:dyDescent="0.3">
      <c r="A257" s="5"/>
      <c r="B257" s="3"/>
      <c r="C257" s="9"/>
      <c r="D257" s="6"/>
      <c r="E257" s="8"/>
      <c r="F257" s="3"/>
      <c r="G257" s="3"/>
      <c r="H257" s="9"/>
    </row>
    <row r="258" spans="1:8" ht="30" customHeight="1" x14ac:dyDescent="0.3">
      <c r="A258" s="5"/>
      <c r="B258" s="3"/>
      <c r="C258" s="9"/>
      <c r="D258" s="6"/>
      <c r="E258" s="8"/>
      <c r="F258" s="3"/>
      <c r="G258" s="3"/>
      <c r="H258" s="9"/>
    </row>
    <row r="259" spans="1:8" ht="30" customHeight="1" x14ac:dyDescent="0.3">
      <c r="A259" s="5"/>
      <c r="B259" s="3"/>
      <c r="C259" s="9"/>
      <c r="D259" s="6"/>
      <c r="E259" s="8"/>
      <c r="F259" s="3"/>
      <c r="G259" s="3"/>
      <c r="H259" s="9"/>
    </row>
    <row r="260" spans="1:8" ht="30" customHeight="1" x14ac:dyDescent="0.3">
      <c r="A260" s="5"/>
      <c r="B260" s="3"/>
      <c r="C260" s="9"/>
      <c r="D260" s="6"/>
      <c r="E260" s="8"/>
      <c r="F260" s="3"/>
      <c r="G260" s="3"/>
      <c r="H260" s="9"/>
    </row>
    <row r="261" spans="1:8" ht="30" customHeight="1" x14ac:dyDescent="0.3">
      <c r="A261" s="5"/>
      <c r="B261" s="3"/>
      <c r="C261" s="9"/>
      <c r="D261" s="6"/>
      <c r="E261" s="8"/>
      <c r="F261" s="3"/>
      <c r="G261" s="3"/>
      <c r="H261" s="9"/>
    </row>
    <row r="262" spans="1:8" ht="30" customHeight="1" x14ac:dyDescent="0.3">
      <c r="A262" s="5"/>
      <c r="B262" s="3"/>
      <c r="C262" s="9"/>
      <c r="D262" s="6"/>
      <c r="E262" s="8"/>
      <c r="F262" s="3"/>
      <c r="G262" s="3"/>
      <c r="H262" s="9"/>
    </row>
    <row r="263" spans="1:8" ht="30" customHeight="1" x14ac:dyDescent="0.3">
      <c r="A263" s="5"/>
      <c r="B263" s="3"/>
      <c r="C263" s="9"/>
      <c r="D263" s="6"/>
      <c r="E263" s="8"/>
      <c r="F263" s="3"/>
      <c r="G263" s="3"/>
      <c r="H263" s="9"/>
    </row>
    <row r="264" spans="1:8" ht="30" customHeight="1" x14ac:dyDescent="0.3">
      <c r="A264" s="5"/>
      <c r="B264" s="3"/>
      <c r="C264" s="9"/>
      <c r="D264" s="6"/>
      <c r="E264" s="8"/>
      <c r="F264" s="3"/>
      <c r="G264" s="3"/>
      <c r="H264" s="9"/>
    </row>
    <row r="265" spans="1:8" ht="30" customHeight="1" x14ac:dyDescent="0.3">
      <c r="A265" s="5"/>
      <c r="B265" s="3"/>
      <c r="C265" s="9"/>
      <c r="D265" s="6"/>
      <c r="E265" s="8"/>
      <c r="F265" s="3"/>
      <c r="G265" s="3"/>
      <c r="H265" s="9"/>
    </row>
    <row r="266" spans="1:8" ht="30" customHeight="1" x14ac:dyDescent="0.3">
      <c r="A266" s="5"/>
      <c r="B266" s="3"/>
      <c r="C266" s="9"/>
      <c r="D266" s="6"/>
      <c r="E266" s="8"/>
      <c r="F266" s="3"/>
      <c r="G266" s="3"/>
      <c r="H266" s="9"/>
    </row>
    <row r="267" spans="1:8" ht="30" customHeight="1" x14ac:dyDescent="0.3">
      <c r="A267" s="5"/>
      <c r="B267" s="3"/>
      <c r="C267" s="9"/>
      <c r="D267" s="6"/>
      <c r="E267" s="8"/>
      <c r="F267" s="3"/>
      <c r="G267" s="3"/>
      <c r="H267" s="9"/>
    </row>
    <row r="268" spans="1:8" ht="30" customHeight="1" x14ac:dyDescent="0.3">
      <c r="A268" s="5"/>
      <c r="B268" s="3"/>
      <c r="C268" s="9"/>
      <c r="D268" s="6"/>
      <c r="E268" s="8"/>
      <c r="F268" s="3"/>
      <c r="G268" s="3"/>
      <c r="H268" s="9"/>
    </row>
    <row r="269" spans="1:8" ht="30" customHeight="1" x14ac:dyDescent="0.3">
      <c r="A269" s="5"/>
      <c r="B269" s="3"/>
      <c r="C269" s="9"/>
      <c r="D269" s="6"/>
      <c r="E269" s="8"/>
      <c r="F269" s="3"/>
      <c r="G269" s="3"/>
      <c r="H269" s="9"/>
    </row>
    <row r="270" spans="1:8" ht="30" customHeight="1" x14ac:dyDescent="0.3">
      <c r="A270" s="5"/>
      <c r="B270" s="3"/>
      <c r="C270" s="9"/>
      <c r="D270" s="6"/>
      <c r="E270" s="8"/>
      <c r="F270" s="3"/>
      <c r="G270" s="3"/>
      <c r="H270" s="9"/>
    </row>
    <row r="271" spans="1:8" ht="30" customHeight="1" x14ac:dyDescent="0.3">
      <c r="A271" s="5"/>
      <c r="B271" s="3"/>
      <c r="C271" s="9"/>
      <c r="D271" s="6"/>
      <c r="E271" s="8"/>
      <c r="F271" s="3"/>
      <c r="G271" s="3"/>
      <c r="H271" s="9"/>
    </row>
    <row r="272" spans="1:8" ht="30" customHeight="1" x14ac:dyDescent="0.3">
      <c r="A272" s="5"/>
      <c r="B272" s="3"/>
      <c r="C272" s="9"/>
      <c r="D272" s="6"/>
      <c r="E272" s="8"/>
      <c r="F272" s="3"/>
      <c r="G272" s="3"/>
      <c r="H272" s="9"/>
    </row>
    <row r="273" spans="1:8" ht="30" customHeight="1" x14ac:dyDescent="0.3">
      <c r="A273" s="5"/>
      <c r="B273" s="3"/>
      <c r="C273" s="9"/>
      <c r="D273" s="6"/>
      <c r="E273" s="8"/>
      <c r="F273" s="3"/>
      <c r="G273" s="3"/>
      <c r="H273" s="9"/>
    </row>
    <row r="274" spans="1:8" ht="30" customHeight="1" x14ac:dyDescent="0.3">
      <c r="A274" s="5"/>
      <c r="B274" s="3"/>
      <c r="C274" s="9"/>
      <c r="D274" s="6"/>
      <c r="E274" s="8"/>
      <c r="F274" s="3"/>
      <c r="G274" s="3"/>
      <c r="H274" s="9"/>
    </row>
    <row r="275" spans="1:8" ht="30" customHeight="1" x14ac:dyDescent="0.3">
      <c r="A275" s="2"/>
      <c r="B275" s="2"/>
      <c r="C275" s="9"/>
      <c r="D275" s="12"/>
      <c r="E275" s="10"/>
      <c r="F275" s="2"/>
      <c r="G275" s="2"/>
      <c r="H275" s="9"/>
    </row>
    <row r="276" spans="1:8" ht="30" customHeight="1" x14ac:dyDescent="0.3">
      <c r="A276" s="2"/>
      <c r="B276" s="2"/>
      <c r="C276" s="9"/>
      <c r="D276" s="12"/>
      <c r="E276" s="10"/>
      <c r="F276" s="2"/>
      <c r="G276" s="2"/>
      <c r="H276" s="9"/>
    </row>
    <row r="277" spans="1:8" ht="30" customHeight="1" x14ac:dyDescent="0.3">
      <c r="A277" s="2"/>
      <c r="B277" s="2"/>
      <c r="C277" s="9"/>
      <c r="D277" s="12"/>
      <c r="E277" s="10"/>
      <c r="F277" s="2"/>
      <c r="G277" s="2"/>
      <c r="H277" s="9"/>
    </row>
    <row r="278" spans="1:8" ht="30" customHeight="1" x14ac:dyDescent="0.3">
      <c r="A278" s="2"/>
      <c r="B278" s="2"/>
      <c r="C278" s="9"/>
      <c r="D278" s="12"/>
      <c r="E278" s="10"/>
      <c r="F278" s="2"/>
      <c r="G278" s="2"/>
      <c r="H278" s="9"/>
    </row>
    <row r="279" spans="1:8" ht="30" customHeight="1" x14ac:dyDescent="0.3">
      <c r="A279" s="2"/>
      <c r="B279" s="2"/>
      <c r="C279" s="9"/>
      <c r="D279" s="12"/>
      <c r="E279" s="10"/>
      <c r="F279" s="2"/>
      <c r="G279" s="2"/>
      <c r="H279" s="9"/>
    </row>
    <row r="280" spans="1:8" ht="30" customHeight="1" x14ac:dyDescent="0.3">
      <c r="A280" s="2"/>
      <c r="B280" s="2"/>
      <c r="C280" s="9"/>
      <c r="D280" s="12"/>
      <c r="E280" s="10"/>
      <c r="F280" s="2"/>
      <c r="G280" s="2"/>
      <c r="H280" s="9"/>
    </row>
    <row r="281" spans="1:8" ht="30" customHeight="1" x14ac:dyDescent="0.3">
      <c r="A281" s="2"/>
      <c r="B281" s="2"/>
      <c r="C281" s="9"/>
      <c r="D281" s="2"/>
      <c r="E281" s="10"/>
      <c r="F281" s="2"/>
      <c r="G281" s="2"/>
      <c r="H281" s="9"/>
    </row>
    <row r="282" spans="1:8" ht="30" customHeight="1" x14ac:dyDescent="0.3">
      <c r="A282" s="2"/>
      <c r="B282" s="2"/>
      <c r="C282" s="9"/>
      <c r="D282" s="2"/>
      <c r="E282" s="10"/>
      <c r="F282" s="2"/>
      <c r="G282" s="2"/>
      <c r="H282" s="9"/>
    </row>
    <row r="283" spans="1:8" x14ac:dyDescent="0.3">
      <c r="A283" s="9"/>
      <c r="B283" s="9"/>
      <c r="C283" s="9"/>
      <c r="D283" s="9"/>
      <c r="E283" s="9"/>
      <c r="F283" s="9"/>
      <c r="G283" s="9"/>
      <c r="H283" s="9"/>
    </row>
    <row r="284" spans="1:8" x14ac:dyDescent="0.3">
      <c r="A284" s="9"/>
      <c r="B284" s="9"/>
      <c r="C284" s="9"/>
      <c r="D284" s="9"/>
      <c r="E284" s="9"/>
      <c r="F284" s="9"/>
      <c r="G284" s="9"/>
      <c r="H284" s="9"/>
    </row>
    <row r="285" spans="1:8" x14ac:dyDescent="0.3">
      <c r="A285" s="9"/>
      <c r="B285" s="9"/>
      <c r="C285" s="9"/>
      <c r="D285" s="9"/>
      <c r="E285" s="9"/>
      <c r="F285" s="9"/>
      <c r="G285" s="9"/>
      <c r="H285" s="9"/>
    </row>
    <row r="286" spans="1:8" x14ac:dyDescent="0.3">
      <c r="A286" s="9"/>
      <c r="B286" s="9"/>
      <c r="C286" s="9"/>
      <c r="D286" s="9"/>
      <c r="E286" s="9"/>
      <c r="F286" s="9"/>
      <c r="G286" s="9"/>
      <c r="H286" s="9"/>
    </row>
    <row r="287" spans="1:8" x14ac:dyDescent="0.3">
      <c r="A287" s="9"/>
      <c r="B287" s="9"/>
      <c r="C287" s="9"/>
      <c r="D287" s="9"/>
      <c r="E287" s="9"/>
      <c r="F287" s="9"/>
      <c r="G287" s="9"/>
      <c r="H287" s="9"/>
    </row>
    <row r="288" spans="1:8" x14ac:dyDescent="0.3">
      <c r="A288" s="9"/>
      <c r="B288" s="9"/>
      <c r="C288" s="9"/>
      <c r="D288" s="9"/>
      <c r="E288" s="9"/>
      <c r="F288" s="9"/>
      <c r="G288" s="9"/>
      <c r="H288" s="9"/>
    </row>
    <row r="289" spans="1:8" x14ac:dyDescent="0.3">
      <c r="A289" s="9"/>
      <c r="B289" s="9"/>
      <c r="C289" s="9"/>
      <c r="D289" s="9"/>
      <c r="E289" s="9"/>
      <c r="F289" s="9"/>
      <c r="G289" s="9"/>
      <c r="H289" s="9"/>
    </row>
    <row r="290" spans="1:8" x14ac:dyDescent="0.3">
      <c r="A290" s="9"/>
      <c r="B290" s="9"/>
      <c r="C290" s="9"/>
      <c r="D290" s="9"/>
      <c r="E290" s="9"/>
      <c r="F290" s="9"/>
      <c r="G290" s="9"/>
      <c r="H290" s="9"/>
    </row>
    <row r="291" spans="1:8" x14ac:dyDescent="0.3">
      <c r="A291" s="9"/>
      <c r="B291" s="9"/>
      <c r="C291" s="9"/>
      <c r="D291" s="9"/>
      <c r="E291" s="9"/>
      <c r="F291" s="9"/>
      <c r="G291" s="9"/>
      <c r="H291" s="9"/>
    </row>
    <row r="292" spans="1:8" x14ac:dyDescent="0.3">
      <c r="A292" s="9"/>
      <c r="B292" s="9"/>
      <c r="C292" s="9"/>
      <c r="D292" s="9"/>
      <c r="E292" s="9"/>
      <c r="F292" s="9"/>
      <c r="G292" s="9"/>
      <c r="H292" s="9"/>
    </row>
    <row r="293" spans="1:8" x14ac:dyDescent="0.3">
      <c r="A293" s="9"/>
      <c r="B293" s="9"/>
      <c r="C293" s="9"/>
      <c r="D293" s="9"/>
      <c r="E293" s="9"/>
      <c r="F293" s="9"/>
      <c r="G293" s="9"/>
      <c r="H293" s="9"/>
    </row>
    <row r="294" spans="1:8" x14ac:dyDescent="0.3">
      <c r="A294" s="9"/>
      <c r="B294" s="9"/>
      <c r="C294" s="9"/>
      <c r="D294" s="9"/>
      <c r="E294" s="9"/>
      <c r="F294" s="9"/>
      <c r="G294" s="9"/>
      <c r="H294" s="9"/>
    </row>
    <row r="295" spans="1:8" x14ac:dyDescent="0.3">
      <c r="A295" s="9"/>
      <c r="B295" s="9"/>
      <c r="C295" s="9"/>
      <c r="D295" s="9"/>
      <c r="E295" s="9"/>
      <c r="F295" s="9"/>
      <c r="G295" s="9"/>
      <c r="H295" s="9"/>
    </row>
    <row r="296" spans="1:8" x14ac:dyDescent="0.3">
      <c r="A296" s="9"/>
      <c r="B296" s="9"/>
      <c r="C296" s="9"/>
      <c r="D296" s="9"/>
      <c r="E296" s="9"/>
      <c r="F296" s="9"/>
      <c r="G296" s="9"/>
      <c r="H296" s="9"/>
    </row>
    <row r="297" spans="1:8" x14ac:dyDescent="0.3">
      <c r="A297" s="9"/>
      <c r="B297" s="9"/>
      <c r="C297" s="9"/>
      <c r="D297" s="9"/>
      <c r="E297" s="9"/>
      <c r="F297" s="9"/>
      <c r="G297" s="9"/>
      <c r="H297" s="9"/>
    </row>
    <row r="298" spans="1:8" x14ac:dyDescent="0.3">
      <c r="A298" s="9"/>
      <c r="B298" s="9"/>
      <c r="C298" s="9"/>
      <c r="D298" s="9"/>
      <c r="E298" s="9"/>
      <c r="F298" s="9"/>
      <c r="G298" s="9"/>
      <c r="H298" s="9"/>
    </row>
    <row r="299" spans="1:8" x14ac:dyDescent="0.3">
      <c r="A299" s="9"/>
      <c r="B299" s="9"/>
      <c r="C299" s="9"/>
      <c r="D299" s="9"/>
      <c r="E299" s="9"/>
      <c r="F299" s="9"/>
      <c r="G299" s="9"/>
      <c r="H299" s="9"/>
    </row>
    <row r="300" spans="1:8" x14ac:dyDescent="0.3">
      <c r="A300" s="9"/>
      <c r="B300" s="9"/>
      <c r="C300" s="9"/>
      <c r="D300" s="9"/>
      <c r="E300" s="9"/>
      <c r="F300" s="9"/>
      <c r="G300" s="9"/>
      <c r="H300" s="9"/>
    </row>
    <row r="301" spans="1:8" x14ac:dyDescent="0.3">
      <c r="A301" s="9"/>
      <c r="B301" s="9"/>
      <c r="C301" s="9"/>
      <c r="D301" s="9"/>
      <c r="E301" s="9"/>
      <c r="F301" s="9"/>
      <c r="G301" s="9"/>
      <c r="H301" s="9"/>
    </row>
    <row r="302" spans="1:8" x14ac:dyDescent="0.3">
      <c r="A302" s="9"/>
      <c r="B302" s="9"/>
      <c r="C302" s="9"/>
      <c r="D302" s="9"/>
      <c r="E302" s="9"/>
      <c r="F302" s="9"/>
      <c r="G302" s="9"/>
      <c r="H302" s="9"/>
    </row>
    <row r="303" spans="1:8" x14ac:dyDescent="0.3">
      <c r="A303" s="9"/>
      <c r="B303" s="9"/>
      <c r="C303" s="9"/>
      <c r="D303" s="9"/>
      <c r="E303" s="9"/>
      <c r="F303" s="9"/>
      <c r="G303" s="9"/>
      <c r="H303" s="9"/>
    </row>
    <row r="304" spans="1:8" x14ac:dyDescent="0.3">
      <c r="A304" s="9"/>
      <c r="B304" s="9"/>
      <c r="C304" s="9"/>
      <c r="D304" s="9"/>
      <c r="E304" s="9"/>
      <c r="F304" s="9"/>
      <c r="G304" s="9"/>
      <c r="H304" s="9"/>
    </row>
    <row r="305" spans="1:8" x14ac:dyDescent="0.3">
      <c r="A305" s="9"/>
      <c r="B305" s="9"/>
      <c r="C305" s="9"/>
      <c r="D305" s="9"/>
      <c r="E305" s="9"/>
      <c r="F305" s="9"/>
      <c r="G305" s="9"/>
      <c r="H305" s="9"/>
    </row>
    <row r="306" spans="1:8" x14ac:dyDescent="0.3">
      <c r="A306" s="9"/>
      <c r="B306" s="9"/>
      <c r="C306" s="9"/>
      <c r="D306" s="9"/>
      <c r="E306" s="9"/>
      <c r="F306" s="9"/>
      <c r="G306" s="9"/>
      <c r="H306" s="9"/>
    </row>
    <row r="307" spans="1:8" x14ac:dyDescent="0.3">
      <c r="A307" s="9"/>
      <c r="B307" s="9"/>
      <c r="C307" s="9"/>
      <c r="D307" s="9"/>
      <c r="E307" s="9"/>
      <c r="F307" s="9"/>
      <c r="G307" s="9"/>
      <c r="H307" s="9"/>
    </row>
    <row r="308" spans="1:8" x14ac:dyDescent="0.3">
      <c r="A308" s="9"/>
      <c r="B308" s="9"/>
      <c r="C308" s="9"/>
      <c r="D308" s="9"/>
      <c r="E308" s="9"/>
      <c r="F308" s="9"/>
      <c r="G308" s="9"/>
      <c r="H308" s="9"/>
    </row>
    <row r="309" spans="1:8" x14ac:dyDescent="0.3">
      <c r="A309" s="9"/>
      <c r="B309" s="9"/>
      <c r="C309" s="9"/>
      <c r="D309" s="9"/>
      <c r="E309" s="9"/>
      <c r="F309" s="9"/>
      <c r="G309" s="9"/>
      <c r="H309" s="9"/>
    </row>
    <row r="310" spans="1:8" x14ac:dyDescent="0.3">
      <c r="A310" s="9"/>
      <c r="B310" s="9"/>
      <c r="C310" s="9"/>
      <c r="D310" s="9"/>
      <c r="E310" s="9"/>
      <c r="F310" s="9"/>
      <c r="G310" s="9"/>
      <c r="H310" s="9"/>
    </row>
    <row r="311" spans="1:8" x14ac:dyDescent="0.3">
      <c r="A311" s="9"/>
      <c r="B311" s="9"/>
      <c r="C311" s="9"/>
      <c r="D311" s="9"/>
      <c r="E311" s="9"/>
      <c r="F311" s="9"/>
      <c r="G311" s="9"/>
      <c r="H311" s="9"/>
    </row>
    <row r="312" spans="1:8" x14ac:dyDescent="0.3">
      <c r="A312" s="9"/>
      <c r="B312" s="9"/>
      <c r="C312" s="9"/>
      <c r="D312" s="9"/>
      <c r="E312" s="9"/>
      <c r="F312" s="9"/>
      <c r="G312" s="9"/>
      <c r="H312" s="9"/>
    </row>
    <row r="313" spans="1:8" x14ac:dyDescent="0.3">
      <c r="A313" s="9"/>
      <c r="B313" s="9"/>
      <c r="C313" s="9"/>
      <c r="D313" s="9"/>
      <c r="E313" s="9"/>
      <c r="F313" s="9"/>
      <c r="G313" s="9"/>
      <c r="H313" s="9"/>
    </row>
    <row r="314" spans="1:8" x14ac:dyDescent="0.3">
      <c r="A314" s="9"/>
      <c r="B314" s="9"/>
      <c r="C314" s="9"/>
      <c r="D314" s="9"/>
      <c r="E314" s="9"/>
      <c r="F314" s="9"/>
      <c r="G314" s="9"/>
      <c r="H314" s="9"/>
    </row>
    <row r="315" spans="1:8" x14ac:dyDescent="0.3">
      <c r="A315" s="9"/>
      <c r="B315" s="9"/>
      <c r="C315" s="9"/>
      <c r="D315" s="9"/>
      <c r="E315" s="9"/>
      <c r="F315" s="9"/>
      <c r="G315" s="9"/>
      <c r="H315" s="9"/>
    </row>
    <row r="316" spans="1:8" x14ac:dyDescent="0.3">
      <c r="A316" s="9"/>
      <c r="B316" s="9"/>
      <c r="C316" s="9"/>
      <c r="D316" s="9"/>
      <c r="E316" s="9"/>
      <c r="F316" s="9"/>
      <c r="G316" s="9"/>
      <c r="H316" s="9"/>
    </row>
    <row r="317" spans="1:8" x14ac:dyDescent="0.3">
      <c r="A317" s="9"/>
      <c r="B317" s="9"/>
      <c r="C317" s="9"/>
      <c r="D317" s="9"/>
      <c r="E317" s="9"/>
      <c r="F317" s="9"/>
      <c r="G317" s="9"/>
      <c r="H317" s="9"/>
    </row>
    <row r="318" spans="1:8" x14ac:dyDescent="0.3">
      <c r="A318" s="9"/>
      <c r="B318" s="9"/>
      <c r="C318" s="9"/>
      <c r="D318" s="9"/>
      <c r="E318" s="9"/>
      <c r="F318" s="9"/>
      <c r="G318" s="9"/>
      <c r="H318" s="9"/>
    </row>
    <row r="319" spans="1:8" x14ac:dyDescent="0.3">
      <c r="A319" s="9"/>
      <c r="B319" s="9"/>
      <c r="C319" s="9"/>
      <c r="D319" s="9"/>
      <c r="E319" s="9"/>
      <c r="F319" s="9"/>
      <c r="G319" s="9"/>
      <c r="H319" s="9"/>
    </row>
    <row r="320" spans="1:8" x14ac:dyDescent="0.3">
      <c r="A320" s="9"/>
      <c r="B320" s="9"/>
      <c r="C320" s="9"/>
      <c r="D320" s="9"/>
      <c r="E320" s="9"/>
      <c r="F320" s="9"/>
      <c r="G320" s="9"/>
      <c r="H320" s="9"/>
    </row>
    <row r="321" spans="1:8" x14ac:dyDescent="0.3">
      <c r="A321" s="9"/>
      <c r="B321" s="9"/>
      <c r="C321" s="9"/>
      <c r="D321" s="9"/>
      <c r="E321" s="9"/>
      <c r="F321" s="9"/>
      <c r="G321" s="9"/>
      <c r="H321" s="9"/>
    </row>
    <row r="322" spans="1:8" x14ac:dyDescent="0.3">
      <c r="A322" s="9"/>
      <c r="B322" s="9"/>
      <c r="C322" s="9"/>
      <c r="D322" s="9"/>
      <c r="E322" s="9"/>
      <c r="F322" s="9"/>
      <c r="G322" s="9"/>
      <c r="H322" s="9"/>
    </row>
    <row r="323" spans="1:8" x14ac:dyDescent="0.3">
      <c r="A323" s="9"/>
      <c r="B323" s="9"/>
      <c r="C323" s="9"/>
      <c r="D323" s="9"/>
      <c r="E323" s="9"/>
      <c r="F323" s="9"/>
      <c r="G323" s="9"/>
      <c r="H323" s="9"/>
    </row>
    <row r="324" spans="1:8" x14ac:dyDescent="0.3">
      <c r="A324" s="9"/>
      <c r="B324" s="9"/>
      <c r="C324" s="9"/>
      <c r="D324" s="9"/>
      <c r="E324" s="9"/>
      <c r="F324" s="9"/>
      <c r="G324" s="9"/>
      <c r="H324" s="9"/>
    </row>
    <row r="325" spans="1:8" x14ac:dyDescent="0.3">
      <c r="A325" s="9"/>
      <c r="B325" s="9"/>
      <c r="C325" s="9"/>
      <c r="D325" s="9"/>
      <c r="E325" s="9"/>
      <c r="F325" s="9"/>
      <c r="G325" s="9"/>
      <c r="H325" s="9"/>
    </row>
    <row r="326" spans="1:8" x14ac:dyDescent="0.3">
      <c r="A326" s="9"/>
      <c r="B326" s="9"/>
      <c r="C326" s="9"/>
      <c r="D326" s="9"/>
      <c r="E326" s="9"/>
      <c r="F326" s="9"/>
      <c r="G326" s="9"/>
      <c r="H326" s="9"/>
    </row>
    <row r="327" spans="1:8" x14ac:dyDescent="0.3">
      <c r="A327" s="9"/>
      <c r="B327" s="9"/>
      <c r="C327" s="9"/>
      <c r="D327" s="9"/>
      <c r="E327" s="9"/>
      <c r="F327" s="9"/>
      <c r="G327" s="9"/>
      <c r="H327" s="9"/>
    </row>
    <row r="328" spans="1:8" x14ac:dyDescent="0.3">
      <c r="A328" s="9"/>
      <c r="B328" s="9"/>
      <c r="C328" s="9"/>
      <c r="D328" s="9"/>
      <c r="E328" s="9"/>
      <c r="F328" s="9"/>
      <c r="G328" s="9"/>
      <c r="H328" s="9"/>
    </row>
    <row r="329" spans="1:8" x14ac:dyDescent="0.3">
      <c r="A329" s="9"/>
      <c r="B329" s="9"/>
      <c r="C329" s="9"/>
      <c r="D329" s="9"/>
      <c r="E329" s="9"/>
      <c r="F329" s="9"/>
      <c r="G329" s="9"/>
      <c r="H329" s="9"/>
    </row>
    <row r="330" spans="1:8" x14ac:dyDescent="0.3">
      <c r="A330" s="9"/>
      <c r="B330" s="9"/>
      <c r="C330" s="9"/>
      <c r="D330" s="9"/>
      <c r="E330" s="9"/>
      <c r="F330" s="9"/>
      <c r="G330" s="9"/>
      <c r="H330" s="9"/>
    </row>
    <row r="331" spans="1:8" x14ac:dyDescent="0.3">
      <c r="A331" s="9"/>
      <c r="B331" s="9"/>
      <c r="C331" s="9"/>
      <c r="D331" s="9"/>
      <c r="E331" s="9"/>
      <c r="F331" s="9"/>
      <c r="G331" s="9"/>
      <c r="H331" s="9"/>
    </row>
    <row r="332" spans="1:8" x14ac:dyDescent="0.3">
      <c r="A332" s="9"/>
      <c r="B332" s="9"/>
      <c r="C332" s="9"/>
      <c r="D332" s="9"/>
      <c r="E332" s="9"/>
      <c r="F332" s="9"/>
      <c r="G332" s="9"/>
      <c r="H332" s="9"/>
    </row>
    <row r="333" spans="1:8" x14ac:dyDescent="0.3">
      <c r="A333" s="9"/>
      <c r="B333" s="9"/>
      <c r="C333" s="9"/>
      <c r="D333" s="9"/>
      <c r="E333" s="9"/>
      <c r="F333" s="9"/>
      <c r="G333" s="9"/>
      <c r="H333" s="9"/>
    </row>
    <row r="334" spans="1:8" x14ac:dyDescent="0.3">
      <c r="A334" s="9"/>
      <c r="B334" s="9"/>
      <c r="C334" s="9"/>
      <c r="D334" s="9"/>
      <c r="E334" s="9"/>
      <c r="F334" s="9"/>
      <c r="G334" s="9"/>
      <c r="H334" s="9"/>
    </row>
    <row r="335" spans="1:8" x14ac:dyDescent="0.3">
      <c r="A335" s="9"/>
      <c r="B335" s="9"/>
      <c r="C335" s="9"/>
      <c r="D335" s="9"/>
      <c r="E335" s="9"/>
      <c r="F335" s="9"/>
      <c r="G335" s="9"/>
      <c r="H335" s="9"/>
    </row>
    <row r="336" spans="1:8" x14ac:dyDescent="0.3">
      <c r="A336" s="9"/>
      <c r="B336" s="9"/>
      <c r="C336" s="9"/>
      <c r="D336" s="9"/>
      <c r="E336" s="9"/>
      <c r="F336" s="9"/>
      <c r="G336" s="9"/>
      <c r="H336" s="9"/>
    </row>
    <row r="337" spans="1:8" x14ac:dyDescent="0.3">
      <c r="A337" s="9"/>
      <c r="B337" s="9"/>
      <c r="C337" s="9"/>
      <c r="D337" s="9"/>
      <c r="E337" s="9"/>
      <c r="F337" s="9"/>
      <c r="G337" s="9"/>
      <c r="H337" s="9"/>
    </row>
    <row r="338" spans="1:8" x14ac:dyDescent="0.3">
      <c r="A338" s="9"/>
      <c r="B338" s="9"/>
      <c r="C338" s="9"/>
      <c r="D338" s="9"/>
      <c r="E338" s="9"/>
      <c r="F338" s="9"/>
      <c r="G338" s="9"/>
      <c r="H338" s="9"/>
    </row>
    <row r="339" spans="1:8" x14ac:dyDescent="0.3">
      <c r="A339" s="9"/>
      <c r="B339" s="9"/>
      <c r="C339" s="9"/>
      <c r="D339" s="9"/>
      <c r="E339" s="9"/>
      <c r="F339" s="9"/>
      <c r="G339" s="9"/>
      <c r="H339" s="9"/>
    </row>
    <row r="340" spans="1:8" x14ac:dyDescent="0.3">
      <c r="A340" s="9"/>
      <c r="B340" s="9"/>
      <c r="C340" s="9"/>
      <c r="D340" s="9"/>
      <c r="E340" s="9"/>
      <c r="F340" s="9"/>
      <c r="G340" s="9"/>
      <c r="H340" s="9"/>
    </row>
    <row r="341" spans="1:8" x14ac:dyDescent="0.3">
      <c r="A341" s="9"/>
      <c r="B341" s="9"/>
      <c r="C341" s="9"/>
      <c r="D341" s="9"/>
      <c r="E341" s="9"/>
      <c r="F341" s="9"/>
      <c r="G341" s="9"/>
      <c r="H341" s="9"/>
    </row>
    <row r="342" spans="1:8" x14ac:dyDescent="0.3">
      <c r="A342" s="9"/>
      <c r="B342" s="9"/>
      <c r="C342" s="9"/>
      <c r="D342" s="9"/>
      <c r="E342" s="9"/>
      <c r="F342" s="9"/>
      <c r="G342" s="9"/>
      <c r="H342" s="9"/>
    </row>
    <row r="343" spans="1:8" x14ac:dyDescent="0.3">
      <c r="A343" s="9"/>
      <c r="B343" s="9"/>
      <c r="C343" s="9"/>
      <c r="D343" s="9"/>
      <c r="E343" s="9"/>
      <c r="F343" s="9"/>
      <c r="G343" s="9"/>
      <c r="H343" s="9"/>
    </row>
    <row r="344" spans="1:8" x14ac:dyDescent="0.3">
      <c r="A344" s="9"/>
      <c r="B344" s="9"/>
      <c r="C344" s="9"/>
      <c r="D344" s="9"/>
      <c r="E344" s="9"/>
      <c r="F344" s="9"/>
      <c r="G344" s="9"/>
      <c r="H344" s="9"/>
    </row>
    <row r="345" spans="1:8" x14ac:dyDescent="0.3">
      <c r="A345" s="9"/>
      <c r="B345" s="9"/>
      <c r="C345" s="9"/>
      <c r="D345" s="9"/>
      <c r="E345" s="9"/>
      <c r="F345" s="9"/>
      <c r="G345" s="9"/>
      <c r="H345" s="9"/>
    </row>
    <row r="346" spans="1:8" x14ac:dyDescent="0.3">
      <c r="A346" s="9"/>
      <c r="B346" s="9"/>
      <c r="C346" s="9"/>
      <c r="D346" s="9"/>
      <c r="E346" s="9"/>
      <c r="F346" s="9"/>
      <c r="G346" s="9"/>
      <c r="H346" s="9"/>
    </row>
    <row r="347" spans="1:8" x14ac:dyDescent="0.3">
      <c r="A347" s="9"/>
      <c r="B347" s="9"/>
      <c r="C347" s="9"/>
      <c r="D347" s="9"/>
      <c r="E347" s="9"/>
      <c r="F347" s="9"/>
      <c r="G347" s="9"/>
      <c r="H347" s="9"/>
    </row>
    <row r="348" spans="1:8" x14ac:dyDescent="0.3">
      <c r="A348" s="9"/>
      <c r="B348" s="9"/>
      <c r="C348" s="9"/>
      <c r="D348" s="9"/>
      <c r="E348" s="9"/>
      <c r="F348" s="9"/>
      <c r="G348" s="9"/>
      <c r="H348" s="9"/>
    </row>
    <row r="349" spans="1:8" x14ac:dyDescent="0.3">
      <c r="A349" s="9"/>
      <c r="B349" s="9"/>
      <c r="C349" s="9"/>
      <c r="D349" s="9"/>
      <c r="E349" s="9"/>
      <c r="F349" s="9"/>
      <c r="G349" s="9"/>
      <c r="H349" s="9"/>
    </row>
    <row r="350" spans="1:8" x14ac:dyDescent="0.3">
      <c r="A350" s="9"/>
      <c r="B350" s="9"/>
      <c r="C350" s="9"/>
      <c r="D350" s="9"/>
      <c r="E350" s="9"/>
      <c r="F350" s="9"/>
      <c r="G350" s="9"/>
      <c r="H350" s="9"/>
    </row>
    <row r="351" spans="1:8" x14ac:dyDescent="0.3">
      <c r="A351" s="9"/>
      <c r="B351" s="9"/>
      <c r="C351" s="9"/>
      <c r="D351" s="9"/>
      <c r="E351" s="9"/>
      <c r="F351" s="9"/>
      <c r="G351" s="9"/>
      <c r="H351" s="9"/>
    </row>
    <row r="352" spans="1:8" x14ac:dyDescent="0.3">
      <c r="A352" s="9"/>
      <c r="B352" s="9"/>
      <c r="C352" s="9"/>
      <c r="D352" s="9"/>
      <c r="E352" s="9"/>
      <c r="F352" s="9"/>
      <c r="G352" s="9"/>
      <c r="H352" s="9"/>
    </row>
    <row r="353" spans="1:8" x14ac:dyDescent="0.3">
      <c r="A353" s="9"/>
      <c r="B353" s="9"/>
      <c r="C353" s="9"/>
      <c r="D353" s="9"/>
      <c r="E353" s="9"/>
      <c r="F353" s="9"/>
      <c r="G353" s="9"/>
      <c r="H353" s="9"/>
    </row>
    <row r="354" spans="1:8" x14ac:dyDescent="0.3">
      <c r="A354" s="9"/>
      <c r="B354" s="9"/>
      <c r="C354" s="9"/>
      <c r="D354" s="9"/>
      <c r="E354" s="9"/>
      <c r="F354" s="9"/>
      <c r="G354" s="9"/>
      <c r="H354" s="9"/>
    </row>
    <row r="355" spans="1:8" x14ac:dyDescent="0.3">
      <c r="A355" s="9"/>
      <c r="B355" s="9"/>
      <c r="C355" s="9"/>
      <c r="D355" s="9"/>
      <c r="E355" s="9"/>
      <c r="F355" s="9"/>
      <c r="G355" s="9"/>
      <c r="H355" s="9"/>
    </row>
    <row r="356" spans="1:8" x14ac:dyDescent="0.3">
      <c r="A356" s="9"/>
      <c r="B356" s="9"/>
      <c r="C356" s="9"/>
      <c r="D356" s="9"/>
      <c r="E356" s="9"/>
      <c r="F356" s="9"/>
      <c r="G356" s="9"/>
      <c r="H356" s="9"/>
    </row>
    <row r="357" spans="1:8" x14ac:dyDescent="0.3">
      <c r="A357" s="9"/>
      <c r="B357" s="9"/>
      <c r="C357" s="9"/>
      <c r="D357" s="9"/>
      <c r="E357" s="9"/>
      <c r="F357" s="9"/>
      <c r="G357" s="9"/>
      <c r="H357" s="9"/>
    </row>
    <row r="358" spans="1:8" x14ac:dyDescent="0.3">
      <c r="A358" s="9"/>
      <c r="B358" s="9"/>
      <c r="C358" s="9"/>
      <c r="D358" s="9"/>
      <c r="E358" s="9"/>
      <c r="F358" s="9"/>
      <c r="G358" s="9"/>
      <c r="H358" s="9"/>
    </row>
    <row r="359" spans="1:8" x14ac:dyDescent="0.3">
      <c r="A359" s="9"/>
      <c r="B359" s="9"/>
      <c r="C359" s="9"/>
      <c r="D359" s="9"/>
      <c r="E359" s="9"/>
      <c r="F359" s="9"/>
      <c r="G359" s="9"/>
      <c r="H359" s="9"/>
    </row>
    <row r="360" spans="1:8" x14ac:dyDescent="0.3">
      <c r="A360" s="9"/>
      <c r="B360" s="9"/>
      <c r="C360" s="9"/>
      <c r="D360" s="9"/>
      <c r="E360" s="9"/>
      <c r="F360" s="9"/>
      <c r="G360" s="9"/>
      <c r="H360" s="9"/>
    </row>
    <row r="361" spans="1:8" x14ac:dyDescent="0.3">
      <c r="A361" s="9"/>
      <c r="B361" s="9"/>
      <c r="C361" s="9"/>
      <c r="D361" s="9"/>
      <c r="E361" s="9"/>
      <c r="F361" s="9"/>
      <c r="G361" s="9"/>
      <c r="H361" s="9"/>
    </row>
    <row r="362" spans="1:8" x14ac:dyDescent="0.3">
      <c r="A362" s="9"/>
      <c r="B362" s="9"/>
      <c r="C362" s="9"/>
      <c r="D362" s="9"/>
      <c r="E362" s="9"/>
      <c r="F362" s="9"/>
      <c r="G362" s="9"/>
      <c r="H362" s="9"/>
    </row>
    <row r="363" spans="1:8" x14ac:dyDescent="0.3">
      <c r="A363" s="9"/>
      <c r="B363" s="9"/>
      <c r="C363" s="9"/>
      <c r="D363" s="9"/>
      <c r="E363" s="9"/>
      <c r="F363" s="9"/>
      <c r="G363" s="9"/>
      <c r="H363" s="9"/>
    </row>
    <row r="364" spans="1:8" x14ac:dyDescent="0.3">
      <c r="A364" s="9"/>
      <c r="B364" s="9"/>
      <c r="C364" s="9"/>
      <c r="D364" s="9"/>
      <c r="E364" s="9"/>
      <c r="F364" s="9"/>
      <c r="G364" s="9"/>
      <c r="H364" s="9"/>
    </row>
    <row r="365" spans="1:8" x14ac:dyDescent="0.3">
      <c r="A365" s="9"/>
      <c r="B365" s="9"/>
      <c r="C365" s="9"/>
      <c r="D365" s="9"/>
      <c r="E365" s="9"/>
      <c r="F365" s="9"/>
      <c r="G365" s="9"/>
      <c r="H365" s="9"/>
    </row>
    <row r="366" spans="1:8" x14ac:dyDescent="0.3">
      <c r="A366" s="9"/>
      <c r="B366" s="9"/>
      <c r="C366" s="9"/>
      <c r="D366" s="9"/>
      <c r="E366" s="9"/>
      <c r="F366" s="9"/>
      <c r="G366" s="9"/>
      <c r="H366" s="9"/>
    </row>
    <row r="367" spans="1:8" x14ac:dyDescent="0.3">
      <c r="A367" s="9"/>
      <c r="B367" s="9"/>
      <c r="C367" s="9"/>
      <c r="D367" s="9"/>
      <c r="E367" s="9"/>
      <c r="F367" s="9"/>
      <c r="G367" s="9"/>
      <c r="H367" s="9"/>
    </row>
    <row r="368" spans="1:8" x14ac:dyDescent="0.3">
      <c r="A368" s="9"/>
      <c r="B368" s="9"/>
      <c r="C368" s="9"/>
      <c r="D368" s="9"/>
      <c r="E368" s="9"/>
      <c r="F368" s="9"/>
      <c r="G368" s="9"/>
      <c r="H368" s="9"/>
    </row>
    <row r="369" spans="1:8" x14ac:dyDescent="0.3">
      <c r="A369" s="9"/>
      <c r="B369" s="9"/>
      <c r="C369" s="9"/>
      <c r="D369" s="9"/>
      <c r="E369" s="9"/>
      <c r="F369" s="9"/>
      <c r="G369" s="9"/>
      <c r="H369" s="9"/>
    </row>
    <row r="370" spans="1:8" x14ac:dyDescent="0.3">
      <c r="A370" s="9"/>
      <c r="B370" s="9"/>
      <c r="C370" s="9"/>
      <c r="D370" s="9"/>
      <c r="E370" s="9"/>
      <c r="F370" s="9"/>
      <c r="G370" s="9"/>
      <c r="H370" s="9"/>
    </row>
    <row r="371" spans="1:8" x14ac:dyDescent="0.3">
      <c r="A371" s="9"/>
      <c r="B371" s="9"/>
      <c r="C371" s="9"/>
      <c r="D371" s="9"/>
      <c r="E371" s="9"/>
      <c r="F371" s="9"/>
      <c r="G371" s="9"/>
      <c r="H371" s="9"/>
    </row>
    <row r="372" spans="1:8" x14ac:dyDescent="0.3">
      <c r="A372" s="9"/>
      <c r="B372" s="9"/>
      <c r="C372" s="9"/>
      <c r="D372" s="9"/>
      <c r="E372" s="9"/>
      <c r="F372" s="9"/>
      <c r="G372" s="9"/>
      <c r="H372" s="9"/>
    </row>
    <row r="373" spans="1:8" x14ac:dyDescent="0.3">
      <c r="A373" s="9"/>
      <c r="B373" s="9"/>
      <c r="C373" s="9"/>
      <c r="D373" s="9"/>
      <c r="E373" s="9"/>
      <c r="F373" s="9"/>
      <c r="G373" s="9"/>
      <c r="H373" s="9"/>
    </row>
    <row r="374" spans="1:8" x14ac:dyDescent="0.3">
      <c r="A374" s="9"/>
      <c r="B374" s="9"/>
      <c r="C374" s="9"/>
      <c r="D374" s="9"/>
      <c r="E374" s="9"/>
      <c r="F374" s="9"/>
      <c r="G374" s="9"/>
      <c r="H374" s="9"/>
    </row>
    <row r="375" spans="1:8" x14ac:dyDescent="0.3">
      <c r="A375" s="9"/>
      <c r="B375" s="9"/>
      <c r="C375" s="9"/>
      <c r="D375" s="9"/>
      <c r="E375" s="9"/>
      <c r="F375" s="9"/>
      <c r="G375" s="9"/>
      <c r="H375" s="9"/>
    </row>
    <row r="376" spans="1:8" x14ac:dyDescent="0.3">
      <c r="A376" s="9"/>
      <c r="B376" s="9"/>
      <c r="C376" s="9"/>
      <c r="D376" s="9"/>
      <c r="E376" s="9"/>
      <c r="F376" s="9"/>
      <c r="G376" s="9"/>
      <c r="H376" s="9"/>
    </row>
    <row r="377" spans="1:8" x14ac:dyDescent="0.3">
      <c r="A377" s="9"/>
      <c r="B377" s="9"/>
      <c r="C377" s="9"/>
      <c r="D377" s="9"/>
      <c r="E377" s="9"/>
      <c r="F377" s="9"/>
      <c r="G377" s="9"/>
      <c r="H377" s="9"/>
    </row>
    <row r="378" spans="1:8" x14ac:dyDescent="0.3">
      <c r="A378" s="9"/>
      <c r="B378" s="9"/>
      <c r="C378" s="9"/>
      <c r="D378" s="9"/>
      <c r="E378" s="9"/>
      <c r="F378" s="9"/>
      <c r="G378" s="9"/>
      <c r="H378" s="9"/>
    </row>
    <row r="379" spans="1:8" x14ac:dyDescent="0.3">
      <c r="A379" s="9"/>
      <c r="B379" s="9"/>
      <c r="C379" s="9"/>
      <c r="D379" s="9"/>
      <c r="E379" s="9"/>
      <c r="F379" s="9"/>
      <c r="G379" s="9"/>
      <c r="H379" s="9"/>
    </row>
    <row r="380" spans="1:8" x14ac:dyDescent="0.3">
      <c r="A380" s="9"/>
      <c r="B380" s="9"/>
      <c r="C380" s="9"/>
      <c r="D380" s="9"/>
      <c r="E380" s="9"/>
      <c r="F380" s="9"/>
      <c r="G380" s="9"/>
      <c r="H380" s="9"/>
    </row>
    <row r="381" spans="1:8" x14ac:dyDescent="0.3">
      <c r="A381" s="9"/>
      <c r="B381" s="9"/>
      <c r="C381" s="9"/>
      <c r="D381" s="9"/>
      <c r="E381" s="9"/>
      <c r="F381" s="9"/>
      <c r="G381" s="9"/>
      <c r="H381" s="9"/>
    </row>
    <row r="382" spans="1:8" x14ac:dyDescent="0.3">
      <c r="A382" s="9"/>
      <c r="B382" s="9"/>
      <c r="C382" s="9"/>
      <c r="D382" s="9"/>
      <c r="E382" s="9"/>
      <c r="F382" s="9"/>
      <c r="G382" s="9"/>
      <c r="H382" s="9"/>
    </row>
    <row r="383" spans="1:8" x14ac:dyDescent="0.3">
      <c r="A383" s="9"/>
      <c r="B383" s="9"/>
      <c r="C383" s="9"/>
      <c r="D383" s="9"/>
      <c r="E383" s="9"/>
      <c r="F383" s="9"/>
      <c r="G383" s="9"/>
      <c r="H383" s="9"/>
    </row>
    <row r="384" spans="1:8" x14ac:dyDescent="0.3">
      <c r="A384" s="9"/>
      <c r="B384" s="9"/>
      <c r="C384" s="9"/>
      <c r="D384" s="9"/>
      <c r="E384" s="9"/>
      <c r="F384" s="9"/>
      <c r="G384" s="9"/>
      <c r="H384" s="9"/>
    </row>
    <row r="385" spans="1:8" x14ac:dyDescent="0.3">
      <c r="A385" s="9"/>
      <c r="B385" s="9"/>
      <c r="C385" s="9"/>
      <c r="D385" s="9"/>
      <c r="E385" s="9"/>
      <c r="F385" s="9"/>
      <c r="G385" s="9"/>
      <c r="H385" s="9"/>
    </row>
    <row r="386" spans="1:8" x14ac:dyDescent="0.3">
      <c r="A386" s="9"/>
      <c r="B386" s="9"/>
      <c r="C386" s="9"/>
      <c r="D386" s="9"/>
      <c r="E386" s="9"/>
      <c r="F386" s="9"/>
      <c r="G386" s="9"/>
      <c r="H386" s="9"/>
    </row>
    <row r="387" spans="1:8" x14ac:dyDescent="0.3">
      <c r="A387" s="9"/>
      <c r="B387" s="9"/>
      <c r="C387" s="9"/>
      <c r="D387" s="9"/>
      <c r="E387" s="9"/>
      <c r="F387" s="9"/>
      <c r="G387" s="9"/>
      <c r="H387" s="9"/>
    </row>
    <row r="388" spans="1:8" x14ac:dyDescent="0.3">
      <c r="A388" s="9"/>
      <c r="B388" s="9"/>
      <c r="C388" s="9"/>
      <c r="D388" s="9"/>
      <c r="E388" s="9"/>
      <c r="F388" s="9"/>
      <c r="G388" s="9"/>
      <c r="H388" s="9"/>
    </row>
    <row r="389" spans="1:8" x14ac:dyDescent="0.3">
      <c r="A389" s="9"/>
      <c r="B389" s="9"/>
      <c r="C389" s="9"/>
      <c r="D389" s="9"/>
      <c r="E389" s="9"/>
      <c r="F389" s="9"/>
      <c r="G389" s="9"/>
      <c r="H389" s="9"/>
    </row>
    <row r="390" spans="1:8" x14ac:dyDescent="0.3">
      <c r="A390" s="9"/>
      <c r="B390" s="9"/>
      <c r="C390" s="9"/>
      <c r="D390" s="9"/>
      <c r="E390" s="9"/>
      <c r="F390" s="9"/>
      <c r="G390" s="9"/>
      <c r="H390" s="9"/>
    </row>
    <row r="391" spans="1:8" x14ac:dyDescent="0.3">
      <c r="A391" s="9"/>
      <c r="B391" s="9"/>
      <c r="C391" s="9"/>
      <c r="D391" s="9"/>
      <c r="E391" s="9"/>
      <c r="F391" s="9"/>
      <c r="G391" s="9"/>
      <c r="H391" s="9"/>
    </row>
    <row r="392" spans="1:8" x14ac:dyDescent="0.3">
      <c r="A392" s="9"/>
      <c r="B392" s="9"/>
      <c r="C392" s="9"/>
      <c r="D392" s="9"/>
      <c r="E392" s="9"/>
      <c r="F392" s="9"/>
      <c r="G392" s="9"/>
      <c r="H392" s="9"/>
    </row>
    <row r="393" spans="1:8" x14ac:dyDescent="0.3">
      <c r="A393" s="9"/>
      <c r="B393" s="9"/>
      <c r="C393" s="9"/>
      <c r="D393" s="9"/>
      <c r="E393" s="9"/>
      <c r="F393" s="9"/>
      <c r="G393" s="9"/>
      <c r="H393" s="9"/>
    </row>
    <row r="394" spans="1:8" x14ac:dyDescent="0.3">
      <c r="A394" s="9"/>
      <c r="B394" s="9"/>
      <c r="C394" s="9"/>
      <c r="D394" s="9"/>
      <c r="E394" s="9"/>
      <c r="F394" s="9"/>
      <c r="G394" s="9"/>
      <c r="H394" s="9"/>
    </row>
    <row r="395" spans="1:8" x14ac:dyDescent="0.3">
      <c r="A395" s="9"/>
      <c r="B395" s="9"/>
      <c r="C395" s="9"/>
      <c r="D395" s="9"/>
      <c r="E395" s="9"/>
      <c r="F395" s="9"/>
      <c r="G395" s="9"/>
      <c r="H395" s="9"/>
    </row>
    <row r="396" spans="1:8" x14ac:dyDescent="0.3">
      <c r="A396" s="9"/>
      <c r="B396" s="9"/>
      <c r="C396" s="9"/>
      <c r="D396" s="9"/>
      <c r="E396" s="9"/>
      <c r="F396" s="9"/>
      <c r="G396" s="9"/>
      <c r="H396" s="9"/>
    </row>
    <row r="397" spans="1:8" x14ac:dyDescent="0.3">
      <c r="A397" s="9"/>
      <c r="B397" s="9"/>
      <c r="C397" s="9"/>
      <c r="D397" s="9"/>
      <c r="E397" s="9"/>
      <c r="F397" s="9"/>
      <c r="G397" s="9"/>
      <c r="H397" s="9"/>
    </row>
    <row r="398" spans="1:8" x14ac:dyDescent="0.3">
      <c r="A398" s="9"/>
      <c r="B398" s="9"/>
      <c r="C398" s="9"/>
      <c r="D398" s="9"/>
      <c r="E398" s="9"/>
      <c r="F398" s="9"/>
      <c r="G398" s="9"/>
      <c r="H398" s="9"/>
    </row>
    <row r="399" spans="1:8" x14ac:dyDescent="0.3">
      <c r="A399" s="9"/>
      <c r="B399" s="9"/>
      <c r="C399" s="9"/>
      <c r="D399" s="9"/>
      <c r="E399" s="9"/>
      <c r="F399" s="9"/>
      <c r="G399" s="9"/>
      <c r="H399" s="9"/>
    </row>
    <row r="400" spans="1:8" x14ac:dyDescent="0.3">
      <c r="A400" s="9"/>
      <c r="B400" s="9"/>
      <c r="C400" s="9"/>
      <c r="D400" s="9"/>
      <c r="E400" s="9"/>
      <c r="F400" s="9"/>
      <c r="G400" s="9"/>
      <c r="H400" s="9"/>
    </row>
    <row r="401" spans="1:8" x14ac:dyDescent="0.3">
      <c r="A401" s="9"/>
      <c r="B401" s="9"/>
      <c r="C401" s="9"/>
      <c r="D401" s="9"/>
      <c r="E401" s="9"/>
      <c r="F401" s="9"/>
      <c r="G401" s="9"/>
      <c r="H401" s="9"/>
    </row>
    <row r="402" spans="1:8" x14ac:dyDescent="0.3">
      <c r="A402" s="9"/>
      <c r="B402" s="9"/>
      <c r="C402" s="9"/>
      <c r="D402" s="9"/>
      <c r="E402" s="9"/>
      <c r="F402" s="9"/>
      <c r="G402" s="9"/>
      <c r="H402" s="9"/>
    </row>
    <row r="403" spans="1:8" x14ac:dyDescent="0.3">
      <c r="A403" s="9"/>
      <c r="B403" s="9"/>
      <c r="C403" s="9"/>
      <c r="D403" s="9"/>
      <c r="E403" s="9"/>
      <c r="F403" s="9"/>
      <c r="G403" s="9"/>
      <c r="H403" s="9"/>
    </row>
    <row r="404" spans="1:8" x14ac:dyDescent="0.3">
      <c r="A404" s="9"/>
      <c r="B404" s="9"/>
      <c r="C404" s="9"/>
      <c r="D404" s="9"/>
      <c r="E404" s="9"/>
      <c r="F404" s="9"/>
      <c r="G404" s="9"/>
      <c r="H404" s="9"/>
    </row>
    <row r="405" spans="1:8" x14ac:dyDescent="0.3">
      <c r="A405" s="9"/>
      <c r="B405" s="9"/>
      <c r="C405" s="9"/>
      <c r="D405" s="9"/>
      <c r="E405" s="9"/>
      <c r="F405" s="9"/>
      <c r="G405" s="9"/>
      <c r="H405" s="9"/>
    </row>
    <row r="406" spans="1:8" x14ac:dyDescent="0.3">
      <c r="A406" s="9"/>
      <c r="B406" s="9"/>
      <c r="C406" s="9"/>
      <c r="D406" s="9"/>
      <c r="E406" s="9"/>
      <c r="F406" s="9"/>
      <c r="G406" s="9"/>
      <c r="H406" s="9"/>
    </row>
    <row r="407" spans="1:8" x14ac:dyDescent="0.3">
      <c r="A407" s="9"/>
      <c r="B407" s="9"/>
      <c r="C407" s="9"/>
      <c r="D407" s="9"/>
      <c r="E407" s="9"/>
      <c r="F407" s="9"/>
      <c r="G407" s="9"/>
      <c r="H407" s="9"/>
    </row>
    <row r="408" spans="1:8" x14ac:dyDescent="0.3">
      <c r="A408" s="9"/>
      <c r="B408" s="9"/>
      <c r="C408" s="9"/>
      <c r="D408" s="9"/>
      <c r="E408" s="9"/>
      <c r="F408" s="9"/>
      <c r="G408" s="9"/>
      <c r="H408" s="9"/>
    </row>
    <row r="409" spans="1:8" x14ac:dyDescent="0.3">
      <c r="A409" s="9"/>
      <c r="B409" s="9"/>
      <c r="C409" s="9"/>
      <c r="D409" s="9"/>
      <c r="E409" s="9"/>
      <c r="F409" s="9"/>
      <c r="G409" s="9"/>
      <c r="H409" s="9"/>
    </row>
    <row r="410" spans="1:8" x14ac:dyDescent="0.3">
      <c r="A410" s="9"/>
      <c r="B410" s="9"/>
      <c r="C410" s="9"/>
      <c r="D410" s="9"/>
      <c r="E410" s="9"/>
      <c r="F410" s="9"/>
      <c r="G410" s="9"/>
      <c r="H410" s="9"/>
    </row>
    <row r="411" spans="1:8" x14ac:dyDescent="0.3">
      <c r="A411" s="9"/>
      <c r="B411" s="9"/>
      <c r="C411" s="9"/>
      <c r="D411" s="9"/>
      <c r="E411" s="9"/>
      <c r="F411" s="9"/>
      <c r="G411" s="9"/>
      <c r="H411" s="9"/>
    </row>
    <row r="412" spans="1:8" x14ac:dyDescent="0.3">
      <c r="A412" s="9"/>
      <c r="B412" s="9"/>
      <c r="C412" s="9"/>
      <c r="D412" s="9"/>
      <c r="E412" s="9"/>
      <c r="F412" s="9"/>
      <c r="G412" s="9"/>
      <c r="H412" s="9"/>
    </row>
  </sheetData>
  <mergeCells count="8">
    <mergeCell ref="A1:H1"/>
    <mergeCell ref="A3:B3"/>
    <mergeCell ref="C3:C4"/>
    <mergeCell ref="D3:D4"/>
    <mergeCell ref="E3:E4"/>
    <mergeCell ref="F3:F4"/>
    <mergeCell ref="G3:G4"/>
    <mergeCell ref="H3:H4"/>
  </mergeCells>
  <pageMargins left="0.7" right="0.7" top="0.75" bottom="0.75" header="0.3" footer="0.3"/>
  <pageSetup orientation="portrait" horizontalDpi="360" verticalDpi="36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7CDBC-33A0-4C70-A460-4ED591F22B76}">
  <dimension ref="A1:H412"/>
  <sheetViews>
    <sheetView topLeftCell="A2" zoomScale="70" zoomScaleNormal="70" workbookViewId="0">
      <selection activeCell="F27" sqref="F26:F27"/>
    </sheetView>
  </sheetViews>
  <sheetFormatPr defaultRowHeight="20.25" x14ac:dyDescent="0.3"/>
  <cols>
    <col min="1" max="2" width="20.7109375" style="1" customWidth="1"/>
    <col min="3" max="3" width="15.7109375" style="1" customWidth="1"/>
    <col min="4" max="7" width="80.7109375" style="1" customWidth="1"/>
    <col min="8" max="8" width="45.7109375" style="1" customWidth="1"/>
    <col min="9" max="16384" width="9.140625" style="1"/>
  </cols>
  <sheetData>
    <row r="1" spans="1:8" ht="30" x14ac:dyDescent="0.4">
      <c r="A1" s="109" t="s">
        <v>119</v>
      </c>
      <c r="B1" s="109"/>
      <c r="C1" s="109"/>
      <c r="D1" s="109"/>
      <c r="E1" s="109"/>
      <c r="F1" s="109"/>
      <c r="G1" s="109"/>
      <c r="H1" s="109"/>
    </row>
    <row r="3" spans="1:8" x14ac:dyDescent="0.3">
      <c r="A3" s="110" t="s">
        <v>1</v>
      </c>
      <c r="B3" s="110"/>
      <c r="C3" s="110" t="s">
        <v>4</v>
      </c>
      <c r="D3" s="110"/>
      <c r="E3" s="110"/>
      <c r="F3" s="110"/>
      <c r="G3" s="110"/>
      <c r="H3" s="110" t="s">
        <v>11</v>
      </c>
    </row>
    <row r="4" spans="1:8" x14ac:dyDescent="0.3">
      <c r="A4" s="4" t="s">
        <v>2</v>
      </c>
      <c r="B4" s="4" t="s">
        <v>3</v>
      </c>
      <c r="C4" s="110"/>
      <c r="D4" s="110"/>
      <c r="E4" s="110"/>
      <c r="F4" s="110"/>
      <c r="G4" s="110"/>
      <c r="H4" s="110"/>
    </row>
    <row r="5" spans="1:8" ht="30" customHeight="1" x14ac:dyDescent="0.3">
      <c r="A5" s="7"/>
      <c r="B5" s="8"/>
      <c r="C5" s="8"/>
      <c r="D5" s="6"/>
      <c r="E5" s="7"/>
      <c r="F5" s="23"/>
      <c r="G5" s="23"/>
      <c r="H5" s="9"/>
    </row>
    <row r="6" spans="1:8" ht="30" customHeight="1" x14ac:dyDescent="0.3">
      <c r="A6" s="7"/>
      <c r="B6" s="8"/>
      <c r="C6" s="8"/>
      <c r="D6" s="6"/>
      <c r="E6" s="7"/>
      <c r="F6" s="23"/>
      <c r="G6" s="23"/>
      <c r="H6" s="9"/>
    </row>
    <row r="7" spans="1:8" ht="30" customHeight="1" x14ac:dyDescent="0.3">
      <c r="A7" s="8"/>
      <c r="B7" s="8"/>
      <c r="C7" s="8"/>
      <c r="D7" s="6"/>
      <c r="E7" s="7"/>
      <c r="F7" s="23"/>
      <c r="G7" s="23"/>
      <c r="H7" s="9"/>
    </row>
    <row r="8" spans="1:8" ht="30" customHeight="1" x14ac:dyDescent="0.3">
      <c r="A8" s="8"/>
      <c r="B8" s="8"/>
      <c r="C8" s="8"/>
      <c r="D8" s="6"/>
      <c r="E8" s="7"/>
      <c r="F8" s="23"/>
      <c r="G8" s="23"/>
      <c r="H8" s="9"/>
    </row>
    <row r="9" spans="1:8" ht="30" customHeight="1" x14ac:dyDescent="0.3">
      <c r="A9" s="7"/>
      <c r="B9" s="8"/>
      <c r="C9" s="8"/>
      <c r="D9" s="6"/>
      <c r="E9" s="7"/>
      <c r="F9" s="23"/>
      <c r="G9" s="23"/>
      <c r="H9" s="9"/>
    </row>
    <row r="10" spans="1:8" s="26" customFormat="1" ht="30" customHeight="1" x14ac:dyDescent="0.3">
      <c r="A10" s="14"/>
      <c r="B10" s="15"/>
      <c r="C10" s="8"/>
      <c r="D10" s="16"/>
      <c r="E10" s="14"/>
      <c r="F10" s="24"/>
      <c r="G10" s="24"/>
      <c r="H10" s="20"/>
    </row>
    <row r="11" spans="1:8" ht="30" customHeight="1" x14ac:dyDescent="0.3">
      <c r="A11" s="8"/>
      <c r="B11" s="8"/>
      <c r="C11" s="8"/>
      <c r="D11" s="6"/>
      <c r="E11" s="7"/>
      <c r="F11" s="23"/>
      <c r="G11" s="23"/>
      <c r="H11" s="9"/>
    </row>
    <row r="12" spans="1:8" ht="30" customHeight="1" x14ac:dyDescent="0.3">
      <c r="A12" s="8"/>
      <c r="B12" s="8"/>
      <c r="C12" s="8"/>
      <c r="D12" s="6"/>
      <c r="E12" s="7"/>
      <c r="F12" s="23"/>
      <c r="G12" s="23"/>
      <c r="H12" s="9"/>
    </row>
    <row r="13" spans="1:8" ht="30" customHeight="1" x14ac:dyDescent="0.3">
      <c r="A13" s="8"/>
      <c r="B13" s="8"/>
      <c r="C13" s="8"/>
      <c r="D13" s="6"/>
      <c r="E13" s="7"/>
      <c r="F13" s="23"/>
      <c r="G13" s="23"/>
      <c r="H13" s="9"/>
    </row>
    <row r="14" spans="1:8" ht="30" customHeight="1" x14ac:dyDescent="0.3">
      <c r="A14" s="8"/>
      <c r="B14" s="8"/>
      <c r="C14" s="8"/>
      <c r="D14" s="6"/>
      <c r="E14" s="7"/>
      <c r="F14" s="23"/>
      <c r="G14" s="23"/>
      <c r="H14" s="9"/>
    </row>
    <row r="15" spans="1:8" ht="30" customHeight="1" x14ac:dyDescent="0.3">
      <c r="A15" s="8"/>
      <c r="B15" s="8"/>
      <c r="C15" s="8"/>
      <c r="D15" s="6"/>
      <c r="E15" s="7"/>
      <c r="F15" s="23"/>
      <c r="G15" s="23"/>
      <c r="H15" s="9"/>
    </row>
    <row r="16" spans="1:8" ht="30" customHeight="1" x14ac:dyDescent="0.3">
      <c r="A16" s="8"/>
      <c r="B16" s="8"/>
      <c r="C16" s="8"/>
      <c r="D16" s="6"/>
      <c r="E16" s="7"/>
      <c r="F16" s="23"/>
      <c r="G16" s="23"/>
      <c r="H16" s="9"/>
    </row>
    <row r="17" spans="1:8" ht="30" customHeight="1" x14ac:dyDescent="0.3">
      <c r="A17" s="8"/>
      <c r="B17" s="8"/>
      <c r="C17" s="8"/>
      <c r="D17" s="6"/>
      <c r="E17" s="7"/>
      <c r="F17" s="23"/>
      <c r="G17" s="23"/>
      <c r="H17" s="9"/>
    </row>
    <row r="18" spans="1:8" ht="30" customHeight="1" x14ac:dyDescent="0.3">
      <c r="A18" s="8"/>
      <c r="B18" s="8"/>
      <c r="C18" s="8"/>
      <c r="D18" s="6"/>
      <c r="E18" s="7"/>
      <c r="F18" s="23"/>
      <c r="G18" s="23"/>
      <c r="H18" s="9"/>
    </row>
    <row r="19" spans="1:8" ht="30" customHeight="1" x14ac:dyDescent="0.3">
      <c r="A19" s="8"/>
      <c r="B19" s="8"/>
      <c r="C19" s="8"/>
      <c r="D19" s="6"/>
      <c r="E19" s="7"/>
      <c r="F19" s="23"/>
      <c r="G19" s="23"/>
      <c r="H19" s="9"/>
    </row>
    <row r="20" spans="1:8" ht="30" customHeight="1" x14ac:dyDescent="0.3">
      <c r="A20" s="8"/>
      <c r="B20" s="8"/>
      <c r="C20" s="8"/>
      <c r="D20" s="6"/>
      <c r="E20" s="7"/>
      <c r="F20" s="23"/>
      <c r="G20" s="23"/>
      <c r="H20" s="9"/>
    </row>
    <row r="21" spans="1:8" ht="30" customHeight="1" x14ac:dyDescent="0.3">
      <c r="A21" s="8"/>
      <c r="B21" s="8"/>
      <c r="C21" s="8"/>
      <c r="D21" s="6"/>
      <c r="E21" s="7"/>
      <c r="F21" s="23"/>
      <c r="G21" s="23"/>
      <c r="H21" s="9"/>
    </row>
    <row r="22" spans="1:8" ht="30" customHeight="1" x14ac:dyDescent="0.3">
      <c r="A22" s="8"/>
      <c r="B22" s="8"/>
      <c r="C22" s="8"/>
      <c r="D22" s="6"/>
      <c r="E22" s="7"/>
      <c r="F22" s="23"/>
      <c r="G22" s="23"/>
      <c r="H22" s="9"/>
    </row>
    <row r="23" spans="1:8" ht="30" customHeight="1" x14ac:dyDescent="0.3">
      <c r="A23" s="8"/>
      <c r="B23" s="8"/>
      <c r="C23" s="8"/>
      <c r="D23" s="6"/>
      <c r="E23" s="7"/>
      <c r="F23" s="23"/>
      <c r="G23" s="23"/>
      <c r="H23" s="9"/>
    </row>
    <row r="24" spans="1:8" ht="30" customHeight="1" x14ac:dyDescent="0.3">
      <c r="A24" s="8"/>
      <c r="B24" s="8"/>
      <c r="C24" s="8"/>
      <c r="D24" s="6"/>
      <c r="E24" s="7"/>
      <c r="F24" s="23"/>
      <c r="G24" s="23"/>
      <c r="H24" s="9"/>
    </row>
    <row r="25" spans="1:8" ht="30" customHeight="1" x14ac:dyDescent="0.3">
      <c r="A25" s="8"/>
      <c r="B25" s="8"/>
      <c r="C25" s="8"/>
      <c r="D25" s="6"/>
      <c r="E25" s="7"/>
      <c r="F25" s="23"/>
      <c r="G25" s="23"/>
      <c r="H25" s="9"/>
    </row>
    <row r="26" spans="1:8" ht="30" customHeight="1" x14ac:dyDescent="0.3">
      <c r="A26" s="8"/>
      <c r="B26" s="8"/>
      <c r="C26" s="8"/>
      <c r="D26" s="6"/>
      <c r="E26" s="7"/>
      <c r="F26" s="23"/>
      <c r="G26" s="23"/>
      <c r="H26" s="9"/>
    </row>
    <row r="27" spans="1:8" ht="30" customHeight="1" x14ac:dyDescent="0.3">
      <c r="A27" s="8"/>
      <c r="B27" s="8"/>
      <c r="C27" s="8"/>
      <c r="D27" s="6"/>
      <c r="E27" s="7"/>
      <c r="F27" s="23"/>
      <c r="G27" s="23"/>
      <c r="H27" s="9"/>
    </row>
    <row r="28" spans="1:8" ht="30" customHeight="1" x14ac:dyDescent="0.3">
      <c r="A28" s="8"/>
      <c r="B28" s="8"/>
      <c r="C28" s="8"/>
      <c r="D28" s="6"/>
      <c r="E28" s="7"/>
      <c r="F28" s="23"/>
      <c r="G28" s="23"/>
      <c r="H28" s="9"/>
    </row>
    <row r="29" spans="1:8" ht="30" customHeight="1" x14ac:dyDescent="0.3">
      <c r="A29" s="8"/>
      <c r="B29" s="8"/>
      <c r="C29" s="8"/>
      <c r="D29" s="6"/>
      <c r="E29" s="7"/>
      <c r="F29" s="21"/>
      <c r="G29" s="21"/>
      <c r="H29" s="9"/>
    </row>
    <row r="30" spans="1:8" ht="30" customHeight="1" x14ac:dyDescent="0.3">
      <c r="A30" s="8"/>
      <c r="B30" s="8"/>
      <c r="C30" s="8"/>
      <c r="D30" s="6"/>
      <c r="E30" s="7"/>
      <c r="F30" s="21"/>
      <c r="G30" s="21"/>
      <c r="H30" s="9"/>
    </row>
    <row r="31" spans="1:8" ht="30" customHeight="1" x14ac:dyDescent="0.3">
      <c r="A31" s="8"/>
      <c r="B31" s="8"/>
      <c r="C31" s="8"/>
      <c r="D31" s="6"/>
      <c r="E31" s="8"/>
      <c r="F31" s="21"/>
      <c r="G31" s="21"/>
      <c r="H31" s="9"/>
    </row>
    <row r="32" spans="1:8" ht="30" customHeight="1" x14ac:dyDescent="0.3">
      <c r="A32" s="8"/>
      <c r="B32" s="8"/>
      <c r="C32" s="8"/>
      <c r="D32" s="6"/>
      <c r="E32" s="8"/>
      <c r="F32" s="25"/>
      <c r="G32" s="25"/>
      <c r="H32" s="9"/>
    </row>
    <row r="33" spans="1:8" ht="30" customHeight="1" x14ac:dyDescent="0.3">
      <c r="A33" s="8"/>
      <c r="B33" s="8"/>
      <c r="C33" s="8"/>
      <c r="D33" s="6"/>
      <c r="E33" s="8"/>
      <c r="F33" s="21"/>
      <c r="G33" s="21"/>
      <c r="H33" s="9"/>
    </row>
    <row r="34" spans="1:8" ht="30" customHeight="1" x14ac:dyDescent="0.3">
      <c r="A34" s="8"/>
      <c r="B34" s="8"/>
      <c r="C34" s="8"/>
      <c r="D34" s="6"/>
      <c r="E34" s="8"/>
      <c r="F34" s="21"/>
      <c r="G34" s="21"/>
      <c r="H34" s="9"/>
    </row>
    <row r="35" spans="1:8" ht="30" customHeight="1" x14ac:dyDescent="0.3">
      <c r="A35" s="8"/>
      <c r="B35" s="8"/>
      <c r="C35" s="8"/>
      <c r="D35" s="6"/>
      <c r="E35" s="8"/>
      <c r="F35" s="21"/>
      <c r="G35" s="21"/>
      <c r="H35" s="9"/>
    </row>
    <row r="36" spans="1:8" ht="30" customHeight="1" x14ac:dyDescent="0.3">
      <c r="A36" s="8"/>
      <c r="B36" s="8"/>
      <c r="C36" s="8"/>
      <c r="D36" s="6"/>
      <c r="E36" s="8"/>
      <c r="F36" s="21"/>
      <c r="G36" s="21"/>
      <c r="H36" s="9"/>
    </row>
    <row r="37" spans="1:8" ht="30" customHeight="1" x14ac:dyDescent="0.3">
      <c r="A37" s="8"/>
      <c r="B37" s="8"/>
      <c r="C37" s="8"/>
      <c r="D37" s="6"/>
      <c r="E37" s="8"/>
      <c r="F37" s="21"/>
      <c r="G37" s="21"/>
      <c r="H37" s="9"/>
    </row>
    <row r="38" spans="1:8" ht="30" customHeight="1" x14ac:dyDescent="0.3">
      <c r="A38" s="8"/>
      <c r="B38" s="8"/>
      <c r="C38" s="8"/>
      <c r="D38" s="6"/>
      <c r="E38" s="8"/>
      <c r="F38" s="21"/>
      <c r="G38" s="21"/>
      <c r="H38" s="9"/>
    </row>
    <row r="39" spans="1:8" ht="30" customHeight="1" x14ac:dyDescent="0.3">
      <c r="A39" s="8"/>
      <c r="B39" s="8"/>
      <c r="C39" s="8"/>
      <c r="D39" s="6"/>
      <c r="E39" s="8"/>
      <c r="F39" s="21"/>
      <c r="G39" s="21"/>
      <c r="H39" s="9"/>
    </row>
    <row r="40" spans="1:8" ht="30" customHeight="1" x14ac:dyDescent="0.3">
      <c r="A40" s="8"/>
      <c r="B40" s="8"/>
      <c r="C40" s="8"/>
      <c r="D40" s="6"/>
      <c r="E40" s="8"/>
      <c r="F40" s="21"/>
      <c r="G40" s="21"/>
      <c r="H40" s="9"/>
    </row>
    <row r="41" spans="1:8" ht="30" customHeight="1" x14ac:dyDescent="0.3">
      <c r="A41" s="8"/>
      <c r="B41" s="8"/>
      <c r="C41" s="8"/>
      <c r="D41" s="6"/>
      <c r="E41" s="8"/>
      <c r="F41" s="21"/>
      <c r="G41" s="21"/>
      <c r="H41" s="9"/>
    </row>
    <row r="42" spans="1:8" ht="30" customHeight="1" x14ac:dyDescent="0.3">
      <c r="A42" s="8"/>
      <c r="B42" s="8"/>
      <c r="C42" s="8"/>
      <c r="D42" s="6"/>
      <c r="E42" s="8"/>
      <c r="F42" s="21"/>
      <c r="G42" s="21"/>
      <c r="H42" s="9"/>
    </row>
    <row r="43" spans="1:8" ht="30" customHeight="1" x14ac:dyDescent="0.3">
      <c r="A43" s="8"/>
      <c r="B43" s="8"/>
      <c r="C43" s="8"/>
      <c r="D43" s="6"/>
      <c r="E43" s="8"/>
      <c r="F43" s="21"/>
      <c r="G43" s="21"/>
      <c r="H43" s="9"/>
    </row>
    <row r="44" spans="1:8" ht="30" customHeight="1" x14ac:dyDescent="0.3">
      <c r="A44" s="8"/>
      <c r="B44" s="8"/>
      <c r="C44" s="8"/>
      <c r="D44" s="6"/>
      <c r="E44" s="8"/>
      <c r="F44" s="21"/>
      <c r="G44" s="21"/>
      <c r="H44" s="9"/>
    </row>
    <row r="45" spans="1:8" ht="30" customHeight="1" x14ac:dyDescent="0.3">
      <c r="A45" s="8"/>
      <c r="B45" s="8"/>
      <c r="C45" s="8"/>
      <c r="D45" s="6"/>
      <c r="E45" s="8"/>
      <c r="F45" s="21"/>
      <c r="G45" s="21"/>
      <c r="H45" s="9"/>
    </row>
    <row r="46" spans="1:8" ht="30" customHeight="1" x14ac:dyDescent="0.3">
      <c r="A46" s="8"/>
      <c r="B46" s="8"/>
      <c r="C46" s="8"/>
      <c r="D46" s="6"/>
      <c r="E46" s="8"/>
      <c r="F46" s="21"/>
      <c r="G46" s="21"/>
      <c r="H46" s="9"/>
    </row>
    <row r="47" spans="1:8" ht="30" customHeight="1" x14ac:dyDescent="0.3">
      <c r="A47" s="8"/>
      <c r="B47" s="8"/>
      <c r="C47" s="8"/>
      <c r="D47" s="6"/>
      <c r="E47" s="8"/>
      <c r="F47" s="21"/>
      <c r="G47" s="21"/>
      <c r="H47" s="9"/>
    </row>
    <row r="48" spans="1:8" ht="30" customHeight="1" x14ac:dyDescent="0.3">
      <c r="A48" s="8"/>
      <c r="B48" s="8"/>
      <c r="C48" s="8"/>
      <c r="D48" s="6"/>
      <c r="E48" s="8"/>
      <c r="F48" s="21"/>
      <c r="G48" s="21"/>
      <c r="H48" s="9"/>
    </row>
    <row r="49" spans="1:8" ht="30" customHeight="1" x14ac:dyDescent="0.3">
      <c r="A49" s="8"/>
      <c r="B49" s="8"/>
      <c r="C49" s="8"/>
      <c r="D49" s="6"/>
      <c r="E49" s="8"/>
      <c r="F49" s="21"/>
      <c r="G49" s="21"/>
      <c r="H49" s="9"/>
    </row>
    <row r="50" spans="1:8" ht="30" customHeight="1" x14ac:dyDescent="0.3">
      <c r="A50" s="8"/>
      <c r="B50" s="8"/>
      <c r="C50" s="8"/>
      <c r="D50" s="6"/>
      <c r="E50" s="8"/>
      <c r="F50" s="21"/>
      <c r="G50" s="21"/>
      <c r="H50" s="9"/>
    </row>
    <row r="51" spans="1:8" ht="30" customHeight="1" x14ac:dyDescent="0.3">
      <c r="A51" s="8"/>
      <c r="B51" s="8"/>
      <c r="C51" s="8"/>
      <c r="D51" s="6"/>
      <c r="E51" s="8"/>
      <c r="F51" s="21"/>
      <c r="G51" s="21"/>
      <c r="H51" s="9"/>
    </row>
    <row r="52" spans="1:8" ht="30" customHeight="1" x14ac:dyDescent="0.3">
      <c r="A52" s="8"/>
      <c r="B52" s="8"/>
      <c r="C52" s="8"/>
      <c r="D52" s="6"/>
      <c r="E52" s="8"/>
      <c r="F52" s="21"/>
      <c r="G52" s="21"/>
      <c r="H52" s="9"/>
    </row>
    <row r="53" spans="1:8" ht="30" customHeight="1" x14ac:dyDescent="0.3">
      <c r="A53" s="8"/>
      <c r="B53" s="8"/>
      <c r="C53" s="8"/>
      <c r="D53" s="6"/>
      <c r="E53" s="8"/>
      <c r="F53" s="21"/>
      <c r="G53" s="21"/>
      <c r="H53" s="9"/>
    </row>
    <row r="54" spans="1:8" ht="30" customHeight="1" x14ac:dyDescent="0.3">
      <c r="A54" s="8"/>
      <c r="B54" s="8"/>
      <c r="C54" s="8"/>
      <c r="D54" s="6"/>
      <c r="E54" s="8"/>
      <c r="F54" s="21"/>
      <c r="G54" s="21"/>
      <c r="H54" s="9"/>
    </row>
    <row r="55" spans="1:8" ht="30" customHeight="1" x14ac:dyDescent="0.3">
      <c r="A55" s="8"/>
      <c r="B55" s="8"/>
      <c r="C55" s="8"/>
      <c r="D55" s="6"/>
      <c r="E55" s="8"/>
      <c r="F55" s="21"/>
      <c r="G55" s="21"/>
      <c r="H55" s="9"/>
    </row>
    <row r="56" spans="1:8" ht="30" customHeight="1" x14ac:dyDescent="0.3">
      <c r="A56" s="8"/>
      <c r="B56" s="8"/>
      <c r="C56" s="8"/>
      <c r="D56" s="6"/>
      <c r="E56" s="8"/>
      <c r="F56" s="21"/>
      <c r="G56" s="21"/>
      <c r="H56" s="9"/>
    </row>
    <row r="57" spans="1:8" ht="30" customHeight="1" x14ac:dyDescent="0.3">
      <c r="A57" s="8"/>
      <c r="B57" s="8"/>
      <c r="C57" s="8"/>
      <c r="D57" s="6"/>
      <c r="E57" s="8"/>
      <c r="F57" s="21"/>
      <c r="G57" s="21"/>
      <c r="H57" s="9"/>
    </row>
    <row r="58" spans="1:8" ht="30" customHeight="1" x14ac:dyDescent="0.3">
      <c r="A58" s="8"/>
      <c r="B58" s="8"/>
      <c r="C58" s="8"/>
      <c r="D58" s="6"/>
      <c r="E58" s="8"/>
      <c r="F58" s="21"/>
      <c r="G58" s="21"/>
      <c r="H58" s="9"/>
    </row>
    <row r="59" spans="1:8" ht="30" customHeight="1" x14ac:dyDescent="0.3">
      <c r="A59" s="8"/>
      <c r="B59" s="8"/>
      <c r="C59" s="8"/>
      <c r="D59" s="6"/>
      <c r="E59" s="8"/>
      <c r="F59" s="21"/>
      <c r="G59" s="21"/>
      <c r="H59" s="9"/>
    </row>
    <row r="60" spans="1:8" ht="30" customHeight="1" x14ac:dyDescent="0.3">
      <c r="A60" s="8"/>
      <c r="B60" s="8"/>
      <c r="C60" s="8"/>
      <c r="D60" s="6"/>
      <c r="E60" s="8"/>
      <c r="F60" s="21"/>
      <c r="G60" s="21"/>
      <c r="H60" s="9"/>
    </row>
    <row r="61" spans="1:8" ht="30" customHeight="1" x14ac:dyDescent="0.3">
      <c r="A61" s="8"/>
      <c r="B61" s="8"/>
      <c r="C61" s="8"/>
      <c r="D61" s="6"/>
      <c r="E61" s="8"/>
      <c r="F61" s="21"/>
      <c r="G61" s="21"/>
      <c r="H61" s="9"/>
    </row>
    <row r="62" spans="1:8" ht="30" customHeight="1" x14ac:dyDescent="0.3">
      <c r="A62" s="8"/>
      <c r="B62" s="8"/>
      <c r="C62" s="8"/>
      <c r="D62" s="6"/>
      <c r="E62" s="8"/>
      <c r="F62" s="25"/>
      <c r="G62" s="25"/>
      <c r="H62" s="9"/>
    </row>
    <row r="63" spans="1:8" ht="30" customHeight="1" x14ac:dyDescent="0.3">
      <c r="A63" s="8"/>
      <c r="B63" s="8"/>
      <c r="C63" s="8"/>
      <c r="D63" s="6"/>
      <c r="E63" s="8"/>
      <c r="F63" s="25"/>
      <c r="G63" s="25"/>
      <c r="H63" s="9"/>
    </row>
    <row r="64" spans="1:8" ht="30" customHeight="1" x14ac:dyDescent="0.3">
      <c r="A64" s="8"/>
      <c r="B64" s="8"/>
      <c r="C64" s="8"/>
      <c r="D64" s="6"/>
      <c r="E64" s="8"/>
      <c r="F64" s="21"/>
      <c r="G64" s="21"/>
      <c r="H64" s="9"/>
    </row>
    <row r="65" spans="1:8" ht="30" customHeight="1" x14ac:dyDescent="0.3">
      <c r="A65" s="8"/>
      <c r="B65" s="8"/>
      <c r="C65" s="8"/>
      <c r="D65" s="6"/>
      <c r="E65" s="8"/>
      <c r="F65" s="21"/>
      <c r="G65" s="21"/>
      <c r="H65" s="9"/>
    </row>
    <row r="66" spans="1:8" ht="30" customHeight="1" x14ac:dyDescent="0.3">
      <c r="A66" s="8"/>
      <c r="B66" s="8"/>
      <c r="C66" s="8"/>
      <c r="D66" s="6"/>
      <c r="E66" s="8"/>
      <c r="F66" s="21"/>
      <c r="G66" s="21"/>
      <c r="H66" s="9"/>
    </row>
    <row r="67" spans="1:8" ht="30" customHeight="1" x14ac:dyDescent="0.3">
      <c r="A67" s="8"/>
      <c r="B67" s="8"/>
      <c r="C67" s="8"/>
      <c r="D67" s="6"/>
      <c r="E67" s="8"/>
      <c r="F67" s="21"/>
      <c r="G67" s="21"/>
      <c r="H67" s="9"/>
    </row>
    <row r="68" spans="1:8" ht="30" customHeight="1" x14ac:dyDescent="0.3">
      <c r="A68" s="8"/>
      <c r="B68" s="8"/>
      <c r="C68" s="8"/>
      <c r="D68" s="6"/>
      <c r="E68" s="8"/>
      <c r="F68" s="21"/>
      <c r="G68" s="21"/>
      <c r="H68" s="9"/>
    </row>
    <row r="69" spans="1:8" ht="30" customHeight="1" x14ac:dyDescent="0.3">
      <c r="A69" s="8"/>
      <c r="B69" s="8"/>
      <c r="C69" s="8"/>
      <c r="D69" s="6"/>
      <c r="E69" s="8"/>
      <c r="F69" s="21"/>
      <c r="G69" s="21"/>
      <c r="H69" s="9"/>
    </row>
    <row r="70" spans="1:8" ht="30" customHeight="1" x14ac:dyDescent="0.3">
      <c r="A70" s="8"/>
      <c r="B70" s="8"/>
      <c r="C70" s="8"/>
      <c r="D70" s="6"/>
      <c r="E70" s="8"/>
      <c r="F70" s="21"/>
      <c r="G70" s="21"/>
      <c r="H70" s="9"/>
    </row>
    <row r="71" spans="1:8" ht="30" customHeight="1" x14ac:dyDescent="0.3">
      <c r="A71" s="8"/>
      <c r="B71" s="8"/>
      <c r="C71" s="8"/>
      <c r="D71" s="6"/>
      <c r="E71" s="8"/>
      <c r="F71" s="21"/>
      <c r="G71" s="21"/>
      <c r="H71" s="9"/>
    </row>
    <row r="72" spans="1:8" ht="30" customHeight="1" x14ac:dyDescent="0.3">
      <c r="A72" s="8"/>
      <c r="B72" s="8"/>
      <c r="C72" s="8"/>
      <c r="D72" s="6"/>
      <c r="E72" s="8"/>
      <c r="F72" s="21"/>
      <c r="G72" s="21"/>
      <c r="H72" s="9"/>
    </row>
    <row r="73" spans="1:8" ht="30" customHeight="1" x14ac:dyDescent="0.3">
      <c r="A73" s="8"/>
      <c r="B73" s="8"/>
      <c r="C73" s="8"/>
      <c r="D73" s="6"/>
      <c r="E73" s="8"/>
      <c r="F73" s="25"/>
      <c r="G73" s="25"/>
      <c r="H73" s="9"/>
    </row>
    <row r="74" spans="1:8" ht="30" customHeight="1" x14ac:dyDescent="0.3">
      <c r="A74" s="8"/>
      <c r="B74" s="8"/>
      <c r="C74" s="8"/>
      <c r="D74" s="6"/>
      <c r="E74" s="8"/>
      <c r="F74" s="21"/>
      <c r="G74" s="21"/>
      <c r="H74" s="9"/>
    </row>
    <row r="75" spans="1:8" ht="30" customHeight="1" x14ac:dyDescent="0.3">
      <c r="A75" s="8"/>
      <c r="B75" s="8"/>
      <c r="C75" s="8"/>
      <c r="D75" s="6"/>
      <c r="E75" s="8"/>
      <c r="F75" s="25"/>
      <c r="G75" s="25"/>
      <c r="H75" s="9"/>
    </row>
    <row r="76" spans="1:8" ht="30" customHeight="1" x14ac:dyDescent="0.3">
      <c r="A76" s="8"/>
      <c r="B76" s="8"/>
      <c r="C76" s="8"/>
      <c r="D76" s="6"/>
      <c r="E76" s="8"/>
      <c r="F76" s="21"/>
      <c r="G76" s="21"/>
      <c r="H76" s="9"/>
    </row>
    <row r="77" spans="1:8" ht="30" customHeight="1" x14ac:dyDescent="0.3">
      <c r="A77" s="8"/>
      <c r="B77" s="8"/>
      <c r="C77" s="8"/>
      <c r="D77" s="6"/>
      <c r="E77" s="8"/>
      <c r="F77" s="21"/>
      <c r="G77" s="21"/>
      <c r="H77" s="9"/>
    </row>
    <row r="78" spans="1:8" ht="30" customHeight="1" x14ac:dyDescent="0.3">
      <c r="A78" s="8"/>
      <c r="B78" s="8"/>
      <c r="C78" s="8"/>
      <c r="D78" s="6"/>
      <c r="E78" s="8"/>
      <c r="F78" s="21"/>
      <c r="G78" s="21"/>
      <c r="H78" s="9"/>
    </row>
    <row r="79" spans="1:8" ht="30" customHeight="1" x14ac:dyDescent="0.3">
      <c r="A79" s="8"/>
      <c r="B79" s="8"/>
      <c r="C79" s="8"/>
      <c r="D79" s="6"/>
      <c r="E79" s="8"/>
      <c r="F79" s="21"/>
      <c r="G79" s="21"/>
      <c r="H79" s="9"/>
    </row>
    <row r="80" spans="1:8" ht="30" customHeight="1" x14ac:dyDescent="0.3">
      <c r="A80" s="8"/>
      <c r="B80" s="8"/>
      <c r="C80" s="8"/>
      <c r="D80" s="6"/>
      <c r="E80" s="8"/>
      <c r="F80" s="21"/>
      <c r="G80" s="21"/>
      <c r="H80" s="9"/>
    </row>
    <row r="81" spans="1:8" ht="30" customHeight="1" x14ac:dyDescent="0.3">
      <c r="A81" s="8"/>
      <c r="B81" s="8"/>
      <c r="C81" s="8"/>
      <c r="D81" s="6"/>
      <c r="E81" s="8"/>
      <c r="F81" s="21"/>
      <c r="G81" s="21"/>
      <c r="H81" s="9"/>
    </row>
    <row r="82" spans="1:8" ht="30" customHeight="1" x14ac:dyDescent="0.3">
      <c r="A82" s="8"/>
      <c r="B82" s="8"/>
      <c r="C82" s="8"/>
      <c r="D82" s="6"/>
      <c r="E82" s="8"/>
      <c r="F82" s="21"/>
      <c r="G82" s="21"/>
      <c r="H82" s="9"/>
    </row>
    <row r="83" spans="1:8" ht="30" customHeight="1" x14ac:dyDescent="0.3">
      <c r="A83" s="8"/>
      <c r="B83" s="8"/>
      <c r="C83" s="8"/>
      <c r="D83" s="6"/>
      <c r="E83" s="8"/>
      <c r="F83" s="21"/>
      <c r="G83" s="21"/>
      <c r="H83" s="9"/>
    </row>
    <row r="84" spans="1:8" ht="30" customHeight="1" x14ac:dyDescent="0.3">
      <c r="A84" s="8"/>
      <c r="B84" s="8"/>
      <c r="C84" s="8"/>
      <c r="D84" s="6"/>
      <c r="E84" s="8"/>
      <c r="F84" s="21"/>
      <c r="G84" s="21"/>
      <c r="H84" s="9"/>
    </row>
    <row r="85" spans="1:8" ht="30" customHeight="1" x14ac:dyDescent="0.3">
      <c r="A85" s="8"/>
      <c r="B85" s="8"/>
      <c r="C85" s="8"/>
      <c r="D85" s="6"/>
      <c r="E85" s="8"/>
      <c r="F85" s="21"/>
      <c r="G85" s="21"/>
      <c r="H85" s="9"/>
    </row>
    <row r="86" spans="1:8" ht="30" customHeight="1" x14ac:dyDescent="0.3">
      <c r="A86" s="8"/>
      <c r="B86" s="8"/>
      <c r="C86" s="8"/>
      <c r="D86" s="6"/>
      <c r="E86" s="8"/>
      <c r="F86" s="21"/>
      <c r="G86" s="21"/>
      <c r="H86" s="9"/>
    </row>
    <row r="87" spans="1:8" ht="30" customHeight="1" x14ac:dyDescent="0.3">
      <c r="A87" s="8"/>
      <c r="B87" s="8"/>
      <c r="C87" s="8"/>
      <c r="D87" s="6"/>
      <c r="E87" s="8"/>
      <c r="F87" s="21"/>
      <c r="G87" s="21"/>
      <c r="H87" s="9"/>
    </row>
    <row r="88" spans="1:8" ht="30" customHeight="1" x14ac:dyDescent="0.3">
      <c r="A88" s="8"/>
      <c r="B88" s="8"/>
      <c r="C88" s="8"/>
      <c r="D88" s="6"/>
      <c r="E88" s="8"/>
      <c r="F88" s="21"/>
      <c r="G88" s="21"/>
      <c r="H88" s="9"/>
    </row>
    <row r="89" spans="1:8" ht="30" customHeight="1" x14ac:dyDescent="0.3">
      <c r="A89" s="8"/>
      <c r="B89" s="8"/>
      <c r="C89" s="8"/>
      <c r="D89" s="6"/>
      <c r="E89" s="8"/>
      <c r="F89" s="21"/>
      <c r="G89" s="21"/>
      <c r="H89" s="9"/>
    </row>
    <row r="90" spans="1:8" ht="30" customHeight="1" x14ac:dyDescent="0.3">
      <c r="A90" s="8"/>
      <c r="B90" s="8"/>
      <c r="C90" s="8"/>
      <c r="D90" s="6"/>
      <c r="E90" s="8"/>
      <c r="F90" s="21"/>
      <c r="G90" s="21"/>
      <c r="H90" s="9"/>
    </row>
    <row r="91" spans="1:8" ht="30" customHeight="1" x14ac:dyDescent="0.3">
      <c r="A91" s="8"/>
      <c r="B91" s="8"/>
      <c r="C91" s="8"/>
      <c r="D91" s="6"/>
      <c r="E91" s="8"/>
      <c r="F91" s="21"/>
      <c r="G91" s="21"/>
      <c r="H91" s="9"/>
    </row>
    <row r="92" spans="1:8" ht="30" customHeight="1" x14ac:dyDescent="0.3">
      <c r="A92" s="8"/>
      <c r="B92" s="8"/>
      <c r="C92" s="8"/>
      <c r="D92" s="6"/>
      <c r="E92" s="8"/>
      <c r="F92" s="21"/>
      <c r="G92" s="21"/>
      <c r="H92" s="9"/>
    </row>
    <row r="93" spans="1:8" ht="30" customHeight="1" x14ac:dyDescent="0.3">
      <c r="A93" s="8"/>
      <c r="B93" s="8"/>
      <c r="C93" s="8"/>
      <c r="D93" s="6"/>
      <c r="E93" s="8"/>
      <c r="F93" s="21"/>
      <c r="G93" s="21"/>
      <c r="H93" s="9"/>
    </row>
    <row r="94" spans="1:8" ht="30" customHeight="1" x14ac:dyDescent="0.3">
      <c r="A94" s="8"/>
      <c r="B94" s="8"/>
      <c r="C94" s="8"/>
      <c r="D94" s="6"/>
      <c r="E94" s="8"/>
      <c r="F94" s="21"/>
      <c r="G94" s="21"/>
      <c r="H94" s="9"/>
    </row>
    <row r="95" spans="1:8" ht="30" customHeight="1" x14ac:dyDescent="0.3">
      <c r="A95" s="8"/>
      <c r="B95" s="8"/>
      <c r="C95" s="8"/>
      <c r="D95" s="6"/>
      <c r="E95" s="8"/>
      <c r="F95" s="21"/>
      <c r="G95" s="21"/>
      <c r="H95" s="9"/>
    </row>
    <row r="96" spans="1:8" ht="30" customHeight="1" x14ac:dyDescent="0.3">
      <c r="A96" s="8"/>
      <c r="B96" s="8"/>
      <c r="C96" s="8"/>
      <c r="D96" s="6"/>
      <c r="E96" s="8"/>
      <c r="F96" s="21"/>
      <c r="G96" s="21"/>
      <c r="H96" s="9"/>
    </row>
    <row r="97" spans="1:8" ht="30" customHeight="1" x14ac:dyDescent="0.3">
      <c r="A97" s="8"/>
      <c r="B97" s="8"/>
      <c r="C97" s="8"/>
      <c r="D97" s="6"/>
      <c r="E97" s="8"/>
      <c r="F97" s="21"/>
      <c r="G97" s="21"/>
      <c r="H97" s="9"/>
    </row>
    <row r="98" spans="1:8" ht="30" customHeight="1" x14ac:dyDescent="0.3">
      <c r="A98" s="8"/>
      <c r="B98" s="8"/>
      <c r="C98" s="8"/>
      <c r="D98" s="6"/>
      <c r="E98" s="8"/>
      <c r="F98" s="21"/>
      <c r="G98" s="21"/>
      <c r="H98" s="9"/>
    </row>
    <row r="99" spans="1:8" ht="30" customHeight="1" x14ac:dyDescent="0.3">
      <c r="A99" s="5"/>
      <c r="B99" s="3"/>
      <c r="C99" s="8"/>
      <c r="D99" s="6"/>
      <c r="E99" s="8"/>
      <c r="F99" s="21"/>
      <c r="G99" s="21"/>
      <c r="H99" s="9"/>
    </row>
    <row r="100" spans="1:8" ht="30" customHeight="1" x14ac:dyDescent="0.3">
      <c r="A100" s="5"/>
      <c r="B100" s="3"/>
      <c r="C100" s="8"/>
      <c r="D100" s="6"/>
      <c r="E100" s="8"/>
      <c r="F100" s="21"/>
      <c r="G100" s="21"/>
      <c r="H100" s="9"/>
    </row>
    <row r="101" spans="1:8" ht="30" customHeight="1" x14ac:dyDescent="0.3">
      <c r="A101" s="5"/>
      <c r="B101" s="3"/>
      <c r="C101" s="8"/>
      <c r="D101" s="6"/>
      <c r="E101" s="8"/>
      <c r="F101" s="21"/>
      <c r="G101" s="21"/>
      <c r="H101" s="9"/>
    </row>
    <row r="102" spans="1:8" ht="30" customHeight="1" x14ac:dyDescent="0.3">
      <c r="A102" s="5"/>
      <c r="B102" s="3"/>
      <c r="C102" s="8"/>
      <c r="D102" s="6"/>
      <c r="E102" s="8"/>
      <c r="F102" s="21"/>
      <c r="G102" s="21"/>
      <c r="H102" s="9"/>
    </row>
    <row r="103" spans="1:8" ht="30" customHeight="1" x14ac:dyDescent="0.3">
      <c r="A103" s="5"/>
      <c r="B103" s="3"/>
      <c r="C103" s="8"/>
      <c r="D103" s="6"/>
      <c r="E103" s="8"/>
      <c r="F103" s="21"/>
      <c r="G103" s="21"/>
      <c r="H103" s="9"/>
    </row>
    <row r="104" spans="1:8" ht="30" customHeight="1" x14ac:dyDescent="0.3">
      <c r="A104" s="5"/>
      <c r="B104" s="3"/>
      <c r="C104" s="8"/>
      <c r="D104" s="6"/>
      <c r="E104" s="8"/>
      <c r="F104" s="21"/>
      <c r="G104" s="21"/>
      <c r="H104" s="9"/>
    </row>
    <row r="105" spans="1:8" ht="30" customHeight="1" x14ac:dyDescent="0.3">
      <c r="A105" s="5"/>
      <c r="B105" s="3"/>
      <c r="C105" s="8"/>
      <c r="D105" s="6"/>
      <c r="E105" s="8"/>
      <c r="F105" s="21"/>
      <c r="G105" s="21"/>
      <c r="H105" s="9"/>
    </row>
    <row r="106" spans="1:8" ht="30" customHeight="1" x14ac:dyDescent="0.3">
      <c r="A106" s="5"/>
      <c r="B106" s="3"/>
      <c r="C106" s="8"/>
      <c r="D106" s="6"/>
      <c r="E106" s="8"/>
      <c r="F106" s="21"/>
      <c r="G106" s="21"/>
      <c r="H106" s="9"/>
    </row>
    <row r="107" spans="1:8" ht="30" customHeight="1" x14ac:dyDescent="0.3">
      <c r="A107" s="5"/>
      <c r="B107" s="3"/>
      <c r="C107" s="8"/>
      <c r="D107" s="6"/>
      <c r="E107" s="8"/>
      <c r="F107" s="21"/>
      <c r="G107" s="21"/>
      <c r="H107" s="9"/>
    </row>
    <row r="108" spans="1:8" ht="30" customHeight="1" x14ac:dyDescent="0.3">
      <c r="A108" s="5"/>
      <c r="B108" s="3"/>
      <c r="C108" s="8"/>
      <c r="D108" s="6"/>
      <c r="E108" s="8"/>
      <c r="F108" s="21"/>
      <c r="G108" s="21"/>
      <c r="H108" s="9"/>
    </row>
    <row r="109" spans="1:8" ht="30" customHeight="1" x14ac:dyDescent="0.3">
      <c r="A109" s="5"/>
      <c r="B109" s="3"/>
      <c r="C109" s="8"/>
      <c r="D109" s="6"/>
      <c r="E109" s="8"/>
      <c r="F109" s="21"/>
      <c r="G109" s="21"/>
      <c r="H109" s="9"/>
    </row>
    <row r="110" spans="1:8" ht="30" customHeight="1" x14ac:dyDescent="0.3">
      <c r="A110" s="5"/>
      <c r="B110" s="3"/>
      <c r="C110" s="8"/>
      <c r="D110" s="6"/>
      <c r="E110" s="8"/>
      <c r="F110" s="21"/>
      <c r="G110" s="21"/>
      <c r="H110" s="9"/>
    </row>
    <row r="111" spans="1:8" ht="30" customHeight="1" x14ac:dyDescent="0.3">
      <c r="A111" s="5"/>
      <c r="B111" s="3"/>
      <c r="C111" s="8"/>
      <c r="D111" s="6"/>
      <c r="E111" s="8"/>
      <c r="F111" s="21"/>
      <c r="G111" s="21"/>
      <c r="H111" s="9"/>
    </row>
    <row r="112" spans="1:8" ht="30" customHeight="1" x14ac:dyDescent="0.3">
      <c r="A112" s="5"/>
      <c r="B112" s="3"/>
      <c r="C112" s="8"/>
      <c r="D112" s="6"/>
      <c r="E112" s="8"/>
      <c r="F112" s="21"/>
      <c r="G112" s="21"/>
      <c r="H112" s="9"/>
    </row>
    <row r="113" spans="1:8" ht="30" customHeight="1" x14ac:dyDescent="0.3">
      <c r="A113" s="5"/>
      <c r="B113" s="3"/>
      <c r="C113" s="8"/>
      <c r="D113" s="6"/>
      <c r="E113" s="8"/>
      <c r="F113" s="21"/>
      <c r="G113" s="21"/>
      <c r="H113" s="9"/>
    </row>
    <row r="114" spans="1:8" ht="30" customHeight="1" x14ac:dyDescent="0.3">
      <c r="A114" s="5"/>
      <c r="B114" s="3"/>
      <c r="C114" s="8"/>
      <c r="D114" s="6"/>
      <c r="E114" s="8"/>
      <c r="F114" s="21"/>
      <c r="G114" s="21"/>
      <c r="H114" s="9"/>
    </row>
    <row r="115" spans="1:8" ht="30" customHeight="1" x14ac:dyDescent="0.3">
      <c r="A115" s="5"/>
      <c r="B115" s="3"/>
      <c r="C115" s="8"/>
      <c r="D115" s="6"/>
      <c r="E115" s="8"/>
      <c r="F115" s="21"/>
      <c r="G115" s="21"/>
      <c r="H115" s="9"/>
    </row>
    <row r="116" spans="1:8" ht="30" customHeight="1" x14ac:dyDescent="0.3">
      <c r="A116" s="5"/>
      <c r="B116" s="3"/>
      <c r="C116" s="8"/>
      <c r="D116" s="6"/>
      <c r="E116" s="8"/>
      <c r="F116" s="21"/>
      <c r="G116" s="21"/>
      <c r="H116" s="9"/>
    </row>
    <row r="117" spans="1:8" ht="30" customHeight="1" x14ac:dyDescent="0.3">
      <c r="A117" s="5"/>
      <c r="B117" s="3"/>
      <c r="C117" s="8"/>
      <c r="D117" s="6"/>
      <c r="E117" s="8"/>
      <c r="F117" s="21"/>
      <c r="G117" s="21"/>
      <c r="H117" s="9"/>
    </row>
    <row r="118" spans="1:8" ht="30" customHeight="1" x14ac:dyDescent="0.3">
      <c r="A118" s="5"/>
      <c r="B118" s="3"/>
      <c r="C118" s="8"/>
      <c r="D118" s="6"/>
      <c r="E118" s="8"/>
      <c r="F118" s="21"/>
      <c r="G118" s="21"/>
      <c r="H118" s="9"/>
    </row>
    <row r="119" spans="1:8" ht="30" customHeight="1" x14ac:dyDescent="0.3">
      <c r="A119" s="5"/>
      <c r="B119" s="3"/>
      <c r="C119" s="8"/>
      <c r="D119" s="6"/>
      <c r="E119" s="8"/>
      <c r="F119" s="21"/>
      <c r="G119" s="21"/>
      <c r="H119" s="9"/>
    </row>
    <row r="120" spans="1:8" ht="30" customHeight="1" x14ac:dyDescent="0.3">
      <c r="A120" s="5"/>
      <c r="B120" s="3"/>
      <c r="C120" s="8"/>
      <c r="D120" s="6"/>
      <c r="E120" s="8"/>
      <c r="F120" s="21"/>
      <c r="G120" s="21"/>
      <c r="H120" s="9"/>
    </row>
    <row r="121" spans="1:8" ht="30" customHeight="1" x14ac:dyDescent="0.3">
      <c r="A121" s="5"/>
      <c r="B121" s="3"/>
      <c r="C121" s="8"/>
      <c r="D121" s="6"/>
      <c r="E121" s="8"/>
      <c r="F121" s="21"/>
      <c r="G121" s="21"/>
      <c r="H121" s="9"/>
    </row>
    <row r="122" spans="1:8" ht="30" customHeight="1" x14ac:dyDescent="0.3">
      <c r="A122" s="5"/>
      <c r="B122" s="3"/>
      <c r="C122" s="8"/>
      <c r="D122" s="6"/>
      <c r="E122" s="8"/>
      <c r="F122" s="21"/>
      <c r="G122" s="21"/>
      <c r="H122" s="9"/>
    </row>
    <row r="123" spans="1:8" ht="30" customHeight="1" x14ac:dyDescent="0.3">
      <c r="A123" s="5"/>
      <c r="B123" s="3"/>
      <c r="C123" s="8"/>
      <c r="D123" s="6"/>
      <c r="E123" s="8"/>
      <c r="F123" s="21"/>
      <c r="G123" s="21"/>
      <c r="H123" s="9"/>
    </row>
    <row r="124" spans="1:8" ht="30" customHeight="1" x14ac:dyDescent="0.3">
      <c r="A124" s="5"/>
      <c r="B124" s="3"/>
      <c r="C124" s="8"/>
      <c r="D124" s="6"/>
      <c r="E124" s="8"/>
      <c r="F124" s="21"/>
      <c r="G124" s="21"/>
      <c r="H124" s="9"/>
    </row>
    <row r="125" spans="1:8" ht="30" customHeight="1" x14ac:dyDescent="0.3">
      <c r="A125" s="5"/>
      <c r="B125" s="3"/>
      <c r="C125" s="8"/>
      <c r="D125" s="6"/>
      <c r="E125" s="8"/>
      <c r="F125" s="21"/>
      <c r="G125" s="21"/>
      <c r="H125" s="9"/>
    </row>
    <row r="126" spans="1:8" ht="30" customHeight="1" x14ac:dyDescent="0.3">
      <c r="A126" s="5"/>
      <c r="B126" s="3"/>
      <c r="C126" s="8"/>
      <c r="D126" s="6"/>
      <c r="E126" s="8"/>
      <c r="F126" s="21"/>
      <c r="G126" s="21"/>
      <c r="H126" s="9"/>
    </row>
    <row r="127" spans="1:8" ht="30" customHeight="1" x14ac:dyDescent="0.3">
      <c r="A127" s="5"/>
      <c r="B127" s="3"/>
      <c r="C127" s="8"/>
      <c r="D127" s="6"/>
      <c r="E127" s="8"/>
      <c r="F127" s="21"/>
      <c r="G127" s="21"/>
      <c r="H127" s="9"/>
    </row>
    <row r="128" spans="1:8" ht="30" customHeight="1" x14ac:dyDescent="0.3">
      <c r="A128" s="5"/>
      <c r="B128" s="3"/>
      <c r="C128" s="8"/>
      <c r="D128" s="6"/>
      <c r="E128" s="8"/>
      <c r="F128" s="21"/>
      <c r="G128" s="21"/>
      <c r="H128" s="9"/>
    </row>
    <row r="129" spans="1:8" ht="30" customHeight="1" x14ac:dyDescent="0.3">
      <c r="A129" s="5"/>
      <c r="B129" s="3"/>
      <c r="C129" s="8"/>
      <c r="D129" s="6"/>
      <c r="E129" s="8"/>
      <c r="F129" s="21"/>
      <c r="G129" s="21"/>
      <c r="H129" s="9"/>
    </row>
    <row r="130" spans="1:8" ht="30" customHeight="1" x14ac:dyDescent="0.3">
      <c r="A130" s="5"/>
      <c r="B130" s="3"/>
      <c r="C130" s="8"/>
      <c r="D130" s="6"/>
      <c r="E130" s="8"/>
      <c r="F130" s="21"/>
      <c r="G130" s="21"/>
      <c r="H130" s="9"/>
    </row>
    <row r="131" spans="1:8" ht="30" customHeight="1" x14ac:dyDescent="0.3">
      <c r="A131" s="5"/>
      <c r="B131" s="3"/>
      <c r="C131" s="8"/>
      <c r="D131" s="6"/>
      <c r="E131" s="8"/>
      <c r="F131" s="21"/>
      <c r="G131" s="21"/>
      <c r="H131" s="9"/>
    </row>
    <row r="132" spans="1:8" ht="30" customHeight="1" x14ac:dyDescent="0.3">
      <c r="A132" s="5"/>
      <c r="B132" s="3"/>
      <c r="C132" s="8"/>
      <c r="D132" s="6"/>
      <c r="E132" s="8"/>
      <c r="F132" s="21"/>
      <c r="G132" s="21"/>
      <c r="H132" s="9"/>
    </row>
    <row r="133" spans="1:8" ht="30" customHeight="1" x14ac:dyDescent="0.3">
      <c r="A133" s="5"/>
      <c r="B133" s="3"/>
      <c r="C133" s="8"/>
      <c r="D133" s="6"/>
      <c r="E133" s="8"/>
      <c r="F133" s="21"/>
      <c r="G133" s="21"/>
      <c r="H133" s="9"/>
    </row>
    <row r="134" spans="1:8" ht="30" customHeight="1" x14ac:dyDescent="0.3">
      <c r="A134" s="5"/>
      <c r="B134" s="3"/>
      <c r="C134" s="8"/>
      <c r="D134" s="6"/>
      <c r="E134" s="8"/>
      <c r="F134" s="21"/>
      <c r="G134" s="21"/>
      <c r="H134" s="9"/>
    </row>
    <row r="135" spans="1:8" ht="30" customHeight="1" x14ac:dyDescent="0.3">
      <c r="A135" s="5"/>
      <c r="B135" s="3"/>
      <c r="C135" s="8"/>
      <c r="D135" s="6"/>
      <c r="E135" s="8"/>
      <c r="F135" s="21"/>
      <c r="G135" s="21"/>
      <c r="H135" s="9"/>
    </row>
    <row r="136" spans="1:8" ht="30" customHeight="1" x14ac:dyDescent="0.3">
      <c r="A136" s="5"/>
      <c r="B136" s="3"/>
      <c r="C136" s="8"/>
      <c r="D136" s="6"/>
      <c r="E136" s="8"/>
      <c r="F136" s="21"/>
      <c r="G136" s="21"/>
      <c r="H136" s="9"/>
    </row>
    <row r="137" spans="1:8" ht="30" customHeight="1" x14ac:dyDescent="0.3">
      <c r="A137" s="5"/>
      <c r="B137" s="3"/>
      <c r="C137" s="8"/>
      <c r="D137" s="6"/>
      <c r="E137" s="8"/>
      <c r="F137" s="21"/>
      <c r="G137" s="21"/>
      <c r="H137" s="9"/>
    </row>
    <row r="138" spans="1:8" ht="30" customHeight="1" x14ac:dyDescent="0.3">
      <c r="A138" s="5"/>
      <c r="B138" s="3"/>
      <c r="C138" s="8"/>
      <c r="D138" s="6"/>
      <c r="E138" s="8"/>
      <c r="F138" s="21"/>
      <c r="G138" s="21"/>
      <c r="H138" s="9"/>
    </row>
    <row r="139" spans="1:8" ht="30" customHeight="1" x14ac:dyDescent="0.3">
      <c r="A139" s="5"/>
      <c r="B139" s="3"/>
      <c r="C139" s="8"/>
      <c r="D139" s="6"/>
      <c r="E139" s="8"/>
      <c r="F139" s="21"/>
      <c r="G139" s="21"/>
      <c r="H139" s="9"/>
    </row>
    <row r="140" spans="1:8" ht="30" customHeight="1" x14ac:dyDescent="0.3">
      <c r="A140" s="5"/>
      <c r="B140" s="3"/>
      <c r="C140" s="8"/>
      <c r="D140" s="6"/>
      <c r="E140" s="8"/>
      <c r="F140" s="21"/>
      <c r="G140" s="21"/>
      <c r="H140" s="9"/>
    </row>
    <row r="141" spans="1:8" ht="30" customHeight="1" x14ac:dyDescent="0.3">
      <c r="A141" s="5"/>
      <c r="B141" s="3"/>
      <c r="C141" s="8"/>
      <c r="D141" s="6"/>
      <c r="E141" s="8"/>
      <c r="F141" s="21"/>
      <c r="G141" s="21"/>
      <c r="H141" s="9"/>
    </row>
    <row r="142" spans="1:8" ht="30" customHeight="1" x14ac:dyDescent="0.3">
      <c r="A142" s="5"/>
      <c r="B142" s="3"/>
      <c r="C142" s="8"/>
      <c r="D142" s="6"/>
      <c r="E142" s="8"/>
      <c r="F142" s="21"/>
      <c r="G142" s="21"/>
      <c r="H142" s="9"/>
    </row>
    <row r="143" spans="1:8" ht="30" customHeight="1" x14ac:dyDescent="0.3">
      <c r="A143" s="5"/>
      <c r="B143" s="3"/>
      <c r="C143" s="8"/>
      <c r="D143" s="6"/>
      <c r="E143" s="8"/>
      <c r="F143" s="21"/>
      <c r="G143" s="21"/>
      <c r="H143" s="9"/>
    </row>
    <row r="144" spans="1:8" ht="30" customHeight="1" x14ac:dyDescent="0.3">
      <c r="A144" s="5"/>
      <c r="B144" s="3"/>
      <c r="C144" s="8"/>
      <c r="D144" s="6"/>
      <c r="E144" s="8"/>
      <c r="F144" s="21"/>
      <c r="G144" s="21"/>
      <c r="H144" s="9"/>
    </row>
    <row r="145" spans="1:8" ht="30" customHeight="1" x14ac:dyDescent="0.3">
      <c r="A145" s="5"/>
      <c r="B145" s="3"/>
      <c r="C145" s="8"/>
      <c r="D145" s="6"/>
      <c r="E145" s="8"/>
      <c r="F145" s="21"/>
      <c r="G145" s="21"/>
      <c r="H145" s="9"/>
    </row>
    <row r="146" spans="1:8" ht="30" customHeight="1" x14ac:dyDescent="0.3">
      <c r="A146" s="5"/>
      <c r="B146" s="3"/>
      <c r="C146" s="8"/>
      <c r="D146" s="6"/>
      <c r="E146" s="8"/>
      <c r="F146" s="21"/>
      <c r="G146" s="21"/>
      <c r="H146" s="9"/>
    </row>
    <row r="147" spans="1:8" ht="30" customHeight="1" x14ac:dyDescent="0.3">
      <c r="A147" s="5"/>
      <c r="B147" s="3"/>
      <c r="C147" s="8"/>
      <c r="D147" s="6"/>
      <c r="E147" s="8"/>
      <c r="F147" s="21"/>
      <c r="G147" s="21"/>
      <c r="H147" s="9"/>
    </row>
    <row r="148" spans="1:8" ht="30" customHeight="1" x14ac:dyDescent="0.3">
      <c r="A148" s="5"/>
      <c r="B148" s="3"/>
      <c r="C148" s="8"/>
      <c r="D148" s="6"/>
      <c r="E148" s="8"/>
      <c r="F148" s="21"/>
      <c r="G148" s="21"/>
      <c r="H148" s="9"/>
    </row>
    <row r="149" spans="1:8" ht="30" customHeight="1" x14ac:dyDescent="0.3">
      <c r="A149" s="5"/>
      <c r="B149" s="3"/>
      <c r="C149" s="8"/>
      <c r="D149" s="6"/>
      <c r="E149" s="8"/>
      <c r="F149" s="21"/>
      <c r="G149" s="21"/>
      <c r="H149" s="9"/>
    </row>
    <row r="150" spans="1:8" ht="30" customHeight="1" x14ac:dyDescent="0.3">
      <c r="A150" s="5"/>
      <c r="B150" s="3"/>
      <c r="C150" s="8"/>
      <c r="D150" s="6"/>
      <c r="E150" s="8"/>
      <c r="F150" s="21"/>
      <c r="G150" s="21"/>
      <c r="H150" s="9"/>
    </row>
    <row r="151" spans="1:8" ht="30" customHeight="1" x14ac:dyDescent="0.3">
      <c r="A151" s="5"/>
      <c r="B151" s="3"/>
      <c r="C151" s="8"/>
      <c r="D151" s="6"/>
      <c r="E151" s="8"/>
      <c r="F151" s="21"/>
      <c r="G151" s="21"/>
      <c r="H151" s="9"/>
    </row>
    <row r="152" spans="1:8" ht="30" customHeight="1" x14ac:dyDescent="0.3">
      <c r="A152" s="5"/>
      <c r="B152" s="3"/>
      <c r="C152" s="8"/>
      <c r="D152" s="6"/>
      <c r="E152" s="8"/>
      <c r="F152" s="3"/>
      <c r="G152" s="3"/>
      <c r="H152" s="9"/>
    </row>
    <row r="153" spans="1:8" ht="30" customHeight="1" x14ac:dyDescent="0.3">
      <c r="A153" s="5"/>
      <c r="B153" s="3"/>
      <c r="C153" s="8"/>
      <c r="D153" s="6"/>
      <c r="E153" s="8"/>
      <c r="F153" s="3"/>
      <c r="G153" s="3"/>
      <c r="H153" s="9"/>
    </row>
    <row r="154" spans="1:8" ht="30" customHeight="1" x14ac:dyDescent="0.3">
      <c r="A154" s="5"/>
      <c r="B154" s="3"/>
      <c r="C154" s="8"/>
      <c r="D154" s="6"/>
      <c r="E154" s="8"/>
      <c r="F154" s="3"/>
      <c r="G154" s="3"/>
      <c r="H154" s="9"/>
    </row>
    <row r="155" spans="1:8" ht="30" customHeight="1" x14ac:dyDescent="0.3">
      <c r="A155" s="5"/>
      <c r="B155" s="3"/>
      <c r="C155" s="8"/>
      <c r="D155" s="6"/>
      <c r="E155" s="8"/>
      <c r="F155" s="3"/>
      <c r="G155" s="3"/>
      <c r="H155" s="9"/>
    </row>
    <row r="156" spans="1:8" ht="30" customHeight="1" x14ac:dyDescent="0.3">
      <c r="A156" s="5"/>
      <c r="B156" s="3"/>
      <c r="C156" s="8"/>
      <c r="D156" s="6"/>
      <c r="E156" s="8"/>
      <c r="F156" s="3"/>
      <c r="G156" s="3"/>
      <c r="H156" s="9"/>
    </row>
    <row r="157" spans="1:8" ht="30" customHeight="1" x14ac:dyDescent="0.3">
      <c r="A157" s="5"/>
      <c r="B157" s="3"/>
      <c r="C157" s="8"/>
      <c r="D157" s="6"/>
      <c r="E157" s="8"/>
      <c r="F157" s="3"/>
      <c r="G157" s="3"/>
      <c r="H157" s="9"/>
    </row>
    <row r="158" spans="1:8" ht="30" customHeight="1" x14ac:dyDescent="0.3">
      <c r="A158" s="5"/>
      <c r="B158" s="3"/>
      <c r="C158" s="8"/>
      <c r="D158" s="6"/>
      <c r="E158" s="8"/>
      <c r="F158" s="3"/>
      <c r="G158" s="3"/>
      <c r="H158" s="9"/>
    </row>
    <row r="159" spans="1:8" ht="30" customHeight="1" x14ac:dyDescent="0.3">
      <c r="A159" s="5"/>
      <c r="B159" s="3"/>
      <c r="C159" s="8"/>
      <c r="D159" s="6"/>
      <c r="E159" s="8"/>
      <c r="F159" s="3"/>
      <c r="G159" s="3"/>
      <c r="H159" s="9"/>
    </row>
    <row r="160" spans="1:8" ht="30" customHeight="1" x14ac:dyDescent="0.3">
      <c r="A160" s="5"/>
      <c r="B160" s="3"/>
      <c r="C160" s="8"/>
      <c r="D160" s="6"/>
      <c r="E160" s="8"/>
      <c r="F160" s="3"/>
      <c r="G160" s="3"/>
      <c r="H160" s="9"/>
    </row>
    <row r="161" spans="1:8" ht="30" customHeight="1" x14ac:dyDescent="0.3">
      <c r="A161" s="5"/>
      <c r="B161" s="3"/>
      <c r="C161" s="8"/>
      <c r="D161" s="6"/>
      <c r="E161" s="8"/>
      <c r="F161" s="3"/>
      <c r="G161" s="3"/>
      <c r="H161" s="9"/>
    </row>
    <row r="162" spans="1:8" ht="30" customHeight="1" x14ac:dyDescent="0.3">
      <c r="A162" s="5"/>
      <c r="B162" s="3"/>
      <c r="C162" s="8"/>
      <c r="D162" s="6"/>
      <c r="E162" s="8"/>
      <c r="F162" s="3"/>
      <c r="G162" s="3"/>
      <c r="H162" s="9"/>
    </row>
    <row r="163" spans="1:8" ht="30" customHeight="1" x14ac:dyDescent="0.3">
      <c r="A163" s="5"/>
      <c r="B163" s="3"/>
      <c r="C163" s="8"/>
      <c r="D163" s="6"/>
      <c r="E163" s="8"/>
      <c r="F163" s="3"/>
      <c r="G163" s="3"/>
      <c r="H163" s="9"/>
    </row>
    <row r="164" spans="1:8" ht="30" customHeight="1" x14ac:dyDescent="0.3">
      <c r="A164" s="5"/>
      <c r="B164" s="3"/>
      <c r="C164" s="8"/>
      <c r="D164" s="6"/>
      <c r="E164" s="8"/>
      <c r="F164" s="3"/>
      <c r="G164" s="3"/>
      <c r="H164" s="9"/>
    </row>
    <row r="165" spans="1:8" ht="30" customHeight="1" x14ac:dyDescent="0.3">
      <c r="A165" s="5"/>
      <c r="B165" s="3"/>
      <c r="C165" s="8"/>
      <c r="D165" s="6"/>
      <c r="E165" s="8"/>
      <c r="F165" s="3"/>
      <c r="G165" s="3"/>
      <c r="H165" s="9"/>
    </row>
    <row r="166" spans="1:8" ht="30" customHeight="1" x14ac:dyDescent="0.3">
      <c r="A166" s="5"/>
      <c r="B166" s="3"/>
      <c r="C166" s="8"/>
      <c r="D166" s="6"/>
      <c r="E166" s="8"/>
      <c r="F166" s="3"/>
      <c r="G166" s="3"/>
      <c r="H166" s="9"/>
    </row>
    <row r="167" spans="1:8" ht="30" customHeight="1" x14ac:dyDescent="0.3">
      <c r="A167" s="5"/>
      <c r="B167" s="3"/>
      <c r="C167" s="8"/>
      <c r="D167" s="6"/>
      <c r="E167" s="8"/>
      <c r="F167" s="3"/>
      <c r="G167" s="3"/>
      <c r="H167" s="9"/>
    </row>
    <row r="168" spans="1:8" ht="30" customHeight="1" x14ac:dyDescent="0.3">
      <c r="A168" s="5"/>
      <c r="B168" s="3"/>
      <c r="C168" s="8"/>
      <c r="D168" s="6"/>
      <c r="E168" s="8"/>
      <c r="F168" s="3"/>
      <c r="G168" s="3"/>
      <c r="H168" s="9"/>
    </row>
    <row r="169" spans="1:8" ht="30" customHeight="1" x14ac:dyDescent="0.3">
      <c r="A169" s="5"/>
      <c r="B169" s="3"/>
      <c r="C169" s="8"/>
      <c r="D169" s="6"/>
      <c r="E169" s="8"/>
      <c r="F169" s="3"/>
      <c r="G169" s="3"/>
      <c r="H169" s="9"/>
    </row>
    <row r="170" spans="1:8" ht="30" customHeight="1" x14ac:dyDescent="0.3">
      <c r="A170" s="5"/>
      <c r="B170" s="3"/>
      <c r="C170" s="8"/>
      <c r="D170" s="6"/>
      <c r="E170" s="8"/>
      <c r="F170" s="3"/>
      <c r="G170" s="3"/>
      <c r="H170" s="9"/>
    </row>
    <row r="171" spans="1:8" ht="30" customHeight="1" x14ac:dyDescent="0.3">
      <c r="A171" s="5"/>
      <c r="B171" s="3"/>
      <c r="C171" s="8"/>
      <c r="D171" s="6"/>
      <c r="E171" s="8"/>
      <c r="F171" s="3"/>
      <c r="G171" s="3"/>
      <c r="H171" s="9"/>
    </row>
    <row r="172" spans="1:8" ht="30" customHeight="1" x14ac:dyDescent="0.3">
      <c r="A172" s="5"/>
      <c r="B172" s="3"/>
      <c r="C172" s="8"/>
      <c r="D172" s="6"/>
      <c r="E172" s="8"/>
      <c r="F172" s="3"/>
      <c r="G172" s="3"/>
      <c r="H172" s="9"/>
    </row>
    <row r="173" spans="1:8" ht="30" customHeight="1" x14ac:dyDescent="0.3">
      <c r="A173" s="5"/>
      <c r="B173" s="3"/>
      <c r="C173" s="10"/>
      <c r="D173" s="6"/>
      <c r="E173" s="8"/>
      <c r="F173" s="3"/>
      <c r="G173" s="3"/>
      <c r="H173" s="9"/>
    </row>
    <row r="174" spans="1:8" ht="30" customHeight="1" x14ac:dyDescent="0.3">
      <c r="A174" s="5"/>
      <c r="B174" s="3"/>
      <c r="C174" s="10"/>
      <c r="D174" s="6"/>
      <c r="E174" s="8"/>
      <c r="F174" s="3"/>
      <c r="G174" s="3"/>
      <c r="H174" s="9"/>
    </row>
    <row r="175" spans="1:8" ht="30" customHeight="1" x14ac:dyDescent="0.3">
      <c r="A175" s="5"/>
      <c r="B175" s="3"/>
      <c r="C175" s="10"/>
      <c r="D175" s="6"/>
      <c r="E175" s="8"/>
      <c r="F175" s="3"/>
      <c r="G175" s="3"/>
      <c r="H175" s="9"/>
    </row>
    <row r="176" spans="1:8" ht="30" customHeight="1" x14ac:dyDescent="0.3">
      <c r="A176" s="5"/>
      <c r="B176" s="3"/>
      <c r="C176" s="10"/>
      <c r="D176" s="6"/>
      <c r="E176" s="8"/>
      <c r="F176" s="3"/>
      <c r="G176" s="3"/>
      <c r="H176" s="9"/>
    </row>
    <row r="177" spans="1:8" ht="30" customHeight="1" x14ac:dyDescent="0.3">
      <c r="A177" s="5"/>
      <c r="B177" s="3"/>
      <c r="C177" s="10"/>
      <c r="D177" s="6"/>
      <c r="E177" s="8"/>
      <c r="F177" s="3"/>
      <c r="G177" s="3"/>
      <c r="H177" s="9"/>
    </row>
    <row r="178" spans="1:8" ht="30" customHeight="1" x14ac:dyDescent="0.3">
      <c r="A178" s="5"/>
      <c r="B178" s="3"/>
      <c r="C178" s="10"/>
      <c r="D178" s="6"/>
      <c r="E178" s="8"/>
      <c r="F178" s="3"/>
      <c r="G178" s="3"/>
      <c r="H178" s="9"/>
    </row>
    <row r="179" spans="1:8" ht="30" customHeight="1" x14ac:dyDescent="0.3">
      <c r="A179" s="5"/>
      <c r="B179" s="3"/>
      <c r="C179" s="10"/>
      <c r="D179" s="6"/>
      <c r="E179" s="8"/>
      <c r="F179" s="3"/>
      <c r="G179" s="3"/>
      <c r="H179" s="9"/>
    </row>
    <row r="180" spans="1:8" ht="30" customHeight="1" x14ac:dyDescent="0.3">
      <c r="A180" s="5"/>
      <c r="B180" s="3"/>
      <c r="C180" s="10"/>
      <c r="D180" s="6"/>
      <c r="E180" s="8"/>
      <c r="F180" s="3"/>
      <c r="G180" s="3"/>
      <c r="H180" s="9"/>
    </row>
    <row r="181" spans="1:8" ht="30" customHeight="1" x14ac:dyDescent="0.3">
      <c r="A181" s="5"/>
      <c r="B181" s="3"/>
      <c r="C181" s="9"/>
      <c r="D181" s="6"/>
      <c r="E181" s="8"/>
      <c r="F181" s="3"/>
      <c r="G181" s="3"/>
      <c r="H181" s="9"/>
    </row>
    <row r="182" spans="1:8" ht="30" customHeight="1" x14ac:dyDescent="0.3">
      <c r="A182" s="5"/>
      <c r="B182" s="3"/>
      <c r="C182" s="9"/>
      <c r="D182" s="6"/>
      <c r="E182" s="8"/>
      <c r="F182" s="3"/>
      <c r="G182" s="3"/>
      <c r="H182" s="9"/>
    </row>
    <row r="183" spans="1:8" ht="30" customHeight="1" x14ac:dyDescent="0.3">
      <c r="A183" s="5"/>
      <c r="B183" s="3"/>
      <c r="C183" s="9"/>
      <c r="D183" s="6"/>
      <c r="E183" s="8"/>
      <c r="F183" s="3"/>
      <c r="G183" s="3"/>
      <c r="H183" s="9"/>
    </row>
    <row r="184" spans="1:8" ht="30" customHeight="1" x14ac:dyDescent="0.3">
      <c r="A184" s="5"/>
      <c r="B184" s="3"/>
      <c r="C184" s="9"/>
      <c r="D184" s="6"/>
      <c r="E184" s="8"/>
      <c r="F184" s="3"/>
      <c r="G184" s="3"/>
      <c r="H184" s="9"/>
    </row>
    <row r="185" spans="1:8" ht="30" customHeight="1" x14ac:dyDescent="0.3">
      <c r="A185" s="5"/>
      <c r="B185" s="3"/>
      <c r="C185" s="9"/>
      <c r="D185" s="6"/>
      <c r="E185" s="8"/>
      <c r="F185" s="3"/>
      <c r="G185" s="3"/>
      <c r="H185" s="9"/>
    </row>
    <row r="186" spans="1:8" ht="30" customHeight="1" x14ac:dyDescent="0.3">
      <c r="A186" s="5"/>
      <c r="B186" s="3"/>
      <c r="C186" s="9"/>
      <c r="D186" s="6"/>
      <c r="E186" s="8"/>
      <c r="F186" s="3"/>
      <c r="G186" s="3"/>
      <c r="H186" s="9"/>
    </row>
    <row r="187" spans="1:8" ht="30" customHeight="1" x14ac:dyDescent="0.3">
      <c r="A187" s="5"/>
      <c r="B187" s="3"/>
      <c r="C187" s="9"/>
      <c r="D187" s="6"/>
      <c r="E187" s="8"/>
      <c r="F187" s="3"/>
      <c r="G187" s="3"/>
      <c r="H187" s="9"/>
    </row>
    <row r="188" spans="1:8" ht="30" customHeight="1" x14ac:dyDescent="0.3">
      <c r="A188" s="5"/>
      <c r="B188" s="3"/>
      <c r="C188" s="9"/>
      <c r="D188" s="6"/>
      <c r="E188" s="8"/>
      <c r="F188" s="3"/>
      <c r="G188" s="3"/>
      <c r="H188" s="9"/>
    </row>
    <row r="189" spans="1:8" ht="30" customHeight="1" x14ac:dyDescent="0.3">
      <c r="A189" s="5"/>
      <c r="B189" s="3"/>
      <c r="C189" s="9"/>
      <c r="D189" s="6"/>
      <c r="E189" s="8"/>
      <c r="F189" s="3"/>
      <c r="G189" s="3"/>
      <c r="H189" s="9"/>
    </row>
    <row r="190" spans="1:8" ht="30" customHeight="1" x14ac:dyDescent="0.3">
      <c r="A190" s="5"/>
      <c r="B190" s="3"/>
      <c r="C190" s="9"/>
      <c r="D190" s="6"/>
      <c r="E190" s="8"/>
      <c r="F190" s="3"/>
      <c r="G190" s="3"/>
      <c r="H190" s="9"/>
    </row>
    <row r="191" spans="1:8" ht="30" customHeight="1" x14ac:dyDescent="0.3">
      <c r="A191" s="5"/>
      <c r="B191" s="3"/>
      <c r="C191" s="9"/>
      <c r="D191" s="6"/>
      <c r="E191" s="8"/>
      <c r="F191" s="3"/>
      <c r="G191" s="3"/>
      <c r="H191" s="9"/>
    </row>
    <row r="192" spans="1:8" ht="30" customHeight="1" x14ac:dyDescent="0.3">
      <c r="A192" s="5"/>
      <c r="B192" s="3"/>
      <c r="C192" s="9"/>
      <c r="D192" s="6"/>
      <c r="E192" s="8"/>
      <c r="F192" s="3"/>
      <c r="G192" s="3"/>
      <c r="H192" s="9"/>
    </row>
    <row r="193" spans="1:8" ht="30" customHeight="1" x14ac:dyDescent="0.3">
      <c r="A193" s="5"/>
      <c r="B193" s="3"/>
      <c r="C193" s="9"/>
      <c r="D193" s="6"/>
      <c r="E193" s="8"/>
      <c r="F193" s="3"/>
      <c r="G193" s="3"/>
      <c r="H193" s="9"/>
    </row>
    <row r="194" spans="1:8" ht="30" customHeight="1" x14ac:dyDescent="0.3">
      <c r="A194" s="5"/>
      <c r="B194" s="3"/>
      <c r="C194" s="9"/>
      <c r="D194" s="6"/>
      <c r="E194" s="8"/>
      <c r="F194" s="3"/>
      <c r="G194" s="3"/>
      <c r="H194" s="9"/>
    </row>
    <row r="195" spans="1:8" ht="30" customHeight="1" x14ac:dyDescent="0.3">
      <c r="A195" s="5"/>
      <c r="B195" s="3"/>
      <c r="C195" s="9"/>
      <c r="D195" s="6"/>
      <c r="E195" s="8"/>
      <c r="F195" s="3"/>
      <c r="G195" s="3"/>
      <c r="H195" s="9"/>
    </row>
    <row r="196" spans="1:8" ht="30" customHeight="1" x14ac:dyDescent="0.3">
      <c r="A196" s="5"/>
      <c r="B196" s="3"/>
      <c r="C196" s="9"/>
      <c r="D196" s="6"/>
      <c r="E196" s="8"/>
      <c r="F196" s="3"/>
      <c r="G196" s="3"/>
      <c r="H196" s="9"/>
    </row>
    <row r="197" spans="1:8" ht="30" customHeight="1" x14ac:dyDescent="0.3">
      <c r="A197" s="5"/>
      <c r="B197" s="3"/>
      <c r="C197" s="9"/>
      <c r="D197" s="6"/>
      <c r="E197" s="8"/>
      <c r="F197" s="3"/>
      <c r="G197" s="3"/>
      <c r="H197" s="9"/>
    </row>
    <row r="198" spans="1:8" ht="30" customHeight="1" x14ac:dyDescent="0.3">
      <c r="A198" s="5"/>
      <c r="B198" s="3"/>
      <c r="C198" s="9"/>
      <c r="D198" s="6"/>
      <c r="E198" s="8"/>
      <c r="F198" s="3"/>
      <c r="G198" s="3"/>
      <c r="H198" s="9"/>
    </row>
    <row r="199" spans="1:8" ht="30" customHeight="1" x14ac:dyDescent="0.3">
      <c r="A199" s="5"/>
      <c r="B199" s="3"/>
      <c r="C199" s="9"/>
      <c r="D199" s="6"/>
      <c r="E199" s="8"/>
      <c r="F199" s="3"/>
      <c r="G199" s="3"/>
      <c r="H199" s="9"/>
    </row>
    <row r="200" spans="1:8" ht="30" customHeight="1" x14ac:dyDescent="0.3">
      <c r="A200" s="5"/>
      <c r="B200" s="3"/>
      <c r="C200" s="9"/>
      <c r="D200" s="6"/>
      <c r="E200" s="8"/>
      <c r="F200" s="3"/>
      <c r="G200" s="3"/>
      <c r="H200" s="9"/>
    </row>
    <row r="201" spans="1:8" ht="30" customHeight="1" x14ac:dyDescent="0.3">
      <c r="A201" s="5"/>
      <c r="B201" s="3"/>
      <c r="C201" s="9"/>
      <c r="D201" s="6"/>
      <c r="E201" s="8"/>
      <c r="F201" s="3"/>
      <c r="G201" s="3"/>
      <c r="H201" s="9"/>
    </row>
    <row r="202" spans="1:8" ht="30" customHeight="1" x14ac:dyDescent="0.3">
      <c r="A202" s="5"/>
      <c r="B202" s="3"/>
      <c r="C202" s="9"/>
      <c r="D202" s="6"/>
      <c r="E202" s="8"/>
      <c r="F202" s="3"/>
      <c r="G202" s="3"/>
      <c r="H202" s="9"/>
    </row>
    <row r="203" spans="1:8" ht="30" customHeight="1" x14ac:dyDescent="0.3">
      <c r="A203" s="5"/>
      <c r="B203" s="3"/>
      <c r="C203" s="9"/>
      <c r="D203" s="6"/>
      <c r="E203" s="8"/>
      <c r="F203" s="3"/>
      <c r="G203" s="3"/>
      <c r="H203" s="9"/>
    </row>
    <row r="204" spans="1:8" ht="30" customHeight="1" x14ac:dyDescent="0.3">
      <c r="A204" s="5"/>
      <c r="B204" s="3"/>
      <c r="C204" s="9"/>
      <c r="D204" s="6"/>
      <c r="E204" s="8"/>
      <c r="F204" s="3"/>
      <c r="G204" s="3"/>
      <c r="H204" s="9"/>
    </row>
    <row r="205" spans="1:8" ht="30" customHeight="1" x14ac:dyDescent="0.3">
      <c r="A205" s="5"/>
      <c r="B205" s="3"/>
      <c r="C205" s="9"/>
      <c r="D205" s="6"/>
      <c r="E205" s="8"/>
      <c r="F205" s="3"/>
      <c r="G205" s="3"/>
      <c r="H205" s="9"/>
    </row>
    <row r="206" spans="1:8" ht="30" customHeight="1" x14ac:dyDescent="0.3">
      <c r="A206" s="5"/>
      <c r="B206" s="3"/>
      <c r="C206" s="9"/>
      <c r="D206" s="6"/>
      <c r="E206" s="8"/>
      <c r="F206" s="3"/>
      <c r="G206" s="3"/>
      <c r="H206" s="9"/>
    </row>
    <row r="207" spans="1:8" ht="30" customHeight="1" x14ac:dyDescent="0.3">
      <c r="A207" s="5"/>
      <c r="B207" s="3"/>
      <c r="C207" s="9"/>
      <c r="D207" s="6"/>
      <c r="E207" s="8"/>
      <c r="F207" s="3"/>
      <c r="G207" s="3"/>
      <c r="H207" s="9"/>
    </row>
    <row r="208" spans="1:8" ht="30" customHeight="1" x14ac:dyDescent="0.3">
      <c r="A208" s="5"/>
      <c r="B208" s="3"/>
      <c r="C208" s="9"/>
      <c r="D208" s="6"/>
      <c r="E208" s="8"/>
      <c r="F208" s="3"/>
      <c r="G208" s="3"/>
      <c r="H208" s="9"/>
    </row>
    <row r="209" spans="1:8" ht="30" customHeight="1" x14ac:dyDescent="0.3">
      <c r="A209" s="5"/>
      <c r="B209" s="3"/>
      <c r="C209" s="9"/>
      <c r="D209" s="6"/>
      <c r="E209" s="8"/>
      <c r="F209" s="3"/>
      <c r="G209" s="3"/>
      <c r="H209" s="9"/>
    </row>
    <row r="210" spans="1:8" ht="30" customHeight="1" x14ac:dyDescent="0.3">
      <c r="A210" s="5"/>
      <c r="B210" s="3"/>
      <c r="C210" s="9"/>
      <c r="D210" s="6"/>
      <c r="E210" s="8"/>
      <c r="F210" s="3"/>
      <c r="G210" s="3"/>
      <c r="H210" s="9"/>
    </row>
    <row r="211" spans="1:8" ht="30" customHeight="1" x14ac:dyDescent="0.3">
      <c r="A211" s="5"/>
      <c r="B211" s="3"/>
      <c r="C211" s="9"/>
      <c r="D211" s="6"/>
      <c r="E211" s="8"/>
      <c r="F211" s="3"/>
      <c r="G211" s="3"/>
      <c r="H211" s="9"/>
    </row>
    <row r="212" spans="1:8" ht="30" customHeight="1" x14ac:dyDescent="0.3">
      <c r="A212" s="5"/>
      <c r="B212" s="3"/>
      <c r="C212" s="9"/>
      <c r="D212" s="6"/>
      <c r="E212" s="8"/>
      <c r="F212" s="3"/>
      <c r="G212" s="3"/>
      <c r="H212" s="9"/>
    </row>
    <row r="213" spans="1:8" ht="30" customHeight="1" x14ac:dyDescent="0.3">
      <c r="A213" s="5"/>
      <c r="B213" s="3"/>
      <c r="C213" s="9"/>
      <c r="D213" s="6"/>
      <c r="E213" s="8"/>
      <c r="F213" s="3"/>
      <c r="G213" s="3"/>
      <c r="H213" s="9"/>
    </row>
    <row r="214" spans="1:8" ht="30" customHeight="1" x14ac:dyDescent="0.3">
      <c r="A214" s="5"/>
      <c r="B214" s="3"/>
      <c r="C214" s="9"/>
      <c r="D214" s="6"/>
      <c r="E214" s="8"/>
      <c r="F214" s="3"/>
      <c r="G214" s="3"/>
      <c r="H214" s="9"/>
    </row>
    <row r="215" spans="1:8" ht="30" customHeight="1" x14ac:dyDescent="0.3">
      <c r="A215" s="5"/>
      <c r="B215" s="3"/>
      <c r="C215" s="9"/>
      <c r="D215" s="6"/>
      <c r="E215" s="8"/>
      <c r="F215" s="3"/>
      <c r="G215" s="3"/>
      <c r="H215" s="9"/>
    </row>
    <row r="216" spans="1:8" ht="30" customHeight="1" x14ac:dyDescent="0.3">
      <c r="A216" s="5"/>
      <c r="B216" s="3"/>
      <c r="C216" s="9"/>
      <c r="D216" s="6"/>
      <c r="E216" s="8"/>
      <c r="F216" s="3"/>
      <c r="G216" s="3"/>
      <c r="H216" s="9"/>
    </row>
    <row r="217" spans="1:8" ht="30" customHeight="1" x14ac:dyDescent="0.3">
      <c r="A217" s="5"/>
      <c r="B217" s="3"/>
      <c r="C217" s="9"/>
      <c r="D217" s="6"/>
      <c r="E217" s="8"/>
      <c r="F217" s="3"/>
      <c r="G217" s="3"/>
      <c r="H217" s="9"/>
    </row>
    <row r="218" spans="1:8" ht="30" customHeight="1" x14ac:dyDescent="0.3">
      <c r="A218" s="5"/>
      <c r="B218" s="3"/>
      <c r="C218" s="9"/>
      <c r="D218" s="6"/>
      <c r="E218" s="8"/>
      <c r="F218" s="3"/>
      <c r="G218" s="3"/>
      <c r="H218" s="9"/>
    </row>
    <row r="219" spans="1:8" ht="30" customHeight="1" x14ac:dyDescent="0.3">
      <c r="A219" s="5"/>
      <c r="B219" s="3"/>
      <c r="C219" s="9"/>
      <c r="D219" s="6"/>
      <c r="E219" s="8"/>
      <c r="F219" s="3"/>
      <c r="G219" s="3"/>
      <c r="H219" s="9"/>
    </row>
    <row r="220" spans="1:8" ht="30" customHeight="1" x14ac:dyDescent="0.3">
      <c r="A220" s="5"/>
      <c r="B220" s="3"/>
      <c r="C220" s="9"/>
      <c r="D220" s="6"/>
      <c r="E220" s="8"/>
      <c r="F220" s="3"/>
      <c r="G220" s="3"/>
      <c r="H220" s="9"/>
    </row>
    <row r="221" spans="1:8" ht="30" customHeight="1" x14ac:dyDescent="0.3">
      <c r="A221" s="5"/>
      <c r="B221" s="3"/>
      <c r="C221" s="9"/>
      <c r="D221" s="6"/>
      <c r="E221" s="8"/>
      <c r="F221" s="3"/>
      <c r="G221" s="3"/>
      <c r="H221" s="9"/>
    </row>
    <row r="222" spans="1:8" ht="30" customHeight="1" x14ac:dyDescent="0.3">
      <c r="A222" s="5"/>
      <c r="B222" s="3"/>
      <c r="C222" s="9"/>
      <c r="D222" s="6"/>
      <c r="E222" s="8"/>
      <c r="F222" s="3"/>
      <c r="G222" s="3"/>
      <c r="H222" s="9"/>
    </row>
    <row r="223" spans="1:8" ht="30" customHeight="1" x14ac:dyDescent="0.3">
      <c r="A223" s="5"/>
      <c r="B223" s="3"/>
      <c r="C223" s="9"/>
      <c r="D223" s="6"/>
      <c r="E223" s="8"/>
      <c r="F223" s="3"/>
      <c r="G223" s="3"/>
      <c r="H223" s="9"/>
    </row>
    <row r="224" spans="1:8" ht="30" customHeight="1" x14ac:dyDescent="0.3">
      <c r="A224" s="5"/>
      <c r="B224" s="3"/>
      <c r="C224" s="9"/>
      <c r="D224" s="6"/>
      <c r="E224" s="8"/>
      <c r="F224" s="3"/>
      <c r="G224" s="3"/>
      <c r="H224" s="9"/>
    </row>
    <row r="225" spans="1:8" ht="30" customHeight="1" x14ac:dyDescent="0.3">
      <c r="A225" s="5"/>
      <c r="B225" s="3"/>
      <c r="C225" s="9"/>
      <c r="D225" s="6"/>
      <c r="E225" s="8"/>
      <c r="F225" s="3"/>
      <c r="G225" s="3"/>
      <c r="H225" s="9"/>
    </row>
    <row r="226" spans="1:8" ht="30" customHeight="1" x14ac:dyDescent="0.3">
      <c r="A226" s="5"/>
      <c r="B226" s="3"/>
      <c r="C226" s="9"/>
      <c r="D226" s="6"/>
      <c r="E226" s="8"/>
      <c r="F226" s="3"/>
      <c r="G226" s="3"/>
      <c r="H226" s="9"/>
    </row>
    <row r="227" spans="1:8" ht="30" customHeight="1" x14ac:dyDescent="0.3">
      <c r="A227" s="5"/>
      <c r="B227" s="3"/>
      <c r="C227" s="9"/>
      <c r="D227" s="6"/>
      <c r="E227" s="8"/>
      <c r="F227" s="3"/>
      <c r="G227" s="3"/>
      <c r="H227" s="9"/>
    </row>
    <row r="228" spans="1:8" ht="30" customHeight="1" x14ac:dyDescent="0.3">
      <c r="A228" s="5"/>
      <c r="B228" s="3"/>
      <c r="C228" s="9"/>
      <c r="D228" s="6"/>
      <c r="E228" s="8"/>
      <c r="F228" s="3"/>
      <c r="G228" s="3"/>
      <c r="H228" s="9"/>
    </row>
    <row r="229" spans="1:8" ht="30" customHeight="1" x14ac:dyDescent="0.3">
      <c r="A229" s="5"/>
      <c r="B229" s="3"/>
      <c r="C229" s="9"/>
      <c r="D229" s="6"/>
      <c r="E229" s="8"/>
      <c r="F229" s="3"/>
      <c r="G229" s="3"/>
      <c r="H229" s="9"/>
    </row>
    <row r="230" spans="1:8" ht="30" customHeight="1" x14ac:dyDescent="0.3">
      <c r="A230" s="5"/>
      <c r="B230" s="3"/>
      <c r="C230" s="9"/>
      <c r="D230" s="6"/>
      <c r="E230" s="8"/>
      <c r="F230" s="3"/>
      <c r="G230" s="3"/>
      <c r="H230" s="9"/>
    </row>
    <row r="231" spans="1:8" ht="30" customHeight="1" x14ac:dyDescent="0.3">
      <c r="A231" s="5"/>
      <c r="B231" s="3"/>
      <c r="C231" s="9"/>
      <c r="D231" s="6"/>
      <c r="E231" s="8"/>
      <c r="F231" s="3"/>
      <c r="G231" s="3"/>
      <c r="H231" s="9"/>
    </row>
    <row r="232" spans="1:8" ht="30" customHeight="1" x14ac:dyDescent="0.3">
      <c r="A232" s="5"/>
      <c r="B232" s="3"/>
      <c r="C232" s="9"/>
      <c r="D232" s="6"/>
      <c r="E232" s="8"/>
      <c r="F232" s="3"/>
      <c r="G232" s="3"/>
      <c r="H232" s="9"/>
    </row>
    <row r="233" spans="1:8" ht="30" customHeight="1" x14ac:dyDescent="0.3">
      <c r="A233" s="5"/>
      <c r="B233" s="3"/>
      <c r="C233" s="9"/>
      <c r="D233" s="6"/>
      <c r="E233" s="8"/>
      <c r="F233" s="3"/>
      <c r="G233" s="3"/>
      <c r="H233" s="9"/>
    </row>
    <row r="234" spans="1:8" ht="30" customHeight="1" x14ac:dyDescent="0.3">
      <c r="A234" s="5"/>
      <c r="B234" s="3"/>
      <c r="C234" s="9"/>
      <c r="D234" s="6"/>
      <c r="E234" s="8"/>
      <c r="F234" s="3"/>
      <c r="G234" s="3"/>
      <c r="H234" s="9"/>
    </row>
    <row r="235" spans="1:8" ht="30" customHeight="1" x14ac:dyDescent="0.3">
      <c r="A235" s="5"/>
      <c r="B235" s="3"/>
      <c r="C235" s="9"/>
      <c r="D235" s="6"/>
      <c r="E235" s="8"/>
      <c r="F235" s="3"/>
      <c r="G235" s="3"/>
      <c r="H235" s="9"/>
    </row>
    <row r="236" spans="1:8" ht="30" customHeight="1" x14ac:dyDescent="0.3">
      <c r="A236" s="5"/>
      <c r="B236" s="3"/>
      <c r="C236" s="9"/>
      <c r="D236" s="6"/>
      <c r="E236" s="8"/>
      <c r="F236" s="3"/>
      <c r="G236" s="3"/>
      <c r="H236" s="9"/>
    </row>
    <row r="237" spans="1:8" ht="30" customHeight="1" x14ac:dyDescent="0.3">
      <c r="A237" s="5"/>
      <c r="B237" s="3"/>
      <c r="C237" s="9"/>
      <c r="D237" s="6"/>
      <c r="E237" s="8"/>
      <c r="F237" s="3"/>
      <c r="G237" s="3"/>
      <c r="H237" s="9"/>
    </row>
    <row r="238" spans="1:8" ht="30" customHeight="1" x14ac:dyDescent="0.3">
      <c r="A238" s="5"/>
      <c r="B238" s="3"/>
      <c r="C238" s="9"/>
      <c r="D238" s="6"/>
      <c r="E238" s="8"/>
      <c r="F238" s="3"/>
      <c r="G238" s="3"/>
      <c r="H238" s="9"/>
    </row>
    <row r="239" spans="1:8" ht="30" customHeight="1" x14ac:dyDescent="0.3">
      <c r="A239" s="5"/>
      <c r="B239" s="3"/>
      <c r="C239" s="9"/>
      <c r="D239" s="6"/>
      <c r="E239" s="8"/>
      <c r="F239" s="3"/>
      <c r="G239" s="3"/>
      <c r="H239" s="9"/>
    </row>
    <row r="240" spans="1:8" ht="30" customHeight="1" x14ac:dyDescent="0.3">
      <c r="A240" s="5"/>
      <c r="B240" s="3"/>
      <c r="C240" s="9"/>
      <c r="D240" s="6"/>
      <c r="E240" s="8"/>
      <c r="F240" s="3"/>
      <c r="G240" s="3"/>
      <c r="H240" s="9"/>
    </row>
    <row r="241" spans="1:8" ht="30" customHeight="1" x14ac:dyDescent="0.3">
      <c r="A241" s="5"/>
      <c r="B241" s="3"/>
      <c r="C241" s="9"/>
      <c r="D241" s="6"/>
      <c r="E241" s="8"/>
      <c r="F241" s="3"/>
      <c r="G241" s="3"/>
      <c r="H241" s="9"/>
    </row>
    <row r="242" spans="1:8" ht="30" customHeight="1" x14ac:dyDescent="0.3">
      <c r="A242" s="5"/>
      <c r="B242" s="3"/>
      <c r="C242" s="9"/>
      <c r="D242" s="6"/>
      <c r="E242" s="8"/>
      <c r="F242" s="3"/>
      <c r="G242" s="3"/>
      <c r="H242" s="9"/>
    </row>
    <row r="243" spans="1:8" ht="30" customHeight="1" x14ac:dyDescent="0.3">
      <c r="A243" s="5"/>
      <c r="B243" s="3"/>
      <c r="C243" s="9"/>
      <c r="D243" s="6"/>
      <c r="E243" s="8"/>
      <c r="F243" s="3"/>
      <c r="G243" s="3"/>
      <c r="H243" s="9"/>
    </row>
    <row r="244" spans="1:8" ht="30" customHeight="1" x14ac:dyDescent="0.3">
      <c r="A244" s="5"/>
      <c r="B244" s="3"/>
      <c r="C244" s="9"/>
      <c r="D244" s="6"/>
      <c r="E244" s="8"/>
      <c r="F244" s="3"/>
      <c r="G244" s="3"/>
      <c r="H244" s="9"/>
    </row>
    <row r="245" spans="1:8" ht="30" customHeight="1" x14ac:dyDescent="0.3">
      <c r="A245" s="5"/>
      <c r="B245" s="3"/>
      <c r="C245" s="9"/>
      <c r="D245" s="6"/>
      <c r="E245" s="8"/>
      <c r="F245" s="3"/>
      <c r="G245" s="3"/>
      <c r="H245" s="9"/>
    </row>
    <row r="246" spans="1:8" ht="30" customHeight="1" x14ac:dyDescent="0.3">
      <c r="A246" s="5"/>
      <c r="B246" s="3"/>
      <c r="C246" s="9"/>
      <c r="D246" s="6"/>
      <c r="E246" s="8"/>
      <c r="F246" s="3"/>
      <c r="G246" s="3"/>
      <c r="H246" s="9"/>
    </row>
    <row r="247" spans="1:8" ht="30" customHeight="1" x14ac:dyDescent="0.3">
      <c r="A247" s="5"/>
      <c r="B247" s="3"/>
      <c r="C247" s="9"/>
      <c r="D247" s="6"/>
      <c r="E247" s="8"/>
      <c r="F247" s="3"/>
      <c r="G247" s="3"/>
      <c r="H247" s="9"/>
    </row>
    <row r="248" spans="1:8" ht="30" customHeight="1" x14ac:dyDescent="0.3">
      <c r="A248" s="5"/>
      <c r="B248" s="3"/>
      <c r="C248" s="9"/>
      <c r="D248" s="6"/>
      <c r="E248" s="8"/>
      <c r="F248" s="3"/>
      <c r="G248" s="3"/>
      <c r="H248" s="9"/>
    </row>
    <row r="249" spans="1:8" ht="30" customHeight="1" x14ac:dyDescent="0.3">
      <c r="A249" s="5"/>
      <c r="B249" s="3"/>
      <c r="C249" s="9"/>
      <c r="D249" s="6"/>
      <c r="E249" s="8"/>
      <c r="F249" s="3"/>
      <c r="G249" s="3"/>
      <c r="H249" s="9"/>
    </row>
    <row r="250" spans="1:8" ht="30" customHeight="1" x14ac:dyDescent="0.3">
      <c r="A250" s="5"/>
      <c r="B250" s="3"/>
      <c r="C250" s="9"/>
      <c r="D250" s="6"/>
      <c r="E250" s="8"/>
      <c r="F250" s="3"/>
      <c r="G250" s="3"/>
      <c r="H250" s="9"/>
    </row>
    <row r="251" spans="1:8" ht="30" customHeight="1" x14ac:dyDescent="0.3">
      <c r="A251" s="5"/>
      <c r="B251" s="3"/>
      <c r="C251" s="9"/>
      <c r="D251" s="6"/>
      <c r="E251" s="8"/>
      <c r="F251" s="3"/>
      <c r="G251" s="3"/>
      <c r="H251" s="9"/>
    </row>
    <row r="252" spans="1:8" ht="30" customHeight="1" x14ac:dyDescent="0.3">
      <c r="A252" s="5"/>
      <c r="B252" s="3"/>
      <c r="C252" s="9"/>
      <c r="D252" s="6"/>
      <c r="E252" s="8"/>
      <c r="F252" s="3"/>
      <c r="G252" s="3"/>
      <c r="H252" s="9"/>
    </row>
    <row r="253" spans="1:8" ht="30" customHeight="1" x14ac:dyDescent="0.3">
      <c r="A253" s="5"/>
      <c r="B253" s="3"/>
      <c r="C253" s="9"/>
      <c r="D253" s="6"/>
      <c r="E253" s="8"/>
      <c r="F253" s="3"/>
      <c r="G253" s="3"/>
      <c r="H253" s="9"/>
    </row>
    <row r="254" spans="1:8" ht="30" customHeight="1" x14ac:dyDescent="0.3">
      <c r="A254" s="5"/>
      <c r="B254" s="3"/>
      <c r="C254" s="9"/>
      <c r="D254" s="6"/>
      <c r="E254" s="8"/>
      <c r="F254" s="3"/>
      <c r="G254" s="3"/>
      <c r="H254" s="9"/>
    </row>
    <row r="255" spans="1:8" ht="30" customHeight="1" x14ac:dyDescent="0.3">
      <c r="A255" s="5"/>
      <c r="B255" s="3"/>
      <c r="C255" s="9"/>
      <c r="D255" s="6"/>
      <c r="E255" s="8"/>
      <c r="F255" s="3"/>
      <c r="G255" s="3"/>
      <c r="H255" s="9"/>
    </row>
    <row r="256" spans="1:8" ht="30" customHeight="1" x14ac:dyDescent="0.3">
      <c r="A256" s="5"/>
      <c r="B256" s="3"/>
      <c r="C256" s="9"/>
      <c r="D256" s="6"/>
      <c r="E256" s="8"/>
      <c r="F256" s="3"/>
      <c r="G256" s="3"/>
      <c r="H256" s="9"/>
    </row>
    <row r="257" spans="1:8" ht="30" customHeight="1" x14ac:dyDescent="0.3">
      <c r="A257" s="5"/>
      <c r="B257" s="3"/>
      <c r="C257" s="9"/>
      <c r="D257" s="6"/>
      <c r="E257" s="8"/>
      <c r="F257" s="3"/>
      <c r="G257" s="3"/>
      <c r="H257" s="9"/>
    </row>
    <row r="258" spans="1:8" ht="30" customHeight="1" x14ac:dyDescent="0.3">
      <c r="A258" s="5"/>
      <c r="B258" s="3"/>
      <c r="C258" s="9"/>
      <c r="D258" s="6"/>
      <c r="E258" s="8"/>
      <c r="F258" s="3"/>
      <c r="G258" s="3"/>
      <c r="H258" s="9"/>
    </row>
    <row r="259" spans="1:8" ht="30" customHeight="1" x14ac:dyDescent="0.3">
      <c r="A259" s="5"/>
      <c r="B259" s="3"/>
      <c r="C259" s="9"/>
      <c r="D259" s="6"/>
      <c r="E259" s="8"/>
      <c r="F259" s="3"/>
      <c r="G259" s="3"/>
      <c r="H259" s="9"/>
    </row>
    <row r="260" spans="1:8" ht="30" customHeight="1" x14ac:dyDescent="0.3">
      <c r="A260" s="5"/>
      <c r="B260" s="3"/>
      <c r="C260" s="9"/>
      <c r="D260" s="6"/>
      <c r="E260" s="8"/>
      <c r="F260" s="3"/>
      <c r="G260" s="3"/>
      <c r="H260" s="9"/>
    </row>
    <row r="261" spans="1:8" ht="30" customHeight="1" x14ac:dyDescent="0.3">
      <c r="A261" s="5"/>
      <c r="B261" s="3"/>
      <c r="C261" s="9"/>
      <c r="D261" s="6"/>
      <c r="E261" s="8"/>
      <c r="F261" s="3"/>
      <c r="G261" s="3"/>
      <c r="H261" s="9"/>
    </row>
    <row r="262" spans="1:8" ht="30" customHeight="1" x14ac:dyDescent="0.3">
      <c r="A262" s="5"/>
      <c r="B262" s="3"/>
      <c r="C262" s="9"/>
      <c r="D262" s="6"/>
      <c r="E262" s="8"/>
      <c r="F262" s="3"/>
      <c r="G262" s="3"/>
      <c r="H262" s="9"/>
    </row>
    <row r="263" spans="1:8" ht="30" customHeight="1" x14ac:dyDescent="0.3">
      <c r="A263" s="5"/>
      <c r="B263" s="3"/>
      <c r="C263" s="9"/>
      <c r="D263" s="6"/>
      <c r="E263" s="8"/>
      <c r="F263" s="3"/>
      <c r="G263" s="3"/>
      <c r="H263" s="9"/>
    </row>
    <row r="264" spans="1:8" ht="30" customHeight="1" x14ac:dyDescent="0.3">
      <c r="A264" s="5"/>
      <c r="B264" s="3"/>
      <c r="C264" s="9"/>
      <c r="D264" s="6"/>
      <c r="E264" s="8"/>
      <c r="F264" s="3"/>
      <c r="G264" s="3"/>
      <c r="H264" s="9"/>
    </row>
    <row r="265" spans="1:8" ht="30" customHeight="1" x14ac:dyDescent="0.3">
      <c r="A265" s="5"/>
      <c r="B265" s="3"/>
      <c r="C265" s="9"/>
      <c r="D265" s="6"/>
      <c r="E265" s="8"/>
      <c r="F265" s="3"/>
      <c r="G265" s="3"/>
      <c r="H265" s="9"/>
    </row>
    <row r="266" spans="1:8" ht="30" customHeight="1" x14ac:dyDescent="0.3">
      <c r="A266" s="5"/>
      <c r="B266" s="3"/>
      <c r="C266" s="9"/>
      <c r="D266" s="6"/>
      <c r="E266" s="8"/>
      <c r="F266" s="3"/>
      <c r="G266" s="3"/>
      <c r="H266" s="9"/>
    </row>
    <row r="267" spans="1:8" ht="30" customHeight="1" x14ac:dyDescent="0.3">
      <c r="A267" s="5"/>
      <c r="B267" s="3"/>
      <c r="C267" s="9"/>
      <c r="D267" s="6"/>
      <c r="E267" s="8"/>
      <c r="F267" s="3"/>
      <c r="G267" s="3"/>
      <c r="H267" s="9"/>
    </row>
    <row r="268" spans="1:8" ht="30" customHeight="1" x14ac:dyDescent="0.3">
      <c r="A268" s="5"/>
      <c r="B268" s="3"/>
      <c r="C268" s="9"/>
      <c r="D268" s="6"/>
      <c r="E268" s="8"/>
      <c r="F268" s="3"/>
      <c r="G268" s="3"/>
      <c r="H268" s="9"/>
    </row>
    <row r="269" spans="1:8" ht="30" customHeight="1" x14ac:dyDescent="0.3">
      <c r="A269" s="5"/>
      <c r="B269" s="3"/>
      <c r="C269" s="9"/>
      <c r="D269" s="6"/>
      <c r="E269" s="8"/>
      <c r="F269" s="3"/>
      <c r="G269" s="3"/>
      <c r="H269" s="9"/>
    </row>
    <row r="270" spans="1:8" ht="30" customHeight="1" x14ac:dyDescent="0.3">
      <c r="A270" s="5"/>
      <c r="B270" s="3"/>
      <c r="C270" s="9"/>
      <c r="D270" s="6"/>
      <c r="E270" s="8"/>
      <c r="F270" s="3"/>
      <c r="G270" s="3"/>
      <c r="H270" s="9"/>
    </row>
    <row r="271" spans="1:8" ht="30" customHeight="1" x14ac:dyDescent="0.3">
      <c r="A271" s="5"/>
      <c r="B271" s="3"/>
      <c r="C271" s="9"/>
      <c r="D271" s="6"/>
      <c r="E271" s="8"/>
      <c r="F271" s="3"/>
      <c r="G271" s="3"/>
      <c r="H271" s="9"/>
    </row>
    <row r="272" spans="1:8" ht="30" customHeight="1" x14ac:dyDescent="0.3">
      <c r="A272" s="5"/>
      <c r="B272" s="3"/>
      <c r="C272" s="9"/>
      <c r="D272" s="6"/>
      <c r="E272" s="8"/>
      <c r="F272" s="3"/>
      <c r="G272" s="3"/>
      <c r="H272" s="9"/>
    </row>
    <row r="273" spans="1:8" ht="30" customHeight="1" x14ac:dyDescent="0.3">
      <c r="A273" s="5"/>
      <c r="B273" s="3"/>
      <c r="C273" s="9"/>
      <c r="D273" s="6"/>
      <c r="E273" s="8"/>
      <c r="F273" s="3"/>
      <c r="G273" s="3"/>
      <c r="H273" s="9"/>
    </row>
    <row r="274" spans="1:8" ht="30" customHeight="1" x14ac:dyDescent="0.3">
      <c r="A274" s="5"/>
      <c r="B274" s="3"/>
      <c r="C274" s="9"/>
      <c r="D274" s="6"/>
      <c r="E274" s="8"/>
      <c r="F274" s="3"/>
      <c r="G274" s="3"/>
      <c r="H274" s="9"/>
    </row>
    <row r="275" spans="1:8" ht="30" customHeight="1" x14ac:dyDescent="0.3">
      <c r="A275" s="2"/>
      <c r="B275" s="2"/>
      <c r="C275" s="9"/>
      <c r="D275" s="12"/>
      <c r="E275" s="10"/>
      <c r="F275" s="2"/>
      <c r="G275" s="2"/>
      <c r="H275" s="9"/>
    </row>
    <row r="276" spans="1:8" ht="30" customHeight="1" x14ac:dyDescent="0.3">
      <c r="A276" s="2"/>
      <c r="B276" s="2"/>
      <c r="C276" s="9"/>
      <c r="D276" s="12"/>
      <c r="E276" s="10"/>
      <c r="F276" s="2"/>
      <c r="G276" s="2"/>
      <c r="H276" s="9"/>
    </row>
    <row r="277" spans="1:8" ht="30" customHeight="1" x14ac:dyDescent="0.3">
      <c r="A277" s="2"/>
      <c r="B277" s="2"/>
      <c r="C277" s="9"/>
      <c r="D277" s="12"/>
      <c r="E277" s="10"/>
      <c r="F277" s="2"/>
      <c r="G277" s="2"/>
      <c r="H277" s="9"/>
    </row>
    <row r="278" spans="1:8" ht="30" customHeight="1" x14ac:dyDescent="0.3">
      <c r="A278" s="2"/>
      <c r="B278" s="2"/>
      <c r="C278" s="9"/>
      <c r="D278" s="12"/>
      <c r="E278" s="10"/>
      <c r="F278" s="2"/>
      <c r="G278" s="2"/>
      <c r="H278" s="9"/>
    </row>
    <row r="279" spans="1:8" ht="30" customHeight="1" x14ac:dyDescent="0.3">
      <c r="A279" s="2"/>
      <c r="B279" s="2"/>
      <c r="C279" s="9"/>
      <c r="D279" s="12"/>
      <c r="E279" s="10"/>
      <c r="F279" s="2"/>
      <c r="G279" s="2"/>
      <c r="H279" s="9"/>
    </row>
    <row r="280" spans="1:8" ht="30" customHeight="1" x14ac:dyDescent="0.3">
      <c r="A280" s="2"/>
      <c r="B280" s="2"/>
      <c r="C280" s="9"/>
      <c r="D280" s="12"/>
      <c r="E280" s="10"/>
      <c r="F280" s="2"/>
      <c r="G280" s="2"/>
      <c r="H280" s="9"/>
    </row>
    <row r="281" spans="1:8" ht="30" customHeight="1" x14ac:dyDescent="0.3">
      <c r="A281" s="2"/>
      <c r="B281" s="2"/>
      <c r="C281" s="9"/>
      <c r="D281" s="2"/>
      <c r="E281" s="10"/>
      <c r="F281" s="2"/>
      <c r="G281" s="2"/>
      <c r="H281" s="9"/>
    </row>
    <row r="282" spans="1:8" ht="30" customHeight="1" x14ac:dyDescent="0.3">
      <c r="A282" s="2"/>
      <c r="B282" s="2"/>
      <c r="C282" s="9"/>
      <c r="D282" s="2"/>
      <c r="E282" s="10"/>
      <c r="F282" s="2"/>
      <c r="G282" s="2"/>
      <c r="H282" s="9"/>
    </row>
    <row r="283" spans="1:8" x14ac:dyDescent="0.3">
      <c r="A283" s="9"/>
      <c r="B283" s="9"/>
      <c r="C283" s="9"/>
      <c r="D283" s="9"/>
      <c r="E283" s="9"/>
      <c r="F283" s="9"/>
      <c r="G283" s="9"/>
      <c r="H283" s="9"/>
    </row>
    <row r="284" spans="1:8" x14ac:dyDescent="0.3">
      <c r="A284" s="9"/>
      <c r="B284" s="9"/>
      <c r="C284" s="9"/>
      <c r="D284" s="9"/>
      <c r="E284" s="9"/>
      <c r="F284" s="9"/>
      <c r="G284" s="9"/>
      <c r="H284" s="9"/>
    </row>
    <row r="285" spans="1:8" x14ac:dyDescent="0.3">
      <c r="A285" s="9"/>
      <c r="B285" s="9"/>
      <c r="C285" s="9"/>
      <c r="D285" s="9"/>
      <c r="E285" s="9"/>
      <c r="F285" s="9"/>
      <c r="G285" s="9"/>
      <c r="H285" s="9"/>
    </row>
    <row r="286" spans="1:8" x14ac:dyDescent="0.3">
      <c r="A286" s="9"/>
      <c r="B286" s="9"/>
      <c r="C286" s="9"/>
      <c r="D286" s="9"/>
      <c r="E286" s="9"/>
      <c r="F286" s="9"/>
      <c r="G286" s="9"/>
      <c r="H286" s="9"/>
    </row>
    <row r="287" spans="1:8" x14ac:dyDescent="0.3">
      <c r="A287" s="9"/>
      <c r="B287" s="9"/>
      <c r="C287" s="9"/>
      <c r="D287" s="9"/>
      <c r="E287" s="9"/>
      <c r="F287" s="9"/>
      <c r="G287" s="9"/>
      <c r="H287" s="9"/>
    </row>
    <row r="288" spans="1:8" x14ac:dyDescent="0.3">
      <c r="A288" s="9"/>
      <c r="B288" s="9"/>
      <c r="C288" s="9"/>
      <c r="D288" s="9"/>
      <c r="E288" s="9"/>
      <c r="F288" s="9"/>
      <c r="G288" s="9"/>
      <c r="H288" s="9"/>
    </row>
    <row r="289" spans="1:8" x14ac:dyDescent="0.3">
      <c r="A289" s="9"/>
      <c r="B289" s="9"/>
      <c r="C289" s="9"/>
      <c r="D289" s="9"/>
      <c r="E289" s="9"/>
      <c r="F289" s="9"/>
      <c r="G289" s="9"/>
      <c r="H289" s="9"/>
    </row>
    <row r="290" spans="1:8" x14ac:dyDescent="0.3">
      <c r="A290" s="9"/>
      <c r="B290" s="9"/>
      <c r="C290" s="9"/>
      <c r="D290" s="9"/>
      <c r="E290" s="9"/>
      <c r="F290" s="9"/>
      <c r="G290" s="9"/>
      <c r="H290" s="9"/>
    </row>
    <row r="291" spans="1:8" x14ac:dyDescent="0.3">
      <c r="A291" s="9"/>
      <c r="B291" s="9"/>
      <c r="C291" s="9"/>
      <c r="D291" s="9"/>
      <c r="E291" s="9"/>
      <c r="F291" s="9"/>
      <c r="G291" s="9"/>
      <c r="H291" s="9"/>
    </row>
    <row r="292" spans="1:8" x14ac:dyDescent="0.3">
      <c r="A292" s="9"/>
      <c r="B292" s="9"/>
      <c r="C292" s="9"/>
      <c r="D292" s="9"/>
      <c r="E292" s="9"/>
      <c r="F292" s="9"/>
      <c r="G292" s="9"/>
      <c r="H292" s="9"/>
    </row>
    <row r="293" spans="1:8" x14ac:dyDescent="0.3">
      <c r="A293" s="9"/>
      <c r="B293" s="9"/>
      <c r="C293" s="9"/>
      <c r="D293" s="9"/>
      <c r="E293" s="9"/>
      <c r="F293" s="9"/>
      <c r="G293" s="9"/>
      <c r="H293" s="9"/>
    </row>
    <row r="294" spans="1:8" x14ac:dyDescent="0.3">
      <c r="A294" s="9"/>
      <c r="B294" s="9"/>
      <c r="C294" s="9"/>
      <c r="D294" s="9"/>
      <c r="E294" s="9"/>
      <c r="F294" s="9"/>
      <c r="G294" s="9"/>
      <c r="H294" s="9"/>
    </row>
    <row r="295" spans="1:8" x14ac:dyDescent="0.3">
      <c r="A295" s="9"/>
      <c r="B295" s="9"/>
      <c r="C295" s="9"/>
      <c r="D295" s="9"/>
      <c r="E295" s="9"/>
      <c r="F295" s="9"/>
      <c r="G295" s="9"/>
      <c r="H295" s="9"/>
    </row>
    <row r="296" spans="1:8" x14ac:dyDescent="0.3">
      <c r="A296" s="9"/>
      <c r="B296" s="9"/>
      <c r="C296" s="9"/>
      <c r="D296" s="9"/>
      <c r="E296" s="9"/>
      <c r="F296" s="9"/>
      <c r="G296" s="9"/>
      <c r="H296" s="9"/>
    </row>
    <row r="297" spans="1:8" x14ac:dyDescent="0.3">
      <c r="A297" s="9"/>
      <c r="B297" s="9"/>
      <c r="C297" s="9"/>
      <c r="D297" s="9"/>
      <c r="E297" s="9"/>
      <c r="F297" s="9"/>
      <c r="G297" s="9"/>
      <c r="H297" s="9"/>
    </row>
    <row r="298" spans="1:8" x14ac:dyDescent="0.3">
      <c r="A298" s="9"/>
      <c r="B298" s="9"/>
      <c r="C298" s="9"/>
      <c r="D298" s="9"/>
      <c r="E298" s="9"/>
      <c r="F298" s="9"/>
      <c r="G298" s="9"/>
      <c r="H298" s="9"/>
    </row>
    <row r="299" spans="1:8" x14ac:dyDescent="0.3">
      <c r="A299" s="9"/>
      <c r="B299" s="9"/>
      <c r="C299" s="9"/>
      <c r="D299" s="9"/>
      <c r="E299" s="9"/>
      <c r="F299" s="9"/>
      <c r="G299" s="9"/>
      <c r="H299" s="9"/>
    </row>
    <row r="300" spans="1:8" x14ac:dyDescent="0.3">
      <c r="A300" s="9"/>
      <c r="B300" s="9"/>
      <c r="C300" s="9"/>
      <c r="D300" s="9"/>
      <c r="E300" s="9"/>
      <c r="F300" s="9"/>
      <c r="G300" s="9"/>
      <c r="H300" s="9"/>
    </row>
    <row r="301" spans="1:8" x14ac:dyDescent="0.3">
      <c r="A301" s="9"/>
      <c r="B301" s="9"/>
      <c r="C301" s="9"/>
      <c r="D301" s="9"/>
      <c r="E301" s="9"/>
      <c r="F301" s="9"/>
      <c r="G301" s="9"/>
      <c r="H301" s="9"/>
    </row>
    <row r="302" spans="1:8" x14ac:dyDescent="0.3">
      <c r="A302" s="9"/>
      <c r="B302" s="9"/>
      <c r="C302" s="9"/>
      <c r="D302" s="9"/>
      <c r="E302" s="9"/>
      <c r="F302" s="9"/>
      <c r="G302" s="9"/>
      <c r="H302" s="9"/>
    </row>
    <row r="303" spans="1:8" x14ac:dyDescent="0.3">
      <c r="A303" s="9"/>
      <c r="B303" s="9"/>
      <c r="C303" s="9"/>
      <c r="D303" s="9"/>
      <c r="E303" s="9"/>
      <c r="F303" s="9"/>
      <c r="G303" s="9"/>
      <c r="H303" s="9"/>
    </row>
    <row r="304" spans="1:8" x14ac:dyDescent="0.3">
      <c r="A304" s="9"/>
      <c r="B304" s="9"/>
      <c r="C304" s="9"/>
      <c r="D304" s="9"/>
      <c r="E304" s="9"/>
      <c r="F304" s="9"/>
      <c r="G304" s="9"/>
      <c r="H304" s="9"/>
    </row>
    <row r="305" spans="1:8" x14ac:dyDescent="0.3">
      <c r="A305" s="9"/>
      <c r="B305" s="9"/>
      <c r="C305" s="9"/>
      <c r="D305" s="9"/>
      <c r="E305" s="9"/>
      <c r="F305" s="9"/>
      <c r="G305" s="9"/>
      <c r="H305" s="9"/>
    </row>
    <row r="306" spans="1:8" x14ac:dyDescent="0.3">
      <c r="A306" s="9"/>
      <c r="B306" s="9"/>
      <c r="C306" s="9"/>
      <c r="D306" s="9"/>
      <c r="E306" s="9"/>
      <c r="F306" s="9"/>
      <c r="G306" s="9"/>
      <c r="H306" s="9"/>
    </row>
    <row r="307" spans="1:8" x14ac:dyDescent="0.3">
      <c r="A307" s="9"/>
      <c r="B307" s="9"/>
      <c r="C307" s="9"/>
      <c r="D307" s="9"/>
      <c r="E307" s="9"/>
      <c r="F307" s="9"/>
      <c r="G307" s="9"/>
      <c r="H307" s="9"/>
    </row>
    <row r="308" spans="1:8" x14ac:dyDescent="0.3">
      <c r="A308" s="9"/>
      <c r="B308" s="9"/>
      <c r="C308" s="9"/>
      <c r="D308" s="9"/>
      <c r="E308" s="9"/>
      <c r="F308" s="9"/>
      <c r="G308" s="9"/>
      <c r="H308" s="9"/>
    </row>
    <row r="309" spans="1:8" x14ac:dyDescent="0.3">
      <c r="A309" s="9"/>
      <c r="B309" s="9"/>
      <c r="C309" s="9"/>
      <c r="D309" s="9"/>
      <c r="E309" s="9"/>
      <c r="F309" s="9"/>
      <c r="G309" s="9"/>
      <c r="H309" s="9"/>
    </row>
    <row r="310" spans="1:8" x14ac:dyDescent="0.3">
      <c r="A310" s="9"/>
      <c r="B310" s="9"/>
      <c r="C310" s="9"/>
      <c r="D310" s="9"/>
      <c r="E310" s="9"/>
      <c r="F310" s="9"/>
      <c r="G310" s="9"/>
      <c r="H310" s="9"/>
    </row>
    <row r="311" spans="1:8" x14ac:dyDescent="0.3">
      <c r="A311" s="9"/>
      <c r="B311" s="9"/>
      <c r="C311" s="9"/>
      <c r="D311" s="9"/>
      <c r="E311" s="9"/>
      <c r="F311" s="9"/>
      <c r="G311" s="9"/>
      <c r="H311" s="9"/>
    </row>
    <row r="312" spans="1:8" x14ac:dyDescent="0.3">
      <c r="A312" s="9"/>
      <c r="B312" s="9"/>
      <c r="C312" s="9"/>
      <c r="D312" s="9"/>
      <c r="E312" s="9"/>
      <c r="F312" s="9"/>
      <c r="G312" s="9"/>
      <c r="H312" s="9"/>
    </row>
    <row r="313" spans="1:8" x14ac:dyDescent="0.3">
      <c r="A313" s="9"/>
      <c r="B313" s="9"/>
      <c r="C313" s="9"/>
      <c r="D313" s="9"/>
      <c r="E313" s="9"/>
      <c r="F313" s="9"/>
      <c r="G313" s="9"/>
      <c r="H313" s="9"/>
    </row>
    <row r="314" spans="1:8" x14ac:dyDescent="0.3">
      <c r="A314" s="9"/>
      <c r="B314" s="9"/>
      <c r="C314" s="9"/>
      <c r="D314" s="9"/>
      <c r="E314" s="9"/>
      <c r="F314" s="9"/>
      <c r="G314" s="9"/>
      <c r="H314" s="9"/>
    </row>
    <row r="315" spans="1:8" x14ac:dyDescent="0.3">
      <c r="A315" s="9"/>
      <c r="B315" s="9"/>
      <c r="C315" s="9"/>
      <c r="D315" s="9"/>
      <c r="E315" s="9"/>
      <c r="F315" s="9"/>
      <c r="G315" s="9"/>
      <c r="H315" s="9"/>
    </row>
    <row r="316" spans="1:8" x14ac:dyDescent="0.3">
      <c r="A316" s="9"/>
      <c r="B316" s="9"/>
      <c r="C316" s="9"/>
      <c r="D316" s="9"/>
      <c r="E316" s="9"/>
      <c r="F316" s="9"/>
      <c r="G316" s="9"/>
      <c r="H316" s="9"/>
    </row>
    <row r="317" spans="1:8" x14ac:dyDescent="0.3">
      <c r="A317" s="9"/>
      <c r="B317" s="9"/>
      <c r="C317" s="9"/>
      <c r="D317" s="9"/>
      <c r="E317" s="9"/>
      <c r="F317" s="9"/>
      <c r="G317" s="9"/>
      <c r="H317" s="9"/>
    </row>
    <row r="318" spans="1:8" x14ac:dyDescent="0.3">
      <c r="A318" s="9"/>
      <c r="B318" s="9"/>
      <c r="C318" s="9"/>
      <c r="D318" s="9"/>
      <c r="E318" s="9"/>
      <c r="F318" s="9"/>
      <c r="G318" s="9"/>
      <c r="H318" s="9"/>
    </row>
    <row r="319" spans="1:8" x14ac:dyDescent="0.3">
      <c r="A319" s="9"/>
      <c r="B319" s="9"/>
      <c r="C319" s="9"/>
      <c r="D319" s="9"/>
      <c r="E319" s="9"/>
      <c r="F319" s="9"/>
      <c r="G319" s="9"/>
      <c r="H319" s="9"/>
    </row>
    <row r="320" spans="1:8" x14ac:dyDescent="0.3">
      <c r="A320" s="9"/>
      <c r="B320" s="9"/>
      <c r="C320" s="9"/>
      <c r="D320" s="9"/>
      <c r="E320" s="9"/>
      <c r="F320" s="9"/>
      <c r="G320" s="9"/>
      <c r="H320" s="9"/>
    </row>
    <row r="321" spans="1:8" x14ac:dyDescent="0.3">
      <c r="A321" s="9"/>
      <c r="B321" s="9"/>
      <c r="C321" s="9"/>
      <c r="D321" s="9"/>
      <c r="E321" s="9"/>
      <c r="F321" s="9"/>
      <c r="G321" s="9"/>
      <c r="H321" s="9"/>
    </row>
    <row r="322" spans="1:8" x14ac:dyDescent="0.3">
      <c r="A322" s="9"/>
      <c r="B322" s="9"/>
      <c r="C322" s="9"/>
      <c r="D322" s="9"/>
      <c r="E322" s="9"/>
      <c r="F322" s="9"/>
      <c r="G322" s="9"/>
      <c r="H322" s="9"/>
    </row>
    <row r="323" spans="1:8" x14ac:dyDescent="0.3">
      <c r="A323" s="9"/>
      <c r="B323" s="9"/>
      <c r="C323" s="9"/>
      <c r="D323" s="9"/>
      <c r="E323" s="9"/>
      <c r="F323" s="9"/>
      <c r="G323" s="9"/>
      <c r="H323" s="9"/>
    </row>
    <row r="324" spans="1:8" x14ac:dyDescent="0.3">
      <c r="A324" s="9"/>
      <c r="B324" s="9"/>
      <c r="C324" s="9"/>
      <c r="D324" s="9"/>
      <c r="E324" s="9"/>
      <c r="F324" s="9"/>
      <c r="G324" s="9"/>
      <c r="H324" s="9"/>
    </row>
    <row r="325" spans="1:8" x14ac:dyDescent="0.3">
      <c r="A325" s="9"/>
      <c r="B325" s="9"/>
      <c r="C325" s="9"/>
      <c r="D325" s="9"/>
      <c r="E325" s="9"/>
      <c r="F325" s="9"/>
      <c r="G325" s="9"/>
      <c r="H325" s="9"/>
    </row>
    <row r="326" spans="1:8" x14ac:dyDescent="0.3">
      <c r="A326" s="9"/>
      <c r="B326" s="9"/>
      <c r="C326" s="9"/>
      <c r="D326" s="9"/>
      <c r="E326" s="9"/>
      <c r="F326" s="9"/>
      <c r="G326" s="9"/>
      <c r="H326" s="9"/>
    </row>
    <row r="327" spans="1:8" x14ac:dyDescent="0.3">
      <c r="A327" s="9"/>
      <c r="B327" s="9"/>
      <c r="C327" s="9"/>
      <c r="D327" s="9"/>
      <c r="E327" s="9"/>
      <c r="F327" s="9"/>
      <c r="G327" s="9"/>
      <c r="H327" s="9"/>
    </row>
    <row r="328" spans="1:8" x14ac:dyDescent="0.3">
      <c r="A328" s="9"/>
      <c r="B328" s="9"/>
      <c r="C328" s="9"/>
      <c r="D328" s="9"/>
      <c r="E328" s="9"/>
      <c r="F328" s="9"/>
      <c r="G328" s="9"/>
      <c r="H328" s="9"/>
    </row>
    <row r="329" spans="1:8" x14ac:dyDescent="0.3">
      <c r="A329" s="9"/>
      <c r="B329" s="9"/>
      <c r="C329" s="9"/>
      <c r="D329" s="9"/>
      <c r="E329" s="9"/>
      <c r="F329" s="9"/>
      <c r="G329" s="9"/>
      <c r="H329" s="9"/>
    </row>
    <row r="330" spans="1:8" x14ac:dyDescent="0.3">
      <c r="A330" s="9"/>
      <c r="B330" s="9"/>
      <c r="C330" s="9"/>
      <c r="D330" s="9"/>
      <c r="E330" s="9"/>
      <c r="F330" s="9"/>
      <c r="G330" s="9"/>
      <c r="H330" s="9"/>
    </row>
    <row r="331" spans="1:8" x14ac:dyDescent="0.3">
      <c r="A331" s="9"/>
      <c r="B331" s="9"/>
      <c r="C331" s="9"/>
      <c r="D331" s="9"/>
      <c r="E331" s="9"/>
      <c r="F331" s="9"/>
      <c r="G331" s="9"/>
      <c r="H331" s="9"/>
    </row>
    <row r="332" spans="1:8" x14ac:dyDescent="0.3">
      <c r="A332" s="9"/>
      <c r="B332" s="9"/>
      <c r="C332" s="9"/>
      <c r="D332" s="9"/>
      <c r="E332" s="9"/>
      <c r="F332" s="9"/>
      <c r="G332" s="9"/>
      <c r="H332" s="9"/>
    </row>
    <row r="333" spans="1:8" x14ac:dyDescent="0.3">
      <c r="A333" s="9"/>
      <c r="B333" s="9"/>
      <c r="C333" s="9"/>
      <c r="D333" s="9"/>
      <c r="E333" s="9"/>
      <c r="F333" s="9"/>
      <c r="G333" s="9"/>
      <c r="H333" s="9"/>
    </row>
    <row r="334" spans="1:8" x14ac:dyDescent="0.3">
      <c r="A334" s="9"/>
      <c r="B334" s="9"/>
      <c r="C334" s="9"/>
      <c r="D334" s="9"/>
      <c r="E334" s="9"/>
      <c r="F334" s="9"/>
      <c r="G334" s="9"/>
      <c r="H334" s="9"/>
    </row>
    <row r="335" spans="1:8" x14ac:dyDescent="0.3">
      <c r="A335" s="9"/>
      <c r="B335" s="9"/>
      <c r="C335" s="9"/>
      <c r="D335" s="9"/>
      <c r="E335" s="9"/>
      <c r="F335" s="9"/>
      <c r="G335" s="9"/>
      <c r="H335" s="9"/>
    </row>
    <row r="336" spans="1:8" x14ac:dyDescent="0.3">
      <c r="A336" s="9"/>
      <c r="B336" s="9"/>
      <c r="C336" s="9"/>
      <c r="D336" s="9"/>
      <c r="E336" s="9"/>
      <c r="F336" s="9"/>
      <c r="G336" s="9"/>
      <c r="H336" s="9"/>
    </row>
    <row r="337" spans="1:8" x14ac:dyDescent="0.3">
      <c r="A337" s="9"/>
      <c r="B337" s="9"/>
      <c r="C337" s="9"/>
      <c r="D337" s="9"/>
      <c r="E337" s="9"/>
      <c r="F337" s="9"/>
      <c r="G337" s="9"/>
      <c r="H337" s="9"/>
    </row>
    <row r="338" spans="1:8" x14ac:dyDescent="0.3">
      <c r="A338" s="9"/>
      <c r="B338" s="9"/>
      <c r="C338" s="9"/>
      <c r="D338" s="9"/>
      <c r="E338" s="9"/>
      <c r="F338" s="9"/>
      <c r="G338" s="9"/>
      <c r="H338" s="9"/>
    </row>
    <row r="339" spans="1:8" x14ac:dyDescent="0.3">
      <c r="A339" s="9"/>
      <c r="B339" s="9"/>
      <c r="C339" s="9"/>
      <c r="D339" s="9"/>
      <c r="E339" s="9"/>
      <c r="F339" s="9"/>
      <c r="G339" s="9"/>
      <c r="H339" s="9"/>
    </row>
    <row r="340" spans="1:8" x14ac:dyDescent="0.3">
      <c r="A340" s="9"/>
      <c r="B340" s="9"/>
      <c r="C340" s="9"/>
      <c r="D340" s="9"/>
      <c r="E340" s="9"/>
      <c r="F340" s="9"/>
      <c r="G340" s="9"/>
      <c r="H340" s="9"/>
    </row>
    <row r="341" spans="1:8" x14ac:dyDescent="0.3">
      <c r="A341" s="9"/>
      <c r="B341" s="9"/>
      <c r="C341" s="9"/>
      <c r="D341" s="9"/>
      <c r="E341" s="9"/>
      <c r="F341" s="9"/>
      <c r="G341" s="9"/>
      <c r="H341" s="9"/>
    </row>
    <row r="342" spans="1:8" x14ac:dyDescent="0.3">
      <c r="A342" s="9"/>
      <c r="B342" s="9"/>
      <c r="C342" s="9"/>
      <c r="D342" s="9"/>
      <c r="E342" s="9"/>
      <c r="F342" s="9"/>
      <c r="G342" s="9"/>
      <c r="H342" s="9"/>
    </row>
    <row r="343" spans="1:8" x14ac:dyDescent="0.3">
      <c r="A343" s="9"/>
      <c r="B343" s="9"/>
      <c r="C343" s="9"/>
      <c r="D343" s="9"/>
      <c r="E343" s="9"/>
      <c r="F343" s="9"/>
      <c r="G343" s="9"/>
      <c r="H343" s="9"/>
    </row>
    <row r="344" spans="1:8" x14ac:dyDescent="0.3">
      <c r="A344" s="9"/>
      <c r="B344" s="9"/>
      <c r="C344" s="9"/>
      <c r="D344" s="9"/>
      <c r="E344" s="9"/>
      <c r="F344" s="9"/>
      <c r="G344" s="9"/>
      <c r="H344" s="9"/>
    </row>
    <row r="345" spans="1:8" x14ac:dyDescent="0.3">
      <c r="A345" s="9"/>
      <c r="B345" s="9"/>
      <c r="C345" s="9"/>
      <c r="D345" s="9"/>
      <c r="E345" s="9"/>
      <c r="F345" s="9"/>
      <c r="G345" s="9"/>
      <c r="H345" s="9"/>
    </row>
    <row r="346" spans="1:8" x14ac:dyDescent="0.3">
      <c r="A346" s="9"/>
      <c r="B346" s="9"/>
      <c r="C346" s="9"/>
      <c r="D346" s="9"/>
      <c r="E346" s="9"/>
      <c r="F346" s="9"/>
      <c r="G346" s="9"/>
      <c r="H346" s="9"/>
    </row>
    <row r="347" spans="1:8" x14ac:dyDescent="0.3">
      <c r="A347" s="9"/>
      <c r="B347" s="9"/>
      <c r="C347" s="9"/>
      <c r="D347" s="9"/>
      <c r="E347" s="9"/>
      <c r="F347" s="9"/>
      <c r="G347" s="9"/>
      <c r="H347" s="9"/>
    </row>
    <row r="348" spans="1:8" x14ac:dyDescent="0.3">
      <c r="A348" s="9"/>
      <c r="B348" s="9"/>
      <c r="C348" s="9"/>
      <c r="D348" s="9"/>
      <c r="E348" s="9"/>
      <c r="F348" s="9"/>
      <c r="G348" s="9"/>
      <c r="H348" s="9"/>
    </row>
    <row r="349" spans="1:8" x14ac:dyDescent="0.3">
      <c r="A349" s="9"/>
      <c r="B349" s="9"/>
      <c r="C349" s="9"/>
      <c r="D349" s="9"/>
      <c r="E349" s="9"/>
      <c r="F349" s="9"/>
      <c r="G349" s="9"/>
      <c r="H349" s="9"/>
    </row>
    <row r="350" spans="1:8" x14ac:dyDescent="0.3">
      <c r="A350" s="9"/>
      <c r="B350" s="9"/>
      <c r="C350" s="9"/>
      <c r="D350" s="9"/>
      <c r="E350" s="9"/>
      <c r="F350" s="9"/>
      <c r="G350" s="9"/>
      <c r="H350" s="9"/>
    </row>
    <row r="351" spans="1:8" x14ac:dyDescent="0.3">
      <c r="A351" s="9"/>
      <c r="B351" s="9"/>
      <c r="C351" s="9"/>
      <c r="D351" s="9"/>
      <c r="E351" s="9"/>
      <c r="F351" s="9"/>
      <c r="G351" s="9"/>
      <c r="H351" s="9"/>
    </row>
    <row r="352" spans="1:8" x14ac:dyDescent="0.3">
      <c r="A352" s="9"/>
      <c r="B352" s="9"/>
      <c r="C352" s="9"/>
      <c r="D352" s="9"/>
      <c r="E352" s="9"/>
      <c r="F352" s="9"/>
      <c r="G352" s="9"/>
      <c r="H352" s="9"/>
    </row>
    <row r="353" spans="1:8" x14ac:dyDescent="0.3">
      <c r="A353" s="9"/>
      <c r="B353" s="9"/>
      <c r="C353" s="9"/>
      <c r="D353" s="9"/>
      <c r="E353" s="9"/>
      <c r="F353" s="9"/>
      <c r="G353" s="9"/>
      <c r="H353" s="9"/>
    </row>
    <row r="354" spans="1:8" x14ac:dyDescent="0.3">
      <c r="A354" s="9"/>
      <c r="B354" s="9"/>
      <c r="C354" s="9"/>
      <c r="D354" s="9"/>
      <c r="E354" s="9"/>
      <c r="F354" s="9"/>
      <c r="G354" s="9"/>
      <c r="H354" s="9"/>
    </row>
    <row r="355" spans="1:8" x14ac:dyDescent="0.3">
      <c r="A355" s="9"/>
      <c r="B355" s="9"/>
      <c r="C355" s="9"/>
      <c r="D355" s="9"/>
      <c r="E355" s="9"/>
      <c r="F355" s="9"/>
      <c r="G355" s="9"/>
      <c r="H355" s="9"/>
    </row>
    <row r="356" spans="1:8" x14ac:dyDescent="0.3">
      <c r="A356" s="9"/>
      <c r="B356" s="9"/>
      <c r="C356" s="9"/>
      <c r="D356" s="9"/>
      <c r="E356" s="9"/>
      <c r="F356" s="9"/>
      <c r="G356" s="9"/>
      <c r="H356" s="9"/>
    </row>
    <row r="357" spans="1:8" x14ac:dyDescent="0.3">
      <c r="A357" s="9"/>
      <c r="B357" s="9"/>
      <c r="C357" s="9"/>
      <c r="D357" s="9"/>
      <c r="E357" s="9"/>
      <c r="F357" s="9"/>
      <c r="G357" s="9"/>
      <c r="H357" s="9"/>
    </row>
    <row r="358" spans="1:8" x14ac:dyDescent="0.3">
      <c r="A358" s="9"/>
      <c r="B358" s="9"/>
      <c r="C358" s="9"/>
      <c r="D358" s="9"/>
      <c r="E358" s="9"/>
      <c r="F358" s="9"/>
      <c r="G358" s="9"/>
      <c r="H358" s="9"/>
    </row>
    <row r="359" spans="1:8" x14ac:dyDescent="0.3">
      <c r="A359" s="9"/>
      <c r="B359" s="9"/>
      <c r="C359" s="9"/>
      <c r="D359" s="9"/>
      <c r="E359" s="9"/>
      <c r="F359" s="9"/>
      <c r="G359" s="9"/>
      <c r="H359" s="9"/>
    </row>
    <row r="360" spans="1:8" x14ac:dyDescent="0.3">
      <c r="A360" s="9"/>
      <c r="B360" s="9"/>
      <c r="C360" s="9"/>
      <c r="D360" s="9"/>
      <c r="E360" s="9"/>
      <c r="F360" s="9"/>
      <c r="G360" s="9"/>
      <c r="H360" s="9"/>
    </row>
    <row r="361" spans="1:8" x14ac:dyDescent="0.3">
      <c r="A361" s="9"/>
      <c r="B361" s="9"/>
      <c r="C361" s="9"/>
      <c r="D361" s="9"/>
      <c r="E361" s="9"/>
      <c r="F361" s="9"/>
      <c r="G361" s="9"/>
      <c r="H361" s="9"/>
    </row>
    <row r="362" spans="1:8" x14ac:dyDescent="0.3">
      <c r="A362" s="9"/>
      <c r="B362" s="9"/>
      <c r="C362" s="9"/>
      <c r="D362" s="9"/>
      <c r="E362" s="9"/>
      <c r="F362" s="9"/>
      <c r="G362" s="9"/>
      <c r="H362" s="9"/>
    </row>
    <row r="363" spans="1:8" x14ac:dyDescent="0.3">
      <c r="A363" s="9"/>
      <c r="B363" s="9"/>
      <c r="C363" s="9"/>
      <c r="D363" s="9"/>
      <c r="E363" s="9"/>
      <c r="F363" s="9"/>
      <c r="G363" s="9"/>
      <c r="H363" s="9"/>
    </row>
    <row r="364" spans="1:8" x14ac:dyDescent="0.3">
      <c r="A364" s="9"/>
      <c r="B364" s="9"/>
      <c r="C364" s="9"/>
      <c r="D364" s="9"/>
      <c r="E364" s="9"/>
      <c r="F364" s="9"/>
      <c r="G364" s="9"/>
      <c r="H364" s="9"/>
    </row>
    <row r="365" spans="1:8" x14ac:dyDescent="0.3">
      <c r="A365" s="9"/>
      <c r="B365" s="9"/>
      <c r="C365" s="9"/>
      <c r="D365" s="9"/>
      <c r="E365" s="9"/>
      <c r="F365" s="9"/>
      <c r="G365" s="9"/>
      <c r="H365" s="9"/>
    </row>
    <row r="366" spans="1:8" x14ac:dyDescent="0.3">
      <c r="A366" s="9"/>
      <c r="B366" s="9"/>
      <c r="C366" s="9"/>
      <c r="D366" s="9"/>
      <c r="E366" s="9"/>
      <c r="F366" s="9"/>
      <c r="G366" s="9"/>
      <c r="H366" s="9"/>
    </row>
    <row r="367" spans="1:8" x14ac:dyDescent="0.3">
      <c r="A367" s="9"/>
      <c r="B367" s="9"/>
      <c r="C367" s="9"/>
      <c r="D367" s="9"/>
      <c r="E367" s="9"/>
      <c r="F367" s="9"/>
      <c r="G367" s="9"/>
      <c r="H367" s="9"/>
    </row>
    <row r="368" spans="1:8" x14ac:dyDescent="0.3">
      <c r="A368" s="9"/>
      <c r="B368" s="9"/>
      <c r="C368" s="9"/>
      <c r="D368" s="9"/>
      <c r="E368" s="9"/>
      <c r="F368" s="9"/>
      <c r="G368" s="9"/>
      <c r="H368" s="9"/>
    </row>
    <row r="369" spans="1:8" x14ac:dyDescent="0.3">
      <c r="A369" s="9"/>
      <c r="B369" s="9"/>
      <c r="C369" s="9"/>
      <c r="D369" s="9"/>
      <c r="E369" s="9"/>
      <c r="F369" s="9"/>
      <c r="G369" s="9"/>
      <c r="H369" s="9"/>
    </row>
    <row r="370" spans="1:8" x14ac:dyDescent="0.3">
      <c r="A370" s="9"/>
      <c r="B370" s="9"/>
      <c r="C370" s="9"/>
      <c r="D370" s="9"/>
      <c r="E370" s="9"/>
      <c r="F370" s="9"/>
      <c r="G370" s="9"/>
      <c r="H370" s="9"/>
    </row>
    <row r="371" spans="1:8" x14ac:dyDescent="0.3">
      <c r="A371" s="9"/>
      <c r="B371" s="9"/>
      <c r="C371" s="9"/>
      <c r="D371" s="9"/>
      <c r="E371" s="9"/>
      <c r="F371" s="9"/>
      <c r="G371" s="9"/>
      <c r="H371" s="9"/>
    </row>
    <row r="372" spans="1:8" x14ac:dyDescent="0.3">
      <c r="A372" s="9"/>
      <c r="B372" s="9"/>
      <c r="C372" s="9"/>
      <c r="D372" s="9"/>
      <c r="E372" s="9"/>
      <c r="F372" s="9"/>
      <c r="G372" s="9"/>
      <c r="H372" s="9"/>
    </row>
    <row r="373" spans="1:8" x14ac:dyDescent="0.3">
      <c r="A373" s="9"/>
      <c r="B373" s="9"/>
      <c r="C373" s="9"/>
      <c r="D373" s="9"/>
      <c r="E373" s="9"/>
      <c r="F373" s="9"/>
      <c r="G373" s="9"/>
      <c r="H373" s="9"/>
    </row>
    <row r="374" spans="1:8" x14ac:dyDescent="0.3">
      <c r="A374" s="9"/>
      <c r="B374" s="9"/>
      <c r="C374" s="9"/>
      <c r="D374" s="9"/>
      <c r="E374" s="9"/>
      <c r="F374" s="9"/>
      <c r="G374" s="9"/>
      <c r="H374" s="9"/>
    </row>
    <row r="375" spans="1:8" x14ac:dyDescent="0.3">
      <c r="A375" s="9"/>
      <c r="B375" s="9"/>
      <c r="C375" s="9"/>
      <c r="D375" s="9"/>
      <c r="E375" s="9"/>
      <c r="F375" s="9"/>
      <c r="G375" s="9"/>
      <c r="H375" s="9"/>
    </row>
    <row r="376" spans="1:8" x14ac:dyDescent="0.3">
      <c r="A376" s="9"/>
      <c r="B376" s="9"/>
      <c r="C376" s="9"/>
      <c r="D376" s="9"/>
      <c r="E376" s="9"/>
      <c r="F376" s="9"/>
      <c r="G376" s="9"/>
      <c r="H376" s="9"/>
    </row>
    <row r="377" spans="1:8" x14ac:dyDescent="0.3">
      <c r="A377" s="9"/>
      <c r="B377" s="9"/>
      <c r="C377" s="9"/>
      <c r="D377" s="9"/>
      <c r="E377" s="9"/>
      <c r="F377" s="9"/>
      <c r="G377" s="9"/>
      <c r="H377" s="9"/>
    </row>
    <row r="378" spans="1:8" x14ac:dyDescent="0.3">
      <c r="A378" s="9"/>
      <c r="B378" s="9"/>
      <c r="C378" s="9"/>
      <c r="D378" s="9"/>
      <c r="E378" s="9"/>
      <c r="F378" s="9"/>
      <c r="G378" s="9"/>
      <c r="H378" s="9"/>
    </row>
    <row r="379" spans="1:8" x14ac:dyDescent="0.3">
      <c r="A379" s="9"/>
      <c r="B379" s="9"/>
      <c r="C379" s="9"/>
      <c r="D379" s="9"/>
      <c r="E379" s="9"/>
      <c r="F379" s="9"/>
      <c r="G379" s="9"/>
      <c r="H379" s="9"/>
    </row>
    <row r="380" spans="1:8" x14ac:dyDescent="0.3">
      <c r="A380" s="9"/>
      <c r="B380" s="9"/>
      <c r="C380" s="9"/>
      <c r="D380" s="9"/>
      <c r="E380" s="9"/>
      <c r="F380" s="9"/>
      <c r="G380" s="9"/>
      <c r="H380" s="9"/>
    </row>
    <row r="381" spans="1:8" x14ac:dyDescent="0.3">
      <c r="A381" s="9"/>
      <c r="B381" s="9"/>
      <c r="C381" s="9"/>
      <c r="D381" s="9"/>
      <c r="E381" s="9"/>
      <c r="F381" s="9"/>
      <c r="G381" s="9"/>
      <c r="H381" s="9"/>
    </row>
    <row r="382" spans="1:8" x14ac:dyDescent="0.3">
      <c r="A382" s="9"/>
      <c r="B382" s="9"/>
      <c r="C382" s="9"/>
      <c r="D382" s="9"/>
      <c r="E382" s="9"/>
      <c r="F382" s="9"/>
      <c r="G382" s="9"/>
      <c r="H382" s="9"/>
    </row>
    <row r="383" spans="1:8" x14ac:dyDescent="0.3">
      <c r="A383" s="9"/>
      <c r="B383" s="9"/>
      <c r="C383" s="9"/>
      <c r="D383" s="9"/>
      <c r="E383" s="9"/>
      <c r="F383" s="9"/>
      <c r="G383" s="9"/>
      <c r="H383" s="9"/>
    </row>
    <row r="384" spans="1:8" x14ac:dyDescent="0.3">
      <c r="A384" s="9"/>
      <c r="B384" s="9"/>
      <c r="C384" s="9"/>
      <c r="D384" s="9"/>
      <c r="E384" s="9"/>
      <c r="F384" s="9"/>
      <c r="G384" s="9"/>
      <c r="H384" s="9"/>
    </row>
    <row r="385" spans="1:8" x14ac:dyDescent="0.3">
      <c r="A385" s="9"/>
      <c r="B385" s="9"/>
      <c r="C385" s="9"/>
      <c r="D385" s="9"/>
      <c r="E385" s="9"/>
      <c r="F385" s="9"/>
      <c r="G385" s="9"/>
      <c r="H385" s="9"/>
    </row>
    <row r="386" spans="1:8" x14ac:dyDescent="0.3">
      <c r="A386" s="9"/>
      <c r="B386" s="9"/>
      <c r="C386" s="9"/>
      <c r="D386" s="9"/>
      <c r="E386" s="9"/>
      <c r="F386" s="9"/>
      <c r="G386" s="9"/>
      <c r="H386" s="9"/>
    </row>
    <row r="387" spans="1:8" x14ac:dyDescent="0.3">
      <c r="A387" s="9"/>
      <c r="B387" s="9"/>
      <c r="C387" s="9"/>
      <c r="D387" s="9"/>
      <c r="E387" s="9"/>
      <c r="F387" s="9"/>
      <c r="G387" s="9"/>
      <c r="H387" s="9"/>
    </row>
    <row r="388" spans="1:8" x14ac:dyDescent="0.3">
      <c r="A388" s="9"/>
      <c r="B388" s="9"/>
      <c r="C388" s="9"/>
      <c r="D388" s="9"/>
      <c r="E388" s="9"/>
      <c r="F388" s="9"/>
      <c r="G388" s="9"/>
      <c r="H388" s="9"/>
    </row>
    <row r="389" spans="1:8" x14ac:dyDescent="0.3">
      <c r="A389" s="9"/>
      <c r="B389" s="9"/>
      <c r="C389" s="9"/>
      <c r="D389" s="9"/>
      <c r="E389" s="9"/>
      <c r="F389" s="9"/>
      <c r="G389" s="9"/>
      <c r="H389" s="9"/>
    </row>
    <row r="390" spans="1:8" x14ac:dyDescent="0.3">
      <c r="A390" s="9"/>
      <c r="B390" s="9"/>
      <c r="C390" s="9"/>
      <c r="D390" s="9"/>
      <c r="E390" s="9"/>
      <c r="F390" s="9"/>
      <c r="G390" s="9"/>
      <c r="H390" s="9"/>
    </row>
    <row r="391" spans="1:8" x14ac:dyDescent="0.3">
      <c r="A391" s="9"/>
      <c r="B391" s="9"/>
      <c r="C391" s="9"/>
      <c r="D391" s="9"/>
      <c r="E391" s="9"/>
      <c r="F391" s="9"/>
      <c r="G391" s="9"/>
      <c r="H391" s="9"/>
    </row>
    <row r="392" spans="1:8" x14ac:dyDescent="0.3">
      <c r="A392" s="9"/>
      <c r="B392" s="9"/>
      <c r="C392" s="9"/>
      <c r="D392" s="9"/>
      <c r="E392" s="9"/>
      <c r="F392" s="9"/>
      <c r="G392" s="9"/>
      <c r="H392" s="9"/>
    </row>
    <row r="393" spans="1:8" x14ac:dyDescent="0.3">
      <c r="A393" s="9"/>
      <c r="B393" s="9"/>
      <c r="C393" s="9"/>
      <c r="D393" s="9"/>
      <c r="E393" s="9"/>
      <c r="F393" s="9"/>
      <c r="G393" s="9"/>
      <c r="H393" s="9"/>
    </row>
    <row r="394" spans="1:8" x14ac:dyDescent="0.3">
      <c r="A394" s="9"/>
      <c r="B394" s="9"/>
      <c r="C394" s="9"/>
      <c r="D394" s="9"/>
      <c r="E394" s="9"/>
      <c r="F394" s="9"/>
      <c r="G394" s="9"/>
      <c r="H394" s="9"/>
    </row>
    <row r="395" spans="1:8" x14ac:dyDescent="0.3">
      <c r="A395" s="9"/>
      <c r="B395" s="9"/>
      <c r="C395" s="9"/>
      <c r="D395" s="9"/>
      <c r="E395" s="9"/>
      <c r="F395" s="9"/>
      <c r="G395" s="9"/>
      <c r="H395" s="9"/>
    </row>
    <row r="396" spans="1:8" x14ac:dyDescent="0.3">
      <c r="A396" s="9"/>
      <c r="B396" s="9"/>
      <c r="C396" s="9"/>
      <c r="D396" s="9"/>
      <c r="E396" s="9"/>
      <c r="F396" s="9"/>
      <c r="G396" s="9"/>
      <c r="H396" s="9"/>
    </row>
    <row r="397" spans="1:8" x14ac:dyDescent="0.3">
      <c r="A397" s="9"/>
      <c r="B397" s="9"/>
      <c r="C397" s="9"/>
      <c r="D397" s="9"/>
      <c r="E397" s="9"/>
      <c r="F397" s="9"/>
      <c r="G397" s="9"/>
      <c r="H397" s="9"/>
    </row>
    <row r="398" spans="1:8" x14ac:dyDescent="0.3">
      <c r="A398" s="9"/>
      <c r="B398" s="9"/>
      <c r="C398" s="9"/>
      <c r="D398" s="9"/>
      <c r="E398" s="9"/>
      <c r="F398" s="9"/>
      <c r="G398" s="9"/>
      <c r="H398" s="9"/>
    </row>
    <row r="399" spans="1:8" x14ac:dyDescent="0.3">
      <c r="A399" s="9"/>
      <c r="B399" s="9"/>
      <c r="C399" s="9"/>
      <c r="D399" s="9"/>
      <c r="E399" s="9"/>
      <c r="F399" s="9"/>
      <c r="G399" s="9"/>
      <c r="H399" s="9"/>
    </row>
    <row r="400" spans="1:8" x14ac:dyDescent="0.3">
      <c r="A400" s="9"/>
      <c r="B400" s="9"/>
      <c r="C400" s="9"/>
      <c r="D400" s="9"/>
      <c r="E400" s="9"/>
      <c r="F400" s="9"/>
      <c r="G400" s="9"/>
      <c r="H400" s="9"/>
    </row>
    <row r="401" spans="1:8" x14ac:dyDescent="0.3">
      <c r="A401" s="9"/>
      <c r="B401" s="9"/>
      <c r="C401" s="9"/>
      <c r="D401" s="9"/>
      <c r="E401" s="9"/>
      <c r="F401" s="9"/>
      <c r="G401" s="9"/>
      <c r="H401" s="9"/>
    </row>
    <row r="402" spans="1:8" x14ac:dyDescent="0.3">
      <c r="A402" s="9"/>
      <c r="B402" s="9"/>
      <c r="C402" s="9"/>
      <c r="D402" s="9"/>
      <c r="E402" s="9"/>
      <c r="F402" s="9"/>
      <c r="G402" s="9"/>
      <c r="H402" s="9"/>
    </row>
    <row r="403" spans="1:8" x14ac:dyDescent="0.3">
      <c r="A403" s="9"/>
      <c r="B403" s="9"/>
      <c r="C403" s="9"/>
      <c r="D403" s="9"/>
      <c r="E403" s="9"/>
      <c r="F403" s="9"/>
      <c r="G403" s="9"/>
      <c r="H403" s="9"/>
    </row>
    <row r="404" spans="1:8" x14ac:dyDescent="0.3">
      <c r="A404" s="9"/>
      <c r="B404" s="9"/>
      <c r="C404" s="9"/>
      <c r="D404" s="9"/>
      <c r="E404" s="9"/>
      <c r="F404" s="9"/>
      <c r="G404" s="9"/>
      <c r="H404" s="9"/>
    </row>
    <row r="405" spans="1:8" x14ac:dyDescent="0.3">
      <c r="A405" s="9"/>
      <c r="B405" s="9"/>
      <c r="C405" s="9"/>
      <c r="D405" s="9"/>
      <c r="E405" s="9"/>
      <c r="F405" s="9"/>
      <c r="G405" s="9"/>
      <c r="H405" s="9"/>
    </row>
    <row r="406" spans="1:8" x14ac:dyDescent="0.3">
      <c r="A406" s="9"/>
      <c r="B406" s="9"/>
      <c r="C406" s="9"/>
      <c r="D406" s="9"/>
      <c r="E406" s="9"/>
      <c r="F406" s="9"/>
      <c r="G406" s="9"/>
      <c r="H406" s="9"/>
    </row>
    <row r="407" spans="1:8" x14ac:dyDescent="0.3">
      <c r="A407" s="9"/>
      <c r="B407" s="9"/>
      <c r="C407" s="9"/>
      <c r="D407" s="9"/>
      <c r="E407" s="9"/>
      <c r="F407" s="9"/>
      <c r="G407" s="9"/>
      <c r="H407" s="9"/>
    </row>
    <row r="408" spans="1:8" x14ac:dyDescent="0.3">
      <c r="A408" s="9"/>
      <c r="B408" s="9"/>
      <c r="C408" s="9"/>
      <c r="D408" s="9"/>
      <c r="E408" s="9"/>
      <c r="F408" s="9"/>
      <c r="G408" s="9"/>
      <c r="H408" s="9"/>
    </row>
    <row r="409" spans="1:8" x14ac:dyDescent="0.3">
      <c r="A409" s="9"/>
      <c r="B409" s="9"/>
      <c r="C409" s="9"/>
      <c r="D409" s="9"/>
      <c r="E409" s="9"/>
      <c r="F409" s="9"/>
      <c r="G409" s="9"/>
      <c r="H409" s="9"/>
    </row>
    <row r="410" spans="1:8" x14ac:dyDescent="0.3">
      <c r="A410" s="9"/>
      <c r="B410" s="9"/>
      <c r="C410" s="9"/>
      <c r="D410" s="9"/>
      <c r="E410" s="9"/>
      <c r="F410" s="9"/>
      <c r="G410" s="9"/>
      <c r="H410" s="9"/>
    </row>
    <row r="411" spans="1:8" x14ac:dyDescent="0.3">
      <c r="A411" s="9"/>
      <c r="B411" s="9"/>
      <c r="C411" s="9"/>
      <c r="D411" s="9"/>
      <c r="E411" s="9"/>
      <c r="F411" s="9"/>
      <c r="G411" s="9"/>
      <c r="H411" s="9"/>
    </row>
    <row r="412" spans="1:8" x14ac:dyDescent="0.3">
      <c r="A412" s="9"/>
      <c r="B412" s="9"/>
      <c r="C412" s="9"/>
      <c r="D412" s="9"/>
      <c r="E412" s="9"/>
      <c r="F412" s="9"/>
      <c r="G412" s="9"/>
      <c r="H412" s="9"/>
    </row>
  </sheetData>
  <mergeCells count="8">
    <mergeCell ref="A1:H1"/>
    <mergeCell ref="A3:B3"/>
    <mergeCell ref="C3:C4"/>
    <mergeCell ref="D3:D4"/>
    <mergeCell ref="E3:E4"/>
    <mergeCell ref="F3:F4"/>
    <mergeCell ref="G3:G4"/>
    <mergeCell ref="H3:H4"/>
  </mergeCells>
  <pageMargins left="0.7" right="0.7" top="0.75" bottom="0.75" header="0.3" footer="0.3"/>
  <pageSetup orientation="portrait" horizontalDpi="360" verticalDpi="36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4BD8F-5E7F-46B7-9574-0F9A4C995EF4}">
  <dimension ref="A1:H412"/>
  <sheetViews>
    <sheetView zoomScale="70" zoomScaleNormal="70" workbookViewId="0">
      <selection activeCell="E13" sqref="E13"/>
    </sheetView>
  </sheetViews>
  <sheetFormatPr defaultRowHeight="20.25" x14ac:dyDescent="0.3"/>
  <cols>
    <col min="1" max="2" width="20.7109375" style="1" customWidth="1"/>
    <col min="3" max="3" width="15.7109375" style="1" customWidth="1"/>
    <col min="4" max="7" width="80.7109375" style="1" customWidth="1"/>
    <col min="8" max="8" width="45.7109375" style="1" customWidth="1"/>
    <col min="9" max="16384" width="9.140625" style="1"/>
  </cols>
  <sheetData>
    <row r="1" spans="1:8" ht="30" x14ac:dyDescent="0.4">
      <c r="A1" s="109" t="s">
        <v>120</v>
      </c>
      <c r="B1" s="109"/>
      <c r="C1" s="109"/>
      <c r="D1" s="109"/>
      <c r="E1" s="109"/>
      <c r="F1" s="109"/>
      <c r="G1" s="109"/>
      <c r="H1" s="109"/>
    </row>
    <row r="3" spans="1:8" x14ac:dyDescent="0.3">
      <c r="A3" s="110" t="s">
        <v>1</v>
      </c>
      <c r="B3" s="110"/>
      <c r="C3" s="110" t="s">
        <v>4</v>
      </c>
      <c r="D3" s="110" t="s">
        <v>121</v>
      </c>
      <c r="E3" s="110" t="s">
        <v>103</v>
      </c>
      <c r="F3" s="110"/>
      <c r="G3" s="110" t="s">
        <v>104</v>
      </c>
      <c r="H3" s="110" t="s">
        <v>11</v>
      </c>
    </row>
    <row r="4" spans="1:8" x14ac:dyDescent="0.3">
      <c r="A4" s="4" t="s">
        <v>2</v>
      </c>
      <c r="B4" s="4" t="s">
        <v>3</v>
      </c>
      <c r="C4" s="110"/>
      <c r="D4" s="110"/>
      <c r="E4" s="110"/>
      <c r="F4" s="110"/>
      <c r="G4" s="110"/>
      <c r="H4" s="110"/>
    </row>
    <row r="5" spans="1:8" ht="30" customHeight="1" x14ac:dyDescent="0.3">
      <c r="A5" s="7"/>
      <c r="B5" s="8"/>
      <c r="C5" s="8"/>
      <c r="D5" s="6"/>
      <c r="E5" s="7"/>
      <c r="F5" s="23"/>
      <c r="G5" s="23"/>
      <c r="H5" s="9"/>
    </row>
    <row r="6" spans="1:8" ht="30" customHeight="1" x14ac:dyDescent="0.3">
      <c r="A6" s="7"/>
      <c r="B6" s="8"/>
      <c r="C6" s="8"/>
      <c r="D6" s="6"/>
      <c r="E6" s="7"/>
      <c r="F6" s="23"/>
      <c r="G6" s="23"/>
      <c r="H6" s="9"/>
    </row>
    <row r="7" spans="1:8" ht="30" customHeight="1" x14ac:dyDescent="0.3">
      <c r="A7" s="8"/>
      <c r="B7" s="8"/>
      <c r="C7" s="8"/>
      <c r="D7" s="6"/>
      <c r="E7" s="7"/>
      <c r="F7" s="23"/>
      <c r="G7" s="23"/>
      <c r="H7" s="9"/>
    </row>
    <row r="8" spans="1:8" ht="30" customHeight="1" x14ac:dyDescent="0.3">
      <c r="A8" s="8"/>
      <c r="B8" s="8"/>
      <c r="C8" s="8"/>
      <c r="D8" s="6"/>
      <c r="E8" s="7"/>
      <c r="F8" s="23"/>
      <c r="G8" s="23"/>
      <c r="H8" s="9"/>
    </row>
    <row r="9" spans="1:8" ht="30" customHeight="1" x14ac:dyDescent="0.3">
      <c r="A9" s="7"/>
      <c r="B9" s="8"/>
      <c r="C9" s="8"/>
      <c r="D9" s="6"/>
      <c r="E9" s="7"/>
      <c r="F9" s="23"/>
      <c r="G9" s="23"/>
      <c r="H9" s="9"/>
    </row>
    <row r="10" spans="1:8" s="26" customFormat="1" ht="30" customHeight="1" x14ac:dyDescent="0.3">
      <c r="A10" s="14"/>
      <c r="B10" s="15"/>
      <c r="C10" s="8"/>
      <c r="D10" s="16"/>
      <c r="E10" s="14"/>
      <c r="F10" s="24"/>
      <c r="G10" s="24"/>
      <c r="H10" s="20"/>
    </row>
    <row r="11" spans="1:8" ht="30" customHeight="1" x14ac:dyDescent="0.3">
      <c r="A11" s="8"/>
      <c r="B11" s="8"/>
      <c r="C11" s="8"/>
      <c r="D11" s="6"/>
      <c r="E11" s="7"/>
      <c r="F11" s="23"/>
      <c r="G11" s="23"/>
      <c r="H11" s="9"/>
    </row>
    <row r="12" spans="1:8" ht="30" customHeight="1" x14ac:dyDescent="0.3">
      <c r="A12" s="8"/>
      <c r="B12" s="8"/>
      <c r="C12" s="8"/>
      <c r="D12" s="6"/>
      <c r="E12" s="7"/>
      <c r="F12" s="23"/>
      <c r="G12" s="23"/>
      <c r="H12" s="9"/>
    </row>
    <row r="13" spans="1:8" ht="30" customHeight="1" x14ac:dyDescent="0.3">
      <c r="A13" s="8"/>
      <c r="B13" s="8"/>
      <c r="C13" s="8"/>
      <c r="D13" s="6"/>
      <c r="E13" s="7"/>
      <c r="F13" s="23"/>
      <c r="G13" s="23"/>
      <c r="H13" s="9"/>
    </row>
    <row r="14" spans="1:8" ht="30" customHeight="1" x14ac:dyDescent="0.3">
      <c r="A14" s="8"/>
      <c r="B14" s="8"/>
      <c r="C14" s="8"/>
      <c r="D14" s="6"/>
      <c r="E14" s="7"/>
      <c r="F14" s="23"/>
      <c r="G14" s="23"/>
      <c r="H14" s="9"/>
    </row>
    <row r="15" spans="1:8" ht="30" customHeight="1" x14ac:dyDescent="0.3">
      <c r="A15" s="8"/>
      <c r="B15" s="8"/>
      <c r="C15" s="8"/>
      <c r="D15" s="6"/>
      <c r="E15" s="7"/>
      <c r="F15" s="23"/>
      <c r="G15" s="23"/>
      <c r="H15" s="9"/>
    </row>
    <row r="16" spans="1:8" ht="30" customHeight="1" x14ac:dyDescent="0.3">
      <c r="A16" s="8"/>
      <c r="B16" s="8"/>
      <c r="C16" s="8"/>
      <c r="D16" s="6"/>
      <c r="E16" s="7"/>
      <c r="F16" s="23"/>
      <c r="G16" s="23"/>
      <c r="H16" s="9"/>
    </row>
    <row r="17" spans="1:8" ht="30" customHeight="1" x14ac:dyDescent="0.3">
      <c r="A17" s="8"/>
      <c r="B17" s="8"/>
      <c r="C17" s="8"/>
      <c r="D17" s="6"/>
      <c r="E17" s="7"/>
      <c r="F17" s="23"/>
      <c r="G17" s="23"/>
      <c r="H17" s="9"/>
    </row>
    <row r="18" spans="1:8" ht="30" customHeight="1" x14ac:dyDescent="0.3">
      <c r="A18" s="8"/>
      <c r="B18" s="8"/>
      <c r="C18" s="8"/>
      <c r="D18" s="6"/>
      <c r="E18" s="7"/>
      <c r="F18" s="23"/>
      <c r="G18" s="23"/>
      <c r="H18" s="9"/>
    </row>
    <row r="19" spans="1:8" ht="30" customHeight="1" x14ac:dyDescent="0.3">
      <c r="A19" s="8"/>
      <c r="B19" s="8"/>
      <c r="C19" s="8"/>
      <c r="D19" s="6"/>
      <c r="E19" s="7"/>
      <c r="F19" s="23"/>
      <c r="G19" s="23"/>
      <c r="H19" s="9"/>
    </row>
    <row r="20" spans="1:8" ht="30" customHeight="1" x14ac:dyDescent="0.3">
      <c r="A20" s="8"/>
      <c r="B20" s="8"/>
      <c r="C20" s="8"/>
      <c r="D20" s="6"/>
      <c r="E20" s="7"/>
      <c r="F20" s="23"/>
      <c r="G20" s="23"/>
      <c r="H20" s="9"/>
    </row>
    <row r="21" spans="1:8" ht="30" customHeight="1" x14ac:dyDescent="0.3">
      <c r="A21" s="8"/>
      <c r="B21" s="8"/>
      <c r="C21" s="8"/>
      <c r="D21" s="6"/>
      <c r="E21" s="7"/>
      <c r="F21" s="23"/>
      <c r="G21" s="23"/>
      <c r="H21" s="9"/>
    </row>
    <row r="22" spans="1:8" ht="30" customHeight="1" x14ac:dyDescent="0.3">
      <c r="A22" s="8"/>
      <c r="B22" s="8"/>
      <c r="C22" s="8"/>
      <c r="D22" s="6"/>
      <c r="E22" s="7"/>
      <c r="F22" s="23"/>
      <c r="G22" s="23"/>
      <c r="H22" s="9"/>
    </row>
    <row r="23" spans="1:8" ht="30" customHeight="1" x14ac:dyDescent="0.3">
      <c r="A23" s="8"/>
      <c r="B23" s="8"/>
      <c r="C23" s="8"/>
      <c r="D23" s="6"/>
      <c r="E23" s="7"/>
      <c r="F23" s="23"/>
      <c r="G23" s="23"/>
      <c r="H23" s="9"/>
    </row>
    <row r="24" spans="1:8" ht="30" customHeight="1" x14ac:dyDescent="0.3">
      <c r="A24" s="8"/>
      <c r="B24" s="8"/>
      <c r="C24" s="8"/>
      <c r="D24" s="6"/>
      <c r="E24" s="7"/>
      <c r="F24" s="23"/>
      <c r="G24" s="23"/>
      <c r="H24" s="9"/>
    </row>
    <row r="25" spans="1:8" ht="30" customHeight="1" x14ac:dyDescent="0.3">
      <c r="A25" s="8"/>
      <c r="B25" s="8"/>
      <c r="C25" s="8"/>
      <c r="D25" s="6"/>
      <c r="E25" s="7"/>
      <c r="F25" s="23"/>
      <c r="G25" s="23"/>
      <c r="H25" s="9"/>
    </row>
    <row r="26" spans="1:8" ht="30" customHeight="1" x14ac:dyDescent="0.3">
      <c r="A26" s="8"/>
      <c r="B26" s="8"/>
      <c r="C26" s="8"/>
      <c r="D26" s="6"/>
      <c r="E26" s="7"/>
      <c r="F26" s="23"/>
      <c r="G26" s="23"/>
      <c r="H26" s="9"/>
    </row>
    <row r="27" spans="1:8" ht="30" customHeight="1" x14ac:dyDescent="0.3">
      <c r="A27" s="8"/>
      <c r="B27" s="8"/>
      <c r="C27" s="8"/>
      <c r="D27" s="6"/>
      <c r="E27" s="7"/>
      <c r="F27" s="23"/>
      <c r="G27" s="23"/>
      <c r="H27" s="9"/>
    </row>
    <row r="28" spans="1:8" ht="30" customHeight="1" x14ac:dyDescent="0.3">
      <c r="A28" s="8"/>
      <c r="B28" s="8"/>
      <c r="C28" s="8"/>
      <c r="D28" s="6"/>
      <c r="E28" s="7"/>
      <c r="F28" s="23"/>
      <c r="G28" s="23"/>
      <c r="H28" s="9"/>
    </row>
    <row r="29" spans="1:8" ht="30" customHeight="1" x14ac:dyDescent="0.3">
      <c r="A29" s="8"/>
      <c r="B29" s="8"/>
      <c r="C29" s="8"/>
      <c r="D29" s="6"/>
      <c r="E29" s="7"/>
      <c r="F29" s="21"/>
      <c r="G29" s="21"/>
      <c r="H29" s="9"/>
    </row>
    <row r="30" spans="1:8" ht="30" customHeight="1" x14ac:dyDescent="0.3">
      <c r="A30" s="8"/>
      <c r="B30" s="8"/>
      <c r="C30" s="8"/>
      <c r="D30" s="6"/>
      <c r="E30" s="7"/>
      <c r="F30" s="21"/>
      <c r="G30" s="21"/>
      <c r="H30" s="9"/>
    </row>
    <row r="31" spans="1:8" ht="30" customHeight="1" x14ac:dyDescent="0.3">
      <c r="A31" s="8"/>
      <c r="B31" s="8"/>
      <c r="C31" s="8"/>
      <c r="D31" s="6"/>
      <c r="E31" s="8"/>
      <c r="F31" s="21"/>
      <c r="G31" s="21"/>
      <c r="H31" s="9"/>
    </row>
    <row r="32" spans="1:8" ht="30" customHeight="1" x14ac:dyDescent="0.3">
      <c r="A32" s="8"/>
      <c r="B32" s="8"/>
      <c r="C32" s="8"/>
      <c r="D32" s="6"/>
      <c r="E32" s="8"/>
      <c r="F32" s="25"/>
      <c r="G32" s="25"/>
      <c r="H32" s="9"/>
    </row>
    <row r="33" spans="1:8" ht="30" customHeight="1" x14ac:dyDescent="0.3">
      <c r="A33" s="8"/>
      <c r="B33" s="8"/>
      <c r="C33" s="8"/>
      <c r="D33" s="6"/>
      <c r="E33" s="8"/>
      <c r="F33" s="21"/>
      <c r="G33" s="21"/>
      <c r="H33" s="9"/>
    </row>
    <row r="34" spans="1:8" ht="30" customHeight="1" x14ac:dyDescent="0.3">
      <c r="A34" s="8"/>
      <c r="B34" s="8"/>
      <c r="C34" s="8"/>
      <c r="D34" s="6"/>
      <c r="E34" s="8"/>
      <c r="F34" s="21"/>
      <c r="G34" s="21"/>
      <c r="H34" s="9"/>
    </row>
    <row r="35" spans="1:8" ht="30" customHeight="1" x14ac:dyDescent="0.3">
      <c r="A35" s="8"/>
      <c r="B35" s="8"/>
      <c r="C35" s="8"/>
      <c r="D35" s="6"/>
      <c r="E35" s="8"/>
      <c r="F35" s="21"/>
      <c r="G35" s="21"/>
      <c r="H35" s="9"/>
    </row>
    <row r="36" spans="1:8" ht="30" customHeight="1" x14ac:dyDescent="0.3">
      <c r="A36" s="8"/>
      <c r="B36" s="8"/>
      <c r="C36" s="8"/>
      <c r="D36" s="6"/>
      <c r="E36" s="8"/>
      <c r="F36" s="21"/>
      <c r="G36" s="21"/>
      <c r="H36" s="9"/>
    </row>
    <row r="37" spans="1:8" ht="30" customHeight="1" x14ac:dyDescent="0.3">
      <c r="A37" s="8"/>
      <c r="B37" s="8"/>
      <c r="C37" s="8"/>
      <c r="D37" s="6"/>
      <c r="E37" s="8"/>
      <c r="F37" s="21"/>
      <c r="G37" s="21"/>
      <c r="H37" s="9"/>
    </row>
    <row r="38" spans="1:8" ht="30" customHeight="1" x14ac:dyDescent="0.3">
      <c r="A38" s="8"/>
      <c r="B38" s="8"/>
      <c r="C38" s="8"/>
      <c r="D38" s="6"/>
      <c r="E38" s="8"/>
      <c r="F38" s="21"/>
      <c r="G38" s="21"/>
      <c r="H38" s="9"/>
    </row>
    <row r="39" spans="1:8" ht="30" customHeight="1" x14ac:dyDescent="0.3">
      <c r="A39" s="8"/>
      <c r="B39" s="8"/>
      <c r="C39" s="8"/>
      <c r="D39" s="6"/>
      <c r="E39" s="8"/>
      <c r="F39" s="21"/>
      <c r="G39" s="21"/>
      <c r="H39" s="9"/>
    </row>
    <row r="40" spans="1:8" ht="30" customHeight="1" x14ac:dyDescent="0.3">
      <c r="A40" s="8"/>
      <c r="B40" s="8"/>
      <c r="C40" s="8"/>
      <c r="D40" s="6"/>
      <c r="E40" s="8"/>
      <c r="F40" s="21"/>
      <c r="G40" s="21"/>
      <c r="H40" s="9"/>
    </row>
    <row r="41" spans="1:8" ht="30" customHeight="1" x14ac:dyDescent="0.3">
      <c r="A41" s="8"/>
      <c r="B41" s="8"/>
      <c r="C41" s="8"/>
      <c r="D41" s="6"/>
      <c r="E41" s="8"/>
      <c r="F41" s="21"/>
      <c r="G41" s="21"/>
      <c r="H41" s="9"/>
    </row>
    <row r="42" spans="1:8" ht="30" customHeight="1" x14ac:dyDescent="0.3">
      <c r="A42" s="8"/>
      <c r="B42" s="8"/>
      <c r="C42" s="8"/>
      <c r="D42" s="6"/>
      <c r="E42" s="8"/>
      <c r="F42" s="21"/>
      <c r="G42" s="21"/>
      <c r="H42" s="9"/>
    </row>
    <row r="43" spans="1:8" ht="30" customHeight="1" x14ac:dyDescent="0.3">
      <c r="A43" s="8"/>
      <c r="B43" s="8"/>
      <c r="C43" s="8"/>
      <c r="D43" s="6"/>
      <c r="E43" s="8"/>
      <c r="F43" s="21"/>
      <c r="G43" s="21"/>
      <c r="H43" s="9"/>
    </row>
    <row r="44" spans="1:8" ht="30" customHeight="1" x14ac:dyDescent="0.3">
      <c r="A44" s="8"/>
      <c r="B44" s="8"/>
      <c r="C44" s="8"/>
      <c r="D44" s="6"/>
      <c r="E44" s="8"/>
      <c r="F44" s="21"/>
      <c r="G44" s="21"/>
      <c r="H44" s="9"/>
    </row>
    <row r="45" spans="1:8" ht="30" customHeight="1" x14ac:dyDescent="0.3">
      <c r="A45" s="8"/>
      <c r="B45" s="8"/>
      <c r="C45" s="8"/>
      <c r="D45" s="6"/>
      <c r="E45" s="8"/>
      <c r="F45" s="21"/>
      <c r="G45" s="21"/>
      <c r="H45" s="9"/>
    </row>
    <row r="46" spans="1:8" ht="30" customHeight="1" x14ac:dyDescent="0.3">
      <c r="A46" s="8"/>
      <c r="B46" s="8"/>
      <c r="C46" s="8"/>
      <c r="D46" s="6"/>
      <c r="E46" s="8"/>
      <c r="F46" s="21"/>
      <c r="G46" s="21"/>
      <c r="H46" s="9"/>
    </row>
    <row r="47" spans="1:8" ht="30" customHeight="1" x14ac:dyDescent="0.3">
      <c r="A47" s="8"/>
      <c r="B47" s="8"/>
      <c r="C47" s="8"/>
      <c r="D47" s="6"/>
      <c r="E47" s="8"/>
      <c r="F47" s="21"/>
      <c r="G47" s="21"/>
      <c r="H47" s="9"/>
    </row>
    <row r="48" spans="1:8" ht="30" customHeight="1" x14ac:dyDescent="0.3">
      <c r="A48" s="8"/>
      <c r="B48" s="8"/>
      <c r="C48" s="8"/>
      <c r="D48" s="6"/>
      <c r="E48" s="8"/>
      <c r="F48" s="21"/>
      <c r="G48" s="21"/>
      <c r="H48" s="9"/>
    </row>
    <row r="49" spans="1:8" ht="30" customHeight="1" x14ac:dyDescent="0.3">
      <c r="A49" s="8"/>
      <c r="B49" s="8"/>
      <c r="C49" s="8"/>
      <c r="D49" s="6"/>
      <c r="E49" s="8"/>
      <c r="F49" s="21"/>
      <c r="G49" s="21"/>
      <c r="H49" s="9"/>
    </row>
    <row r="50" spans="1:8" ht="30" customHeight="1" x14ac:dyDescent="0.3">
      <c r="A50" s="8"/>
      <c r="B50" s="8"/>
      <c r="C50" s="8"/>
      <c r="D50" s="6"/>
      <c r="E50" s="8"/>
      <c r="F50" s="21"/>
      <c r="G50" s="21"/>
      <c r="H50" s="9"/>
    </row>
    <row r="51" spans="1:8" ht="30" customHeight="1" x14ac:dyDescent="0.3">
      <c r="A51" s="8"/>
      <c r="B51" s="8"/>
      <c r="C51" s="8"/>
      <c r="D51" s="6"/>
      <c r="E51" s="8"/>
      <c r="F51" s="21"/>
      <c r="G51" s="21"/>
      <c r="H51" s="9"/>
    </row>
    <row r="52" spans="1:8" ht="30" customHeight="1" x14ac:dyDescent="0.3">
      <c r="A52" s="8"/>
      <c r="B52" s="8"/>
      <c r="C52" s="8"/>
      <c r="D52" s="6"/>
      <c r="E52" s="8"/>
      <c r="F52" s="21"/>
      <c r="G52" s="21"/>
      <c r="H52" s="9"/>
    </row>
    <row r="53" spans="1:8" ht="30" customHeight="1" x14ac:dyDescent="0.3">
      <c r="A53" s="8"/>
      <c r="B53" s="8"/>
      <c r="C53" s="8"/>
      <c r="D53" s="6"/>
      <c r="E53" s="8"/>
      <c r="F53" s="21"/>
      <c r="G53" s="21"/>
      <c r="H53" s="9"/>
    </row>
    <row r="54" spans="1:8" ht="30" customHeight="1" x14ac:dyDescent="0.3">
      <c r="A54" s="8"/>
      <c r="B54" s="8"/>
      <c r="C54" s="8"/>
      <c r="D54" s="6"/>
      <c r="E54" s="8"/>
      <c r="F54" s="21"/>
      <c r="G54" s="21"/>
      <c r="H54" s="9"/>
    </row>
    <row r="55" spans="1:8" ht="30" customHeight="1" x14ac:dyDescent="0.3">
      <c r="A55" s="8"/>
      <c r="B55" s="8"/>
      <c r="C55" s="8"/>
      <c r="D55" s="6"/>
      <c r="E55" s="8"/>
      <c r="F55" s="21"/>
      <c r="G55" s="21"/>
      <c r="H55" s="9"/>
    </row>
    <row r="56" spans="1:8" ht="30" customHeight="1" x14ac:dyDescent="0.3">
      <c r="A56" s="8"/>
      <c r="B56" s="8"/>
      <c r="C56" s="8"/>
      <c r="D56" s="6"/>
      <c r="E56" s="8"/>
      <c r="F56" s="21"/>
      <c r="G56" s="21"/>
      <c r="H56" s="9"/>
    </row>
    <row r="57" spans="1:8" ht="30" customHeight="1" x14ac:dyDescent="0.3">
      <c r="A57" s="8"/>
      <c r="B57" s="8"/>
      <c r="C57" s="8"/>
      <c r="D57" s="6"/>
      <c r="E57" s="8"/>
      <c r="F57" s="21"/>
      <c r="G57" s="21"/>
      <c r="H57" s="9"/>
    </row>
    <row r="58" spans="1:8" ht="30" customHeight="1" x14ac:dyDescent="0.3">
      <c r="A58" s="8"/>
      <c r="B58" s="8"/>
      <c r="C58" s="8"/>
      <c r="D58" s="6"/>
      <c r="E58" s="8"/>
      <c r="F58" s="21"/>
      <c r="G58" s="21"/>
      <c r="H58" s="9"/>
    </row>
    <row r="59" spans="1:8" ht="30" customHeight="1" x14ac:dyDescent="0.3">
      <c r="A59" s="8"/>
      <c r="B59" s="8"/>
      <c r="C59" s="8"/>
      <c r="D59" s="6"/>
      <c r="E59" s="8"/>
      <c r="F59" s="21"/>
      <c r="G59" s="21"/>
      <c r="H59" s="9"/>
    </row>
    <row r="60" spans="1:8" ht="30" customHeight="1" x14ac:dyDescent="0.3">
      <c r="A60" s="8"/>
      <c r="B60" s="8"/>
      <c r="C60" s="8"/>
      <c r="D60" s="6"/>
      <c r="E60" s="8"/>
      <c r="F60" s="21"/>
      <c r="G60" s="21"/>
      <c r="H60" s="9"/>
    </row>
    <row r="61" spans="1:8" ht="30" customHeight="1" x14ac:dyDescent="0.3">
      <c r="A61" s="8"/>
      <c r="B61" s="8"/>
      <c r="C61" s="8"/>
      <c r="D61" s="6"/>
      <c r="E61" s="8"/>
      <c r="F61" s="21"/>
      <c r="G61" s="21"/>
      <c r="H61" s="9"/>
    </row>
    <row r="62" spans="1:8" ht="30" customHeight="1" x14ac:dyDescent="0.3">
      <c r="A62" s="8"/>
      <c r="B62" s="8"/>
      <c r="C62" s="8"/>
      <c r="D62" s="6"/>
      <c r="E62" s="8"/>
      <c r="F62" s="25"/>
      <c r="G62" s="25"/>
      <c r="H62" s="9"/>
    </row>
    <row r="63" spans="1:8" ht="30" customHeight="1" x14ac:dyDescent="0.3">
      <c r="A63" s="8"/>
      <c r="B63" s="8"/>
      <c r="C63" s="8"/>
      <c r="D63" s="6"/>
      <c r="E63" s="8"/>
      <c r="F63" s="25"/>
      <c r="G63" s="25"/>
      <c r="H63" s="9"/>
    </row>
    <row r="64" spans="1:8" ht="30" customHeight="1" x14ac:dyDescent="0.3">
      <c r="A64" s="8"/>
      <c r="B64" s="8"/>
      <c r="C64" s="8"/>
      <c r="D64" s="6"/>
      <c r="E64" s="8"/>
      <c r="F64" s="21"/>
      <c r="G64" s="21"/>
      <c r="H64" s="9"/>
    </row>
    <row r="65" spans="1:8" ht="30" customHeight="1" x14ac:dyDescent="0.3">
      <c r="A65" s="8"/>
      <c r="B65" s="8"/>
      <c r="C65" s="8"/>
      <c r="D65" s="6"/>
      <c r="E65" s="8"/>
      <c r="F65" s="21"/>
      <c r="G65" s="21"/>
      <c r="H65" s="9"/>
    </row>
    <row r="66" spans="1:8" ht="30" customHeight="1" x14ac:dyDescent="0.3">
      <c r="A66" s="8"/>
      <c r="B66" s="8"/>
      <c r="C66" s="8"/>
      <c r="D66" s="6"/>
      <c r="E66" s="8"/>
      <c r="F66" s="21"/>
      <c r="G66" s="21"/>
      <c r="H66" s="9"/>
    </row>
    <row r="67" spans="1:8" ht="30" customHeight="1" x14ac:dyDescent="0.3">
      <c r="A67" s="8"/>
      <c r="B67" s="8"/>
      <c r="C67" s="8"/>
      <c r="D67" s="6"/>
      <c r="E67" s="8"/>
      <c r="F67" s="21"/>
      <c r="G67" s="21"/>
      <c r="H67" s="9"/>
    </row>
    <row r="68" spans="1:8" ht="30" customHeight="1" x14ac:dyDescent="0.3">
      <c r="A68" s="8"/>
      <c r="B68" s="8"/>
      <c r="C68" s="8"/>
      <c r="D68" s="6"/>
      <c r="E68" s="8"/>
      <c r="F68" s="21"/>
      <c r="G68" s="21"/>
      <c r="H68" s="9"/>
    </row>
    <row r="69" spans="1:8" ht="30" customHeight="1" x14ac:dyDescent="0.3">
      <c r="A69" s="8"/>
      <c r="B69" s="8"/>
      <c r="C69" s="8"/>
      <c r="D69" s="6"/>
      <c r="E69" s="8"/>
      <c r="F69" s="21"/>
      <c r="G69" s="21"/>
      <c r="H69" s="9"/>
    </row>
    <row r="70" spans="1:8" ht="30" customHeight="1" x14ac:dyDescent="0.3">
      <c r="A70" s="8"/>
      <c r="B70" s="8"/>
      <c r="C70" s="8"/>
      <c r="D70" s="6"/>
      <c r="E70" s="8"/>
      <c r="F70" s="21"/>
      <c r="G70" s="21"/>
      <c r="H70" s="9"/>
    </row>
    <row r="71" spans="1:8" ht="30" customHeight="1" x14ac:dyDescent="0.3">
      <c r="A71" s="8"/>
      <c r="B71" s="8"/>
      <c r="C71" s="8"/>
      <c r="D71" s="6"/>
      <c r="E71" s="8"/>
      <c r="F71" s="21"/>
      <c r="G71" s="21"/>
      <c r="H71" s="9"/>
    </row>
    <row r="72" spans="1:8" ht="30" customHeight="1" x14ac:dyDescent="0.3">
      <c r="A72" s="8"/>
      <c r="B72" s="8"/>
      <c r="C72" s="8"/>
      <c r="D72" s="6"/>
      <c r="E72" s="8"/>
      <c r="F72" s="21"/>
      <c r="G72" s="21"/>
      <c r="H72" s="9"/>
    </row>
    <row r="73" spans="1:8" ht="30" customHeight="1" x14ac:dyDescent="0.3">
      <c r="A73" s="8"/>
      <c r="B73" s="8"/>
      <c r="C73" s="8"/>
      <c r="D73" s="6"/>
      <c r="E73" s="8"/>
      <c r="F73" s="25"/>
      <c r="G73" s="25"/>
      <c r="H73" s="9"/>
    </row>
    <row r="74" spans="1:8" ht="30" customHeight="1" x14ac:dyDescent="0.3">
      <c r="A74" s="8"/>
      <c r="B74" s="8"/>
      <c r="C74" s="8"/>
      <c r="D74" s="6"/>
      <c r="E74" s="8"/>
      <c r="F74" s="21"/>
      <c r="G74" s="21"/>
      <c r="H74" s="9"/>
    </row>
    <row r="75" spans="1:8" ht="30" customHeight="1" x14ac:dyDescent="0.3">
      <c r="A75" s="8"/>
      <c r="B75" s="8"/>
      <c r="C75" s="8"/>
      <c r="D75" s="6"/>
      <c r="E75" s="8"/>
      <c r="F75" s="25"/>
      <c r="G75" s="25"/>
      <c r="H75" s="9"/>
    </row>
    <row r="76" spans="1:8" ht="30" customHeight="1" x14ac:dyDescent="0.3">
      <c r="A76" s="8"/>
      <c r="B76" s="8"/>
      <c r="C76" s="8"/>
      <c r="D76" s="6"/>
      <c r="E76" s="8"/>
      <c r="F76" s="21"/>
      <c r="G76" s="21"/>
      <c r="H76" s="9"/>
    </row>
    <row r="77" spans="1:8" ht="30" customHeight="1" x14ac:dyDescent="0.3">
      <c r="A77" s="8"/>
      <c r="B77" s="8"/>
      <c r="C77" s="8"/>
      <c r="D77" s="6"/>
      <c r="E77" s="8"/>
      <c r="F77" s="21"/>
      <c r="G77" s="21"/>
      <c r="H77" s="9"/>
    </row>
    <row r="78" spans="1:8" ht="30" customHeight="1" x14ac:dyDescent="0.3">
      <c r="A78" s="8"/>
      <c r="B78" s="8"/>
      <c r="C78" s="8"/>
      <c r="D78" s="6"/>
      <c r="E78" s="8"/>
      <c r="F78" s="21"/>
      <c r="G78" s="21"/>
      <c r="H78" s="9"/>
    </row>
    <row r="79" spans="1:8" ht="30" customHeight="1" x14ac:dyDescent="0.3">
      <c r="A79" s="8"/>
      <c r="B79" s="8"/>
      <c r="C79" s="8"/>
      <c r="D79" s="6"/>
      <c r="E79" s="8"/>
      <c r="F79" s="21"/>
      <c r="G79" s="21"/>
      <c r="H79" s="9"/>
    </row>
    <row r="80" spans="1:8" ht="30" customHeight="1" x14ac:dyDescent="0.3">
      <c r="A80" s="8"/>
      <c r="B80" s="8"/>
      <c r="C80" s="8"/>
      <c r="D80" s="6"/>
      <c r="E80" s="8"/>
      <c r="F80" s="21"/>
      <c r="G80" s="21"/>
      <c r="H80" s="9"/>
    </row>
    <row r="81" spans="1:8" ht="30" customHeight="1" x14ac:dyDescent="0.3">
      <c r="A81" s="8"/>
      <c r="B81" s="8"/>
      <c r="C81" s="8"/>
      <c r="D81" s="6"/>
      <c r="E81" s="8"/>
      <c r="F81" s="21"/>
      <c r="G81" s="21"/>
      <c r="H81" s="9"/>
    </row>
    <row r="82" spans="1:8" ht="30" customHeight="1" x14ac:dyDescent="0.3">
      <c r="A82" s="8"/>
      <c r="B82" s="8"/>
      <c r="C82" s="8"/>
      <c r="D82" s="6"/>
      <c r="E82" s="8"/>
      <c r="F82" s="21"/>
      <c r="G82" s="21"/>
      <c r="H82" s="9"/>
    </row>
    <row r="83" spans="1:8" ht="30" customHeight="1" x14ac:dyDescent="0.3">
      <c r="A83" s="8"/>
      <c r="B83" s="8"/>
      <c r="C83" s="8"/>
      <c r="D83" s="6"/>
      <c r="E83" s="8"/>
      <c r="F83" s="21"/>
      <c r="G83" s="21"/>
      <c r="H83" s="9"/>
    </row>
    <row r="84" spans="1:8" ht="30" customHeight="1" x14ac:dyDescent="0.3">
      <c r="A84" s="8"/>
      <c r="B84" s="8"/>
      <c r="C84" s="8"/>
      <c r="D84" s="6"/>
      <c r="E84" s="8"/>
      <c r="F84" s="21"/>
      <c r="G84" s="21"/>
      <c r="H84" s="9"/>
    </row>
    <row r="85" spans="1:8" ht="30" customHeight="1" x14ac:dyDescent="0.3">
      <c r="A85" s="8"/>
      <c r="B85" s="8"/>
      <c r="C85" s="8"/>
      <c r="D85" s="6"/>
      <c r="E85" s="8"/>
      <c r="F85" s="21"/>
      <c r="G85" s="21"/>
      <c r="H85" s="9"/>
    </row>
    <row r="86" spans="1:8" ht="30" customHeight="1" x14ac:dyDescent="0.3">
      <c r="A86" s="8"/>
      <c r="B86" s="8"/>
      <c r="C86" s="8"/>
      <c r="D86" s="6"/>
      <c r="E86" s="8"/>
      <c r="F86" s="21"/>
      <c r="G86" s="21"/>
      <c r="H86" s="9"/>
    </row>
    <row r="87" spans="1:8" ht="30" customHeight="1" x14ac:dyDescent="0.3">
      <c r="A87" s="8"/>
      <c r="B87" s="8"/>
      <c r="C87" s="8"/>
      <c r="D87" s="6"/>
      <c r="E87" s="8"/>
      <c r="F87" s="21"/>
      <c r="G87" s="21"/>
      <c r="H87" s="9"/>
    </row>
    <row r="88" spans="1:8" ht="30" customHeight="1" x14ac:dyDescent="0.3">
      <c r="A88" s="8"/>
      <c r="B88" s="8"/>
      <c r="C88" s="8"/>
      <c r="D88" s="6"/>
      <c r="E88" s="8"/>
      <c r="F88" s="21"/>
      <c r="G88" s="21"/>
      <c r="H88" s="9"/>
    </row>
    <row r="89" spans="1:8" ht="30" customHeight="1" x14ac:dyDescent="0.3">
      <c r="A89" s="8"/>
      <c r="B89" s="8"/>
      <c r="C89" s="8"/>
      <c r="D89" s="6"/>
      <c r="E89" s="8"/>
      <c r="F89" s="21"/>
      <c r="G89" s="21"/>
      <c r="H89" s="9"/>
    </row>
    <row r="90" spans="1:8" ht="30" customHeight="1" x14ac:dyDescent="0.3">
      <c r="A90" s="8"/>
      <c r="B90" s="8"/>
      <c r="C90" s="8"/>
      <c r="D90" s="6"/>
      <c r="E90" s="8"/>
      <c r="F90" s="21"/>
      <c r="G90" s="21"/>
      <c r="H90" s="9"/>
    </row>
    <row r="91" spans="1:8" ht="30" customHeight="1" x14ac:dyDescent="0.3">
      <c r="A91" s="8"/>
      <c r="B91" s="8"/>
      <c r="C91" s="8"/>
      <c r="D91" s="6"/>
      <c r="E91" s="8"/>
      <c r="F91" s="21"/>
      <c r="G91" s="21"/>
      <c r="H91" s="9"/>
    </row>
    <row r="92" spans="1:8" ht="30" customHeight="1" x14ac:dyDescent="0.3">
      <c r="A92" s="8"/>
      <c r="B92" s="8"/>
      <c r="C92" s="8"/>
      <c r="D92" s="6"/>
      <c r="E92" s="8"/>
      <c r="F92" s="21"/>
      <c r="G92" s="21"/>
      <c r="H92" s="9"/>
    </row>
    <row r="93" spans="1:8" ht="30" customHeight="1" x14ac:dyDescent="0.3">
      <c r="A93" s="8"/>
      <c r="B93" s="8"/>
      <c r="C93" s="8"/>
      <c r="D93" s="6"/>
      <c r="E93" s="8"/>
      <c r="F93" s="21"/>
      <c r="G93" s="21"/>
      <c r="H93" s="9"/>
    </row>
    <row r="94" spans="1:8" ht="30" customHeight="1" x14ac:dyDescent="0.3">
      <c r="A94" s="8"/>
      <c r="B94" s="8"/>
      <c r="C94" s="8"/>
      <c r="D94" s="6"/>
      <c r="E94" s="8"/>
      <c r="F94" s="21"/>
      <c r="G94" s="21"/>
      <c r="H94" s="9"/>
    </row>
    <row r="95" spans="1:8" ht="30" customHeight="1" x14ac:dyDescent="0.3">
      <c r="A95" s="8"/>
      <c r="B95" s="8"/>
      <c r="C95" s="8"/>
      <c r="D95" s="6"/>
      <c r="E95" s="8"/>
      <c r="F95" s="21"/>
      <c r="G95" s="21"/>
      <c r="H95" s="9"/>
    </row>
    <row r="96" spans="1:8" ht="30" customHeight="1" x14ac:dyDescent="0.3">
      <c r="A96" s="8"/>
      <c r="B96" s="8"/>
      <c r="C96" s="8"/>
      <c r="D96" s="6"/>
      <c r="E96" s="8"/>
      <c r="F96" s="21"/>
      <c r="G96" s="21"/>
      <c r="H96" s="9"/>
    </row>
    <row r="97" spans="1:8" ht="30" customHeight="1" x14ac:dyDescent="0.3">
      <c r="A97" s="8"/>
      <c r="B97" s="8"/>
      <c r="C97" s="8"/>
      <c r="D97" s="6"/>
      <c r="E97" s="8"/>
      <c r="F97" s="21"/>
      <c r="G97" s="21"/>
      <c r="H97" s="9"/>
    </row>
    <row r="98" spans="1:8" ht="30" customHeight="1" x14ac:dyDescent="0.3">
      <c r="A98" s="8"/>
      <c r="B98" s="8"/>
      <c r="C98" s="8"/>
      <c r="D98" s="6"/>
      <c r="E98" s="8"/>
      <c r="F98" s="21"/>
      <c r="G98" s="21"/>
      <c r="H98" s="9"/>
    </row>
    <row r="99" spans="1:8" ht="30" customHeight="1" x14ac:dyDescent="0.3">
      <c r="A99" s="5"/>
      <c r="B99" s="3"/>
      <c r="C99" s="8"/>
      <c r="D99" s="6"/>
      <c r="E99" s="8"/>
      <c r="F99" s="21"/>
      <c r="G99" s="21"/>
      <c r="H99" s="9"/>
    </row>
    <row r="100" spans="1:8" ht="30" customHeight="1" x14ac:dyDescent="0.3">
      <c r="A100" s="5"/>
      <c r="B100" s="3"/>
      <c r="C100" s="8"/>
      <c r="D100" s="6"/>
      <c r="E100" s="8"/>
      <c r="F100" s="21"/>
      <c r="G100" s="21"/>
      <c r="H100" s="9"/>
    </row>
    <row r="101" spans="1:8" ht="30" customHeight="1" x14ac:dyDescent="0.3">
      <c r="A101" s="5"/>
      <c r="B101" s="3"/>
      <c r="C101" s="8"/>
      <c r="D101" s="6"/>
      <c r="E101" s="8"/>
      <c r="F101" s="21"/>
      <c r="G101" s="21"/>
      <c r="H101" s="9"/>
    </row>
    <row r="102" spans="1:8" ht="30" customHeight="1" x14ac:dyDescent="0.3">
      <c r="A102" s="5"/>
      <c r="B102" s="3"/>
      <c r="C102" s="8"/>
      <c r="D102" s="6"/>
      <c r="E102" s="8"/>
      <c r="F102" s="21"/>
      <c r="G102" s="21"/>
      <c r="H102" s="9"/>
    </row>
    <row r="103" spans="1:8" ht="30" customHeight="1" x14ac:dyDescent="0.3">
      <c r="A103" s="5"/>
      <c r="B103" s="3"/>
      <c r="C103" s="8"/>
      <c r="D103" s="6"/>
      <c r="E103" s="8"/>
      <c r="F103" s="21"/>
      <c r="G103" s="21"/>
      <c r="H103" s="9"/>
    </row>
    <row r="104" spans="1:8" ht="30" customHeight="1" x14ac:dyDescent="0.3">
      <c r="A104" s="5"/>
      <c r="B104" s="3"/>
      <c r="C104" s="8"/>
      <c r="D104" s="6"/>
      <c r="E104" s="8"/>
      <c r="F104" s="21"/>
      <c r="G104" s="21"/>
      <c r="H104" s="9"/>
    </row>
    <row r="105" spans="1:8" ht="30" customHeight="1" x14ac:dyDescent="0.3">
      <c r="A105" s="5"/>
      <c r="B105" s="3"/>
      <c r="C105" s="8"/>
      <c r="D105" s="6"/>
      <c r="E105" s="8"/>
      <c r="F105" s="21"/>
      <c r="G105" s="21"/>
      <c r="H105" s="9"/>
    </row>
    <row r="106" spans="1:8" ht="30" customHeight="1" x14ac:dyDescent="0.3">
      <c r="A106" s="5"/>
      <c r="B106" s="3"/>
      <c r="C106" s="8"/>
      <c r="D106" s="6"/>
      <c r="E106" s="8"/>
      <c r="F106" s="21"/>
      <c r="G106" s="21"/>
      <c r="H106" s="9"/>
    </row>
    <row r="107" spans="1:8" ht="30" customHeight="1" x14ac:dyDescent="0.3">
      <c r="A107" s="5"/>
      <c r="B107" s="3"/>
      <c r="C107" s="8"/>
      <c r="D107" s="6"/>
      <c r="E107" s="8"/>
      <c r="F107" s="21"/>
      <c r="G107" s="21"/>
      <c r="H107" s="9"/>
    </row>
    <row r="108" spans="1:8" ht="30" customHeight="1" x14ac:dyDescent="0.3">
      <c r="A108" s="5"/>
      <c r="B108" s="3"/>
      <c r="C108" s="8"/>
      <c r="D108" s="6"/>
      <c r="E108" s="8"/>
      <c r="F108" s="21"/>
      <c r="G108" s="21"/>
      <c r="H108" s="9"/>
    </row>
    <row r="109" spans="1:8" ht="30" customHeight="1" x14ac:dyDescent="0.3">
      <c r="A109" s="5"/>
      <c r="B109" s="3"/>
      <c r="C109" s="8"/>
      <c r="D109" s="6"/>
      <c r="E109" s="8"/>
      <c r="F109" s="21"/>
      <c r="G109" s="21"/>
      <c r="H109" s="9"/>
    </row>
    <row r="110" spans="1:8" ht="30" customHeight="1" x14ac:dyDescent="0.3">
      <c r="A110" s="5"/>
      <c r="B110" s="3"/>
      <c r="C110" s="8"/>
      <c r="D110" s="6"/>
      <c r="E110" s="8"/>
      <c r="F110" s="21"/>
      <c r="G110" s="21"/>
      <c r="H110" s="9"/>
    </row>
    <row r="111" spans="1:8" ht="30" customHeight="1" x14ac:dyDescent="0.3">
      <c r="A111" s="5"/>
      <c r="B111" s="3"/>
      <c r="C111" s="8"/>
      <c r="D111" s="6"/>
      <c r="E111" s="8"/>
      <c r="F111" s="21"/>
      <c r="G111" s="21"/>
      <c r="H111" s="9"/>
    </row>
    <row r="112" spans="1:8" ht="30" customHeight="1" x14ac:dyDescent="0.3">
      <c r="A112" s="5"/>
      <c r="B112" s="3"/>
      <c r="C112" s="8"/>
      <c r="D112" s="6"/>
      <c r="E112" s="8"/>
      <c r="F112" s="21"/>
      <c r="G112" s="21"/>
      <c r="H112" s="9"/>
    </row>
    <row r="113" spans="1:8" ht="30" customHeight="1" x14ac:dyDescent="0.3">
      <c r="A113" s="5"/>
      <c r="B113" s="3"/>
      <c r="C113" s="8"/>
      <c r="D113" s="6"/>
      <c r="E113" s="8"/>
      <c r="F113" s="21"/>
      <c r="G113" s="21"/>
      <c r="H113" s="9"/>
    </row>
    <row r="114" spans="1:8" ht="30" customHeight="1" x14ac:dyDescent="0.3">
      <c r="A114" s="5"/>
      <c r="B114" s="3"/>
      <c r="C114" s="8"/>
      <c r="D114" s="6"/>
      <c r="E114" s="8"/>
      <c r="F114" s="21"/>
      <c r="G114" s="21"/>
      <c r="H114" s="9"/>
    </row>
    <row r="115" spans="1:8" ht="30" customHeight="1" x14ac:dyDescent="0.3">
      <c r="A115" s="5"/>
      <c r="B115" s="3"/>
      <c r="C115" s="8"/>
      <c r="D115" s="6"/>
      <c r="E115" s="8"/>
      <c r="F115" s="21"/>
      <c r="G115" s="21"/>
      <c r="H115" s="9"/>
    </row>
    <row r="116" spans="1:8" ht="30" customHeight="1" x14ac:dyDescent="0.3">
      <c r="A116" s="5"/>
      <c r="B116" s="3"/>
      <c r="C116" s="8"/>
      <c r="D116" s="6"/>
      <c r="E116" s="8"/>
      <c r="F116" s="21"/>
      <c r="G116" s="21"/>
      <c r="H116" s="9"/>
    </row>
    <row r="117" spans="1:8" ht="30" customHeight="1" x14ac:dyDescent="0.3">
      <c r="A117" s="5"/>
      <c r="B117" s="3"/>
      <c r="C117" s="8"/>
      <c r="D117" s="6"/>
      <c r="E117" s="8"/>
      <c r="F117" s="21"/>
      <c r="G117" s="21"/>
      <c r="H117" s="9"/>
    </row>
    <row r="118" spans="1:8" ht="30" customHeight="1" x14ac:dyDescent="0.3">
      <c r="A118" s="5"/>
      <c r="B118" s="3"/>
      <c r="C118" s="8"/>
      <c r="D118" s="6"/>
      <c r="E118" s="8"/>
      <c r="F118" s="21"/>
      <c r="G118" s="21"/>
      <c r="H118" s="9"/>
    </row>
    <row r="119" spans="1:8" ht="30" customHeight="1" x14ac:dyDescent="0.3">
      <c r="A119" s="5"/>
      <c r="B119" s="3"/>
      <c r="C119" s="8"/>
      <c r="D119" s="6"/>
      <c r="E119" s="8"/>
      <c r="F119" s="21"/>
      <c r="G119" s="21"/>
      <c r="H119" s="9"/>
    </row>
    <row r="120" spans="1:8" ht="30" customHeight="1" x14ac:dyDescent="0.3">
      <c r="A120" s="5"/>
      <c r="B120" s="3"/>
      <c r="C120" s="8"/>
      <c r="D120" s="6"/>
      <c r="E120" s="8"/>
      <c r="F120" s="21"/>
      <c r="G120" s="21"/>
      <c r="H120" s="9"/>
    </row>
    <row r="121" spans="1:8" ht="30" customHeight="1" x14ac:dyDescent="0.3">
      <c r="A121" s="5"/>
      <c r="B121" s="3"/>
      <c r="C121" s="8"/>
      <c r="D121" s="6"/>
      <c r="E121" s="8"/>
      <c r="F121" s="21"/>
      <c r="G121" s="21"/>
      <c r="H121" s="9"/>
    </row>
    <row r="122" spans="1:8" ht="30" customHeight="1" x14ac:dyDescent="0.3">
      <c r="A122" s="5"/>
      <c r="B122" s="3"/>
      <c r="C122" s="8"/>
      <c r="D122" s="6"/>
      <c r="E122" s="8"/>
      <c r="F122" s="21"/>
      <c r="G122" s="21"/>
      <c r="H122" s="9"/>
    </row>
    <row r="123" spans="1:8" ht="30" customHeight="1" x14ac:dyDescent="0.3">
      <c r="A123" s="5"/>
      <c r="B123" s="3"/>
      <c r="C123" s="8"/>
      <c r="D123" s="6"/>
      <c r="E123" s="8"/>
      <c r="F123" s="21"/>
      <c r="G123" s="21"/>
      <c r="H123" s="9"/>
    </row>
    <row r="124" spans="1:8" ht="30" customHeight="1" x14ac:dyDescent="0.3">
      <c r="A124" s="5"/>
      <c r="B124" s="3"/>
      <c r="C124" s="8"/>
      <c r="D124" s="6"/>
      <c r="E124" s="8"/>
      <c r="F124" s="21"/>
      <c r="G124" s="21"/>
      <c r="H124" s="9"/>
    </row>
    <row r="125" spans="1:8" ht="30" customHeight="1" x14ac:dyDescent="0.3">
      <c r="A125" s="5"/>
      <c r="B125" s="3"/>
      <c r="C125" s="8"/>
      <c r="D125" s="6"/>
      <c r="E125" s="8"/>
      <c r="F125" s="21"/>
      <c r="G125" s="21"/>
      <c r="H125" s="9"/>
    </row>
    <row r="126" spans="1:8" ht="30" customHeight="1" x14ac:dyDescent="0.3">
      <c r="A126" s="5"/>
      <c r="B126" s="3"/>
      <c r="C126" s="8"/>
      <c r="D126" s="6"/>
      <c r="E126" s="8"/>
      <c r="F126" s="21"/>
      <c r="G126" s="21"/>
      <c r="H126" s="9"/>
    </row>
    <row r="127" spans="1:8" ht="30" customHeight="1" x14ac:dyDescent="0.3">
      <c r="A127" s="5"/>
      <c r="B127" s="3"/>
      <c r="C127" s="8"/>
      <c r="D127" s="6"/>
      <c r="E127" s="8"/>
      <c r="F127" s="21"/>
      <c r="G127" s="21"/>
      <c r="H127" s="9"/>
    </row>
    <row r="128" spans="1:8" ht="30" customHeight="1" x14ac:dyDescent="0.3">
      <c r="A128" s="5"/>
      <c r="B128" s="3"/>
      <c r="C128" s="8"/>
      <c r="D128" s="6"/>
      <c r="E128" s="8"/>
      <c r="F128" s="21"/>
      <c r="G128" s="21"/>
      <c r="H128" s="9"/>
    </row>
    <row r="129" spans="1:8" ht="30" customHeight="1" x14ac:dyDescent="0.3">
      <c r="A129" s="5"/>
      <c r="B129" s="3"/>
      <c r="C129" s="8"/>
      <c r="D129" s="6"/>
      <c r="E129" s="8"/>
      <c r="F129" s="21"/>
      <c r="G129" s="21"/>
      <c r="H129" s="9"/>
    </row>
    <row r="130" spans="1:8" ht="30" customHeight="1" x14ac:dyDescent="0.3">
      <c r="A130" s="5"/>
      <c r="B130" s="3"/>
      <c r="C130" s="8"/>
      <c r="D130" s="6"/>
      <c r="E130" s="8"/>
      <c r="F130" s="21"/>
      <c r="G130" s="21"/>
      <c r="H130" s="9"/>
    </row>
    <row r="131" spans="1:8" ht="30" customHeight="1" x14ac:dyDescent="0.3">
      <c r="A131" s="5"/>
      <c r="B131" s="3"/>
      <c r="C131" s="8"/>
      <c r="D131" s="6"/>
      <c r="E131" s="8"/>
      <c r="F131" s="21"/>
      <c r="G131" s="21"/>
      <c r="H131" s="9"/>
    </row>
    <row r="132" spans="1:8" ht="30" customHeight="1" x14ac:dyDescent="0.3">
      <c r="A132" s="5"/>
      <c r="B132" s="3"/>
      <c r="C132" s="8"/>
      <c r="D132" s="6"/>
      <c r="E132" s="8"/>
      <c r="F132" s="21"/>
      <c r="G132" s="21"/>
      <c r="H132" s="9"/>
    </row>
    <row r="133" spans="1:8" ht="30" customHeight="1" x14ac:dyDescent="0.3">
      <c r="A133" s="5"/>
      <c r="B133" s="3"/>
      <c r="C133" s="8"/>
      <c r="D133" s="6"/>
      <c r="E133" s="8"/>
      <c r="F133" s="21"/>
      <c r="G133" s="21"/>
      <c r="H133" s="9"/>
    </row>
    <row r="134" spans="1:8" ht="30" customHeight="1" x14ac:dyDescent="0.3">
      <c r="A134" s="5"/>
      <c r="B134" s="3"/>
      <c r="C134" s="8"/>
      <c r="D134" s="6"/>
      <c r="E134" s="8"/>
      <c r="F134" s="21"/>
      <c r="G134" s="21"/>
      <c r="H134" s="9"/>
    </row>
    <row r="135" spans="1:8" ht="30" customHeight="1" x14ac:dyDescent="0.3">
      <c r="A135" s="5"/>
      <c r="B135" s="3"/>
      <c r="C135" s="8"/>
      <c r="D135" s="6"/>
      <c r="E135" s="8"/>
      <c r="F135" s="21"/>
      <c r="G135" s="21"/>
      <c r="H135" s="9"/>
    </row>
    <row r="136" spans="1:8" ht="30" customHeight="1" x14ac:dyDescent="0.3">
      <c r="A136" s="5"/>
      <c r="B136" s="3"/>
      <c r="C136" s="8"/>
      <c r="D136" s="6"/>
      <c r="E136" s="8"/>
      <c r="F136" s="21"/>
      <c r="G136" s="21"/>
      <c r="H136" s="9"/>
    </row>
    <row r="137" spans="1:8" ht="30" customHeight="1" x14ac:dyDescent="0.3">
      <c r="A137" s="5"/>
      <c r="B137" s="3"/>
      <c r="C137" s="8"/>
      <c r="D137" s="6"/>
      <c r="E137" s="8"/>
      <c r="F137" s="21"/>
      <c r="G137" s="21"/>
      <c r="H137" s="9"/>
    </row>
    <row r="138" spans="1:8" ht="30" customHeight="1" x14ac:dyDescent="0.3">
      <c r="A138" s="5"/>
      <c r="B138" s="3"/>
      <c r="C138" s="8"/>
      <c r="D138" s="6"/>
      <c r="E138" s="8"/>
      <c r="F138" s="21"/>
      <c r="G138" s="21"/>
      <c r="H138" s="9"/>
    </row>
    <row r="139" spans="1:8" ht="30" customHeight="1" x14ac:dyDescent="0.3">
      <c r="A139" s="5"/>
      <c r="B139" s="3"/>
      <c r="C139" s="8"/>
      <c r="D139" s="6"/>
      <c r="E139" s="8"/>
      <c r="F139" s="21"/>
      <c r="G139" s="21"/>
      <c r="H139" s="9"/>
    </row>
    <row r="140" spans="1:8" ht="30" customHeight="1" x14ac:dyDescent="0.3">
      <c r="A140" s="5"/>
      <c r="B140" s="3"/>
      <c r="C140" s="8"/>
      <c r="D140" s="6"/>
      <c r="E140" s="8"/>
      <c r="F140" s="21"/>
      <c r="G140" s="21"/>
      <c r="H140" s="9"/>
    </row>
    <row r="141" spans="1:8" ht="30" customHeight="1" x14ac:dyDescent="0.3">
      <c r="A141" s="5"/>
      <c r="B141" s="3"/>
      <c r="C141" s="8"/>
      <c r="D141" s="6"/>
      <c r="E141" s="8"/>
      <c r="F141" s="21"/>
      <c r="G141" s="21"/>
      <c r="H141" s="9"/>
    </row>
    <row r="142" spans="1:8" ht="30" customHeight="1" x14ac:dyDescent="0.3">
      <c r="A142" s="5"/>
      <c r="B142" s="3"/>
      <c r="C142" s="8"/>
      <c r="D142" s="6"/>
      <c r="E142" s="8"/>
      <c r="F142" s="21"/>
      <c r="G142" s="21"/>
      <c r="H142" s="9"/>
    </row>
    <row r="143" spans="1:8" ht="30" customHeight="1" x14ac:dyDescent="0.3">
      <c r="A143" s="5"/>
      <c r="B143" s="3"/>
      <c r="C143" s="8"/>
      <c r="D143" s="6"/>
      <c r="E143" s="8"/>
      <c r="F143" s="21"/>
      <c r="G143" s="21"/>
      <c r="H143" s="9"/>
    </row>
    <row r="144" spans="1:8" ht="30" customHeight="1" x14ac:dyDescent="0.3">
      <c r="A144" s="5"/>
      <c r="B144" s="3"/>
      <c r="C144" s="8"/>
      <c r="D144" s="6"/>
      <c r="E144" s="8"/>
      <c r="F144" s="21"/>
      <c r="G144" s="21"/>
      <c r="H144" s="9"/>
    </row>
    <row r="145" spans="1:8" ht="30" customHeight="1" x14ac:dyDescent="0.3">
      <c r="A145" s="5"/>
      <c r="B145" s="3"/>
      <c r="C145" s="8"/>
      <c r="D145" s="6"/>
      <c r="E145" s="8"/>
      <c r="F145" s="21"/>
      <c r="G145" s="21"/>
      <c r="H145" s="9"/>
    </row>
    <row r="146" spans="1:8" ht="30" customHeight="1" x14ac:dyDescent="0.3">
      <c r="A146" s="5"/>
      <c r="B146" s="3"/>
      <c r="C146" s="8"/>
      <c r="D146" s="6"/>
      <c r="E146" s="8"/>
      <c r="F146" s="21"/>
      <c r="G146" s="21"/>
      <c r="H146" s="9"/>
    </row>
    <row r="147" spans="1:8" ht="30" customHeight="1" x14ac:dyDescent="0.3">
      <c r="A147" s="5"/>
      <c r="B147" s="3"/>
      <c r="C147" s="8"/>
      <c r="D147" s="6"/>
      <c r="E147" s="8"/>
      <c r="F147" s="21"/>
      <c r="G147" s="21"/>
      <c r="H147" s="9"/>
    </row>
    <row r="148" spans="1:8" ht="30" customHeight="1" x14ac:dyDescent="0.3">
      <c r="A148" s="5"/>
      <c r="B148" s="3"/>
      <c r="C148" s="8"/>
      <c r="D148" s="6"/>
      <c r="E148" s="8"/>
      <c r="F148" s="21"/>
      <c r="G148" s="21"/>
      <c r="H148" s="9"/>
    </row>
    <row r="149" spans="1:8" ht="30" customHeight="1" x14ac:dyDescent="0.3">
      <c r="A149" s="5"/>
      <c r="B149" s="3"/>
      <c r="C149" s="8"/>
      <c r="D149" s="6"/>
      <c r="E149" s="8"/>
      <c r="F149" s="21"/>
      <c r="G149" s="21"/>
      <c r="H149" s="9"/>
    </row>
    <row r="150" spans="1:8" ht="30" customHeight="1" x14ac:dyDescent="0.3">
      <c r="A150" s="5"/>
      <c r="B150" s="3"/>
      <c r="C150" s="8"/>
      <c r="D150" s="6"/>
      <c r="E150" s="8"/>
      <c r="F150" s="21"/>
      <c r="G150" s="21"/>
      <c r="H150" s="9"/>
    </row>
    <row r="151" spans="1:8" ht="30" customHeight="1" x14ac:dyDescent="0.3">
      <c r="A151" s="5"/>
      <c r="B151" s="3"/>
      <c r="C151" s="8"/>
      <c r="D151" s="6"/>
      <c r="E151" s="8"/>
      <c r="F151" s="21"/>
      <c r="G151" s="21"/>
      <c r="H151" s="9"/>
    </row>
    <row r="152" spans="1:8" ht="30" customHeight="1" x14ac:dyDescent="0.3">
      <c r="A152" s="5"/>
      <c r="B152" s="3"/>
      <c r="C152" s="8"/>
      <c r="D152" s="6"/>
      <c r="E152" s="8"/>
      <c r="F152" s="3"/>
      <c r="G152" s="3"/>
      <c r="H152" s="9"/>
    </row>
    <row r="153" spans="1:8" ht="30" customHeight="1" x14ac:dyDescent="0.3">
      <c r="A153" s="5"/>
      <c r="B153" s="3"/>
      <c r="C153" s="8"/>
      <c r="D153" s="6"/>
      <c r="E153" s="8"/>
      <c r="F153" s="3"/>
      <c r="G153" s="3"/>
      <c r="H153" s="9"/>
    </row>
    <row r="154" spans="1:8" ht="30" customHeight="1" x14ac:dyDescent="0.3">
      <c r="A154" s="5"/>
      <c r="B154" s="3"/>
      <c r="C154" s="8"/>
      <c r="D154" s="6"/>
      <c r="E154" s="8"/>
      <c r="F154" s="3"/>
      <c r="G154" s="3"/>
      <c r="H154" s="9"/>
    </row>
    <row r="155" spans="1:8" ht="30" customHeight="1" x14ac:dyDescent="0.3">
      <c r="A155" s="5"/>
      <c r="B155" s="3"/>
      <c r="C155" s="8"/>
      <c r="D155" s="6"/>
      <c r="E155" s="8"/>
      <c r="F155" s="3"/>
      <c r="G155" s="3"/>
      <c r="H155" s="9"/>
    </row>
    <row r="156" spans="1:8" ht="30" customHeight="1" x14ac:dyDescent="0.3">
      <c r="A156" s="5"/>
      <c r="B156" s="3"/>
      <c r="C156" s="8"/>
      <c r="D156" s="6"/>
      <c r="E156" s="8"/>
      <c r="F156" s="3"/>
      <c r="G156" s="3"/>
      <c r="H156" s="9"/>
    </row>
    <row r="157" spans="1:8" ht="30" customHeight="1" x14ac:dyDescent="0.3">
      <c r="A157" s="5"/>
      <c r="B157" s="3"/>
      <c r="C157" s="8"/>
      <c r="D157" s="6"/>
      <c r="E157" s="8"/>
      <c r="F157" s="3"/>
      <c r="G157" s="3"/>
      <c r="H157" s="9"/>
    </row>
    <row r="158" spans="1:8" ht="30" customHeight="1" x14ac:dyDescent="0.3">
      <c r="A158" s="5"/>
      <c r="B158" s="3"/>
      <c r="C158" s="8"/>
      <c r="D158" s="6"/>
      <c r="E158" s="8"/>
      <c r="F158" s="3"/>
      <c r="G158" s="3"/>
      <c r="H158" s="9"/>
    </row>
    <row r="159" spans="1:8" ht="30" customHeight="1" x14ac:dyDescent="0.3">
      <c r="A159" s="5"/>
      <c r="B159" s="3"/>
      <c r="C159" s="8"/>
      <c r="D159" s="6"/>
      <c r="E159" s="8"/>
      <c r="F159" s="3"/>
      <c r="G159" s="3"/>
      <c r="H159" s="9"/>
    </row>
    <row r="160" spans="1:8" ht="30" customHeight="1" x14ac:dyDescent="0.3">
      <c r="A160" s="5"/>
      <c r="B160" s="3"/>
      <c r="C160" s="8"/>
      <c r="D160" s="6"/>
      <c r="E160" s="8"/>
      <c r="F160" s="3"/>
      <c r="G160" s="3"/>
      <c r="H160" s="9"/>
    </row>
    <row r="161" spans="1:8" ht="30" customHeight="1" x14ac:dyDescent="0.3">
      <c r="A161" s="5"/>
      <c r="B161" s="3"/>
      <c r="C161" s="8"/>
      <c r="D161" s="6"/>
      <c r="E161" s="8"/>
      <c r="F161" s="3"/>
      <c r="G161" s="3"/>
      <c r="H161" s="9"/>
    </row>
    <row r="162" spans="1:8" ht="30" customHeight="1" x14ac:dyDescent="0.3">
      <c r="A162" s="5"/>
      <c r="B162" s="3"/>
      <c r="C162" s="8"/>
      <c r="D162" s="6"/>
      <c r="E162" s="8"/>
      <c r="F162" s="3"/>
      <c r="G162" s="3"/>
      <c r="H162" s="9"/>
    </row>
    <row r="163" spans="1:8" ht="30" customHeight="1" x14ac:dyDescent="0.3">
      <c r="A163" s="5"/>
      <c r="B163" s="3"/>
      <c r="C163" s="8"/>
      <c r="D163" s="6"/>
      <c r="E163" s="8"/>
      <c r="F163" s="3"/>
      <c r="G163" s="3"/>
      <c r="H163" s="9"/>
    </row>
    <row r="164" spans="1:8" ht="30" customHeight="1" x14ac:dyDescent="0.3">
      <c r="A164" s="5"/>
      <c r="B164" s="3"/>
      <c r="C164" s="8"/>
      <c r="D164" s="6"/>
      <c r="E164" s="8"/>
      <c r="F164" s="3"/>
      <c r="G164" s="3"/>
      <c r="H164" s="9"/>
    </row>
    <row r="165" spans="1:8" ht="30" customHeight="1" x14ac:dyDescent="0.3">
      <c r="A165" s="5"/>
      <c r="B165" s="3"/>
      <c r="C165" s="8"/>
      <c r="D165" s="6"/>
      <c r="E165" s="8"/>
      <c r="F165" s="3"/>
      <c r="G165" s="3"/>
      <c r="H165" s="9"/>
    </row>
    <row r="166" spans="1:8" ht="30" customHeight="1" x14ac:dyDescent="0.3">
      <c r="A166" s="5"/>
      <c r="B166" s="3"/>
      <c r="C166" s="8"/>
      <c r="D166" s="6"/>
      <c r="E166" s="8"/>
      <c r="F166" s="3"/>
      <c r="G166" s="3"/>
      <c r="H166" s="9"/>
    </row>
    <row r="167" spans="1:8" ht="30" customHeight="1" x14ac:dyDescent="0.3">
      <c r="A167" s="5"/>
      <c r="B167" s="3"/>
      <c r="C167" s="8"/>
      <c r="D167" s="6"/>
      <c r="E167" s="8"/>
      <c r="F167" s="3"/>
      <c r="G167" s="3"/>
      <c r="H167" s="9"/>
    </row>
    <row r="168" spans="1:8" ht="30" customHeight="1" x14ac:dyDescent="0.3">
      <c r="A168" s="5"/>
      <c r="B168" s="3"/>
      <c r="C168" s="8"/>
      <c r="D168" s="6"/>
      <c r="E168" s="8"/>
      <c r="F168" s="3"/>
      <c r="G168" s="3"/>
      <c r="H168" s="9"/>
    </row>
    <row r="169" spans="1:8" ht="30" customHeight="1" x14ac:dyDescent="0.3">
      <c r="A169" s="5"/>
      <c r="B169" s="3"/>
      <c r="C169" s="8"/>
      <c r="D169" s="6"/>
      <c r="E169" s="8"/>
      <c r="F169" s="3"/>
      <c r="G169" s="3"/>
      <c r="H169" s="9"/>
    </row>
    <row r="170" spans="1:8" ht="30" customHeight="1" x14ac:dyDescent="0.3">
      <c r="A170" s="5"/>
      <c r="B170" s="3"/>
      <c r="C170" s="8"/>
      <c r="D170" s="6"/>
      <c r="E170" s="8"/>
      <c r="F170" s="3"/>
      <c r="G170" s="3"/>
      <c r="H170" s="9"/>
    </row>
    <row r="171" spans="1:8" ht="30" customHeight="1" x14ac:dyDescent="0.3">
      <c r="A171" s="5"/>
      <c r="B171" s="3"/>
      <c r="C171" s="8"/>
      <c r="D171" s="6"/>
      <c r="E171" s="8"/>
      <c r="F171" s="3"/>
      <c r="G171" s="3"/>
      <c r="H171" s="9"/>
    </row>
    <row r="172" spans="1:8" ht="30" customHeight="1" x14ac:dyDescent="0.3">
      <c r="A172" s="5"/>
      <c r="B172" s="3"/>
      <c r="C172" s="8"/>
      <c r="D172" s="6"/>
      <c r="E172" s="8"/>
      <c r="F172" s="3"/>
      <c r="G172" s="3"/>
      <c r="H172" s="9"/>
    </row>
    <row r="173" spans="1:8" ht="30" customHeight="1" x14ac:dyDescent="0.3">
      <c r="A173" s="5"/>
      <c r="B173" s="3"/>
      <c r="C173" s="10"/>
      <c r="D173" s="6"/>
      <c r="E173" s="8"/>
      <c r="F173" s="3"/>
      <c r="G173" s="3"/>
      <c r="H173" s="9"/>
    </row>
    <row r="174" spans="1:8" ht="30" customHeight="1" x14ac:dyDescent="0.3">
      <c r="A174" s="5"/>
      <c r="B174" s="3"/>
      <c r="C174" s="10"/>
      <c r="D174" s="6"/>
      <c r="E174" s="8"/>
      <c r="F174" s="3"/>
      <c r="G174" s="3"/>
      <c r="H174" s="9"/>
    </row>
    <row r="175" spans="1:8" ht="30" customHeight="1" x14ac:dyDescent="0.3">
      <c r="A175" s="5"/>
      <c r="B175" s="3"/>
      <c r="C175" s="10"/>
      <c r="D175" s="6"/>
      <c r="E175" s="8"/>
      <c r="F175" s="3"/>
      <c r="G175" s="3"/>
      <c r="H175" s="9"/>
    </row>
    <row r="176" spans="1:8" ht="30" customHeight="1" x14ac:dyDescent="0.3">
      <c r="A176" s="5"/>
      <c r="B176" s="3"/>
      <c r="C176" s="10"/>
      <c r="D176" s="6"/>
      <c r="E176" s="8"/>
      <c r="F176" s="3"/>
      <c r="G176" s="3"/>
      <c r="H176" s="9"/>
    </row>
    <row r="177" spans="1:8" ht="30" customHeight="1" x14ac:dyDescent="0.3">
      <c r="A177" s="5"/>
      <c r="B177" s="3"/>
      <c r="C177" s="10"/>
      <c r="D177" s="6"/>
      <c r="E177" s="8"/>
      <c r="F177" s="3"/>
      <c r="G177" s="3"/>
      <c r="H177" s="9"/>
    </row>
    <row r="178" spans="1:8" ht="30" customHeight="1" x14ac:dyDescent="0.3">
      <c r="A178" s="5"/>
      <c r="B178" s="3"/>
      <c r="C178" s="10"/>
      <c r="D178" s="6"/>
      <c r="E178" s="8"/>
      <c r="F178" s="3"/>
      <c r="G178" s="3"/>
      <c r="H178" s="9"/>
    </row>
    <row r="179" spans="1:8" ht="30" customHeight="1" x14ac:dyDescent="0.3">
      <c r="A179" s="5"/>
      <c r="B179" s="3"/>
      <c r="C179" s="10"/>
      <c r="D179" s="6"/>
      <c r="E179" s="8"/>
      <c r="F179" s="3"/>
      <c r="G179" s="3"/>
      <c r="H179" s="9"/>
    </row>
    <row r="180" spans="1:8" ht="30" customHeight="1" x14ac:dyDescent="0.3">
      <c r="A180" s="5"/>
      <c r="B180" s="3"/>
      <c r="C180" s="10"/>
      <c r="D180" s="6"/>
      <c r="E180" s="8"/>
      <c r="F180" s="3"/>
      <c r="G180" s="3"/>
      <c r="H180" s="9"/>
    </row>
    <row r="181" spans="1:8" ht="30" customHeight="1" x14ac:dyDescent="0.3">
      <c r="A181" s="5"/>
      <c r="B181" s="3"/>
      <c r="C181" s="9"/>
      <c r="D181" s="6"/>
      <c r="E181" s="8"/>
      <c r="F181" s="3"/>
      <c r="G181" s="3"/>
      <c r="H181" s="9"/>
    </row>
    <row r="182" spans="1:8" ht="30" customHeight="1" x14ac:dyDescent="0.3">
      <c r="A182" s="5"/>
      <c r="B182" s="3"/>
      <c r="C182" s="9"/>
      <c r="D182" s="6"/>
      <c r="E182" s="8"/>
      <c r="F182" s="3"/>
      <c r="G182" s="3"/>
      <c r="H182" s="9"/>
    </row>
    <row r="183" spans="1:8" ht="30" customHeight="1" x14ac:dyDescent="0.3">
      <c r="A183" s="5"/>
      <c r="B183" s="3"/>
      <c r="C183" s="9"/>
      <c r="D183" s="6"/>
      <c r="E183" s="8"/>
      <c r="F183" s="3"/>
      <c r="G183" s="3"/>
      <c r="H183" s="9"/>
    </row>
    <row r="184" spans="1:8" ht="30" customHeight="1" x14ac:dyDescent="0.3">
      <c r="A184" s="5"/>
      <c r="B184" s="3"/>
      <c r="C184" s="9"/>
      <c r="D184" s="6"/>
      <c r="E184" s="8"/>
      <c r="F184" s="3"/>
      <c r="G184" s="3"/>
      <c r="H184" s="9"/>
    </row>
    <row r="185" spans="1:8" ht="30" customHeight="1" x14ac:dyDescent="0.3">
      <c r="A185" s="5"/>
      <c r="B185" s="3"/>
      <c r="C185" s="9"/>
      <c r="D185" s="6"/>
      <c r="E185" s="8"/>
      <c r="F185" s="3"/>
      <c r="G185" s="3"/>
      <c r="H185" s="9"/>
    </row>
    <row r="186" spans="1:8" ht="30" customHeight="1" x14ac:dyDescent="0.3">
      <c r="A186" s="5"/>
      <c r="B186" s="3"/>
      <c r="C186" s="9"/>
      <c r="D186" s="6"/>
      <c r="E186" s="8"/>
      <c r="F186" s="3"/>
      <c r="G186" s="3"/>
      <c r="H186" s="9"/>
    </row>
    <row r="187" spans="1:8" ht="30" customHeight="1" x14ac:dyDescent="0.3">
      <c r="A187" s="5"/>
      <c r="B187" s="3"/>
      <c r="C187" s="9"/>
      <c r="D187" s="6"/>
      <c r="E187" s="8"/>
      <c r="F187" s="3"/>
      <c r="G187" s="3"/>
      <c r="H187" s="9"/>
    </row>
    <row r="188" spans="1:8" ht="30" customHeight="1" x14ac:dyDescent="0.3">
      <c r="A188" s="5"/>
      <c r="B188" s="3"/>
      <c r="C188" s="9"/>
      <c r="D188" s="6"/>
      <c r="E188" s="8"/>
      <c r="F188" s="3"/>
      <c r="G188" s="3"/>
      <c r="H188" s="9"/>
    </row>
    <row r="189" spans="1:8" ht="30" customHeight="1" x14ac:dyDescent="0.3">
      <c r="A189" s="5"/>
      <c r="B189" s="3"/>
      <c r="C189" s="9"/>
      <c r="D189" s="6"/>
      <c r="E189" s="8"/>
      <c r="F189" s="3"/>
      <c r="G189" s="3"/>
      <c r="H189" s="9"/>
    </row>
    <row r="190" spans="1:8" ht="30" customHeight="1" x14ac:dyDescent="0.3">
      <c r="A190" s="5"/>
      <c r="B190" s="3"/>
      <c r="C190" s="9"/>
      <c r="D190" s="6"/>
      <c r="E190" s="8"/>
      <c r="F190" s="3"/>
      <c r="G190" s="3"/>
      <c r="H190" s="9"/>
    </row>
    <row r="191" spans="1:8" ht="30" customHeight="1" x14ac:dyDescent="0.3">
      <c r="A191" s="5"/>
      <c r="B191" s="3"/>
      <c r="C191" s="9"/>
      <c r="D191" s="6"/>
      <c r="E191" s="8"/>
      <c r="F191" s="3"/>
      <c r="G191" s="3"/>
      <c r="H191" s="9"/>
    </row>
    <row r="192" spans="1:8" ht="30" customHeight="1" x14ac:dyDescent="0.3">
      <c r="A192" s="5"/>
      <c r="B192" s="3"/>
      <c r="C192" s="9"/>
      <c r="D192" s="6"/>
      <c r="E192" s="8"/>
      <c r="F192" s="3"/>
      <c r="G192" s="3"/>
      <c r="H192" s="9"/>
    </row>
    <row r="193" spans="1:8" ht="30" customHeight="1" x14ac:dyDescent="0.3">
      <c r="A193" s="5"/>
      <c r="B193" s="3"/>
      <c r="C193" s="9"/>
      <c r="D193" s="6"/>
      <c r="E193" s="8"/>
      <c r="F193" s="3"/>
      <c r="G193" s="3"/>
      <c r="H193" s="9"/>
    </row>
    <row r="194" spans="1:8" ht="30" customHeight="1" x14ac:dyDescent="0.3">
      <c r="A194" s="5"/>
      <c r="B194" s="3"/>
      <c r="C194" s="9"/>
      <c r="D194" s="6"/>
      <c r="E194" s="8"/>
      <c r="F194" s="3"/>
      <c r="G194" s="3"/>
      <c r="H194" s="9"/>
    </row>
    <row r="195" spans="1:8" ht="30" customHeight="1" x14ac:dyDescent="0.3">
      <c r="A195" s="5"/>
      <c r="B195" s="3"/>
      <c r="C195" s="9"/>
      <c r="D195" s="6"/>
      <c r="E195" s="8"/>
      <c r="F195" s="3"/>
      <c r="G195" s="3"/>
      <c r="H195" s="9"/>
    </row>
    <row r="196" spans="1:8" ht="30" customHeight="1" x14ac:dyDescent="0.3">
      <c r="A196" s="5"/>
      <c r="B196" s="3"/>
      <c r="C196" s="9"/>
      <c r="D196" s="6"/>
      <c r="E196" s="8"/>
      <c r="F196" s="3"/>
      <c r="G196" s="3"/>
      <c r="H196" s="9"/>
    </row>
    <row r="197" spans="1:8" ht="30" customHeight="1" x14ac:dyDescent="0.3">
      <c r="A197" s="5"/>
      <c r="B197" s="3"/>
      <c r="C197" s="9"/>
      <c r="D197" s="6"/>
      <c r="E197" s="8"/>
      <c r="F197" s="3"/>
      <c r="G197" s="3"/>
      <c r="H197" s="9"/>
    </row>
    <row r="198" spans="1:8" ht="30" customHeight="1" x14ac:dyDescent="0.3">
      <c r="A198" s="5"/>
      <c r="B198" s="3"/>
      <c r="C198" s="9"/>
      <c r="D198" s="6"/>
      <c r="E198" s="8"/>
      <c r="F198" s="3"/>
      <c r="G198" s="3"/>
      <c r="H198" s="9"/>
    </row>
    <row r="199" spans="1:8" ht="30" customHeight="1" x14ac:dyDescent="0.3">
      <c r="A199" s="5"/>
      <c r="B199" s="3"/>
      <c r="C199" s="9"/>
      <c r="D199" s="6"/>
      <c r="E199" s="8"/>
      <c r="F199" s="3"/>
      <c r="G199" s="3"/>
      <c r="H199" s="9"/>
    </row>
    <row r="200" spans="1:8" ht="30" customHeight="1" x14ac:dyDescent="0.3">
      <c r="A200" s="5"/>
      <c r="B200" s="3"/>
      <c r="C200" s="9"/>
      <c r="D200" s="6"/>
      <c r="E200" s="8"/>
      <c r="F200" s="3"/>
      <c r="G200" s="3"/>
      <c r="H200" s="9"/>
    </row>
    <row r="201" spans="1:8" ht="30" customHeight="1" x14ac:dyDescent="0.3">
      <c r="A201" s="5"/>
      <c r="B201" s="3"/>
      <c r="C201" s="9"/>
      <c r="D201" s="6"/>
      <c r="E201" s="8"/>
      <c r="F201" s="3"/>
      <c r="G201" s="3"/>
      <c r="H201" s="9"/>
    </row>
    <row r="202" spans="1:8" ht="30" customHeight="1" x14ac:dyDescent="0.3">
      <c r="A202" s="5"/>
      <c r="B202" s="3"/>
      <c r="C202" s="9"/>
      <c r="D202" s="6"/>
      <c r="E202" s="8"/>
      <c r="F202" s="3"/>
      <c r="G202" s="3"/>
      <c r="H202" s="9"/>
    </row>
    <row r="203" spans="1:8" ht="30" customHeight="1" x14ac:dyDescent="0.3">
      <c r="A203" s="5"/>
      <c r="B203" s="3"/>
      <c r="C203" s="9"/>
      <c r="D203" s="6"/>
      <c r="E203" s="8"/>
      <c r="F203" s="3"/>
      <c r="G203" s="3"/>
      <c r="H203" s="9"/>
    </row>
    <row r="204" spans="1:8" ht="30" customHeight="1" x14ac:dyDescent="0.3">
      <c r="A204" s="5"/>
      <c r="B204" s="3"/>
      <c r="C204" s="9"/>
      <c r="D204" s="6"/>
      <c r="E204" s="8"/>
      <c r="F204" s="3"/>
      <c r="G204" s="3"/>
      <c r="H204" s="9"/>
    </row>
    <row r="205" spans="1:8" ht="30" customHeight="1" x14ac:dyDescent="0.3">
      <c r="A205" s="5"/>
      <c r="B205" s="3"/>
      <c r="C205" s="9"/>
      <c r="D205" s="6"/>
      <c r="E205" s="8"/>
      <c r="F205" s="3"/>
      <c r="G205" s="3"/>
      <c r="H205" s="9"/>
    </row>
    <row r="206" spans="1:8" ht="30" customHeight="1" x14ac:dyDescent="0.3">
      <c r="A206" s="5"/>
      <c r="B206" s="3"/>
      <c r="C206" s="9"/>
      <c r="D206" s="6"/>
      <c r="E206" s="8"/>
      <c r="F206" s="3"/>
      <c r="G206" s="3"/>
      <c r="H206" s="9"/>
    </row>
    <row r="207" spans="1:8" ht="30" customHeight="1" x14ac:dyDescent="0.3">
      <c r="A207" s="5"/>
      <c r="B207" s="3"/>
      <c r="C207" s="9"/>
      <c r="D207" s="6"/>
      <c r="E207" s="8"/>
      <c r="F207" s="3"/>
      <c r="G207" s="3"/>
      <c r="H207" s="9"/>
    </row>
    <row r="208" spans="1:8" ht="30" customHeight="1" x14ac:dyDescent="0.3">
      <c r="A208" s="5"/>
      <c r="B208" s="3"/>
      <c r="C208" s="9"/>
      <c r="D208" s="6"/>
      <c r="E208" s="8"/>
      <c r="F208" s="3"/>
      <c r="G208" s="3"/>
      <c r="H208" s="9"/>
    </row>
    <row r="209" spans="1:8" ht="30" customHeight="1" x14ac:dyDescent="0.3">
      <c r="A209" s="5"/>
      <c r="B209" s="3"/>
      <c r="C209" s="9"/>
      <c r="D209" s="6"/>
      <c r="E209" s="8"/>
      <c r="F209" s="3"/>
      <c r="G209" s="3"/>
      <c r="H209" s="9"/>
    </row>
    <row r="210" spans="1:8" ht="30" customHeight="1" x14ac:dyDescent="0.3">
      <c r="A210" s="5"/>
      <c r="B210" s="3"/>
      <c r="C210" s="9"/>
      <c r="D210" s="6"/>
      <c r="E210" s="8"/>
      <c r="F210" s="3"/>
      <c r="G210" s="3"/>
      <c r="H210" s="9"/>
    </row>
    <row r="211" spans="1:8" ht="30" customHeight="1" x14ac:dyDescent="0.3">
      <c r="A211" s="5"/>
      <c r="B211" s="3"/>
      <c r="C211" s="9"/>
      <c r="D211" s="6"/>
      <c r="E211" s="8"/>
      <c r="F211" s="3"/>
      <c r="G211" s="3"/>
      <c r="H211" s="9"/>
    </row>
    <row r="212" spans="1:8" ht="30" customHeight="1" x14ac:dyDescent="0.3">
      <c r="A212" s="5"/>
      <c r="B212" s="3"/>
      <c r="C212" s="9"/>
      <c r="D212" s="6"/>
      <c r="E212" s="8"/>
      <c r="F212" s="3"/>
      <c r="G212" s="3"/>
      <c r="H212" s="9"/>
    </row>
    <row r="213" spans="1:8" ht="30" customHeight="1" x14ac:dyDescent="0.3">
      <c r="A213" s="5"/>
      <c r="B213" s="3"/>
      <c r="C213" s="9"/>
      <c r="D213" s="6"/>
      <c r="E213" s="8"/>
      <c r="F213" s="3"/>
      <c r="G213" s="3"/>
      <c r="H213" s="9"/>
    </row>
    <row r="214" spans="1:8" ht="30" customHeight="1" x14ac:dyDescent="0.3">
      <c r="A214" s="5"/>
      <c r="B214" s="3"/>
      <c r="C214" s="9"/>
      <c r="D214" s="6"/>
      <c r="E214" s="8"/>
      <c r="F214" s="3"/>
      <c r="G214" s="3"/>
      <c r="H214" s="9"/>
    </row>
    <row r="215" spans="1:8" ht="30" customHeight="1" x14ac:dyDescent="0.3">
      <c r="A215" s="5"/>
      <c r="B215" s="3"/>
      <c r="C215" s="9"/>
      <c r="D215" s="6"/>
      <c r="E215" s="8"/>
      <c r="F215" s="3"/>
      <c r="G215" s="3"/>
      <c r="H215" s="9"/>
    </row>
    <row r="216" spans="1:8" ht="30" customHeight="1" x14ac:dyDescent="0.3">
      <c r="A216" s="5"/>
      <c r="B216" s="3"/>
      <c r="C216" s="9"/>
      <c r="D216" s="6"/>
      <c r="E216" s="8"/>
      <c r="F216" s="3"/>
      <c r="G216" s="3"/>
      <c r="H216" s="9"/>
    </row>
    <row r="217" spans="1:8" ht="30" customHeight="1" x14ac:dyDescent="0.3">
      <c r="A217" s="5"/>
      <c r="B217" s="3"/>
      <c r="C217" s="9"/>
      <c r="D217" s="6"/>
      <c r="E217" s="8"/>
      <c r="F217" s="3"/>
      <c r="G217" s="3"/>
      <c r="H217" s="9"/>
    </row>
    <row r="218" spans="1:8" ht="30" customHeight="1" x14ac:dyDescent="0.3">
      <c r="A218" s="5"/>
      <c r="B218" s="3"/>
      <c r="C218" s="9"/>
      <c r="D218" s="6"/>
      <c r="E218" s="8"/>
      <c r="F218" s="3"/>
      <c r="G218" s="3"/>
      <c r="H218" s="9"/>
    </row>
    <row r="219" spans="1:8" ht="30" customHeight="1" x14ac:dyDescent="0.3">
      <c r="A219" s="5"/>
      <c r="B219" s="3"/>
      <c r="C219" s="9"/>
      <c r="D219" s="6"/>
      <c r="E219" s="8"/>
      <c r="F219" s="3"/>
      <c r="G219" s="3"/>
      <c r="H219" s="9"/>
    </row>
    <row r="220" spans="1:8" ht="30" customHeight="1" x14ac:dyDescent="0.3">
      <c r="A220" s="5"/>
      <c r="B220" s="3"/>
      <c r="C220" s="9"/>
      <c r="D220" s="6"/>
      <c r="E220" s="8"/>
      <c r="F220" s="3"/>
      <c r="G220" s="3"/>
      <c r="H220" s="9"/>
    </row>
    <row r="221" spans="1:8" ht="30" customHeight="1" x14ac:dyDescent="0.3">
      <c r="A221" s="5"/>
      <c r="B221" s="3"/>
      <c r="C221" s="9"/>
      <c r="D221" s="6"/>
      <c r="E221" s="8"/>
      <c r="F221" s="3"/>
      <c r="G221" s="3"/>
      <c r="H221" s="9"/>
    </row>
    <row r="222" spans="1:8" ht="30" customHeight="1" x14ac:dyDescent="0.3">
      <c r="A222" s="5"/>
      <c r="B222" s="3"/>
      <c r="C222" s="9"/>
      <c r="D222" s="6"/>
      <c r="E222" s="8"/>
      <c r="F222" s="3"/>
      <c r="G222" s="3"/>
      <c r="H222" s="9"/>
    </row>
    <row r="223" spans="1:8" ht="30" customHeight="1" x14ac:dyDescent="0.3">
      <c r="A223" s="5"/>
      <c r="B223" s="3"/>
      <c r="C223" s="9"/>
      <c r="D223" s="6"/>
      <c r="E223" s="8"/>
      <c r="F223" s="3"/>
      <c r="G223" s="3"/>
      <c r="H223" s="9"/>
    </row>
    <row r="224" spans="1:8" ht="30" customHeight="1" x14ac:dyDescent="0.3">
      <c r="A224" s="5"/>
      <c r="B224" s="3"/>
      <c r="C224" s="9"/>
      <c r="D224" s="6"/>
      <c r="E224" s="8"/>
      <c r="F224" s="3"/>
      <c r="G224" s="3"/>
      <c r="H224" s="9"/>
    </row>
    <row r="225" spans="1:8" ht="30" customHeight="1" x14ac:dyDescent="0.3">
      <c r="A225" s="5"/>
      <c r="B225" s="3"/>
      <c r="C225" s="9"/>
      <c r="D225" s="6"/>
      <c r="E225" s="8"/>
      <c r="F225" s="3"/>
      <c r="G225" s="3"/>
      <c r="H225" s="9"/>
    </row>
    <row r="226" spans="1:8" ht="30" customHeight="1" x14ac:dyDescent="0.3">
      <c r="A226" s="5"/>
      <c r="B226" s="3"/>
      <c r="C226" s="9"/>
      <c r="D226" s="6"/>
      <c r="E226" s="8"/>
      <c r="F226" s="3"/>
      <c r="G226" s="3"/>
      <c r="H226" s="9"/>
    </row>
    <row r="227" spans="1:8" ht="30" customHeight="1" x14ac:dyDescent="0.3">
      <c r="A227" s="5"/>
      <c r="B227" s="3"/>
      <c r="C227" s="9"/>
      <c r="D227" s="6"/>
      <c r="E227" s="8"/>
      <c r="F227" s="3"/>
      <c r="G227" s="3"/>
      <c r="H227" s="9"/>
    </row>
    <row r="228" spans="1:8" ht="30" customHeight="1" x14ac:dyDescent="0.3">
      <c r="A228" s="5"/>
      <c r="B228" s="3"/>
      <c r="C228" s="9"/>
      <c r="D228" s="6"/>
      <c r="E228" s="8"/>
      <c r="F228" s="3"/>
      <c r="G228" s="3"/>
      <c r="H228" s="9"/>
    </row>
    <row r="229" spans="1:8" ht="30" customHeight="1" x14ac:dyDescent="0.3">
      <c r="A229" s="5"/>
      <c r="B229" s="3"/>
      <c r="C229" s="9"/>
      <c r="D229" s="6"/>
      <c r="E229" s="8"/>
      <c r="F229" s="3"/>
      <c r="G229" s="3"/>
      <c r="H229" s="9"/>
    </row>
    <row r="230" spans="1:8" ht="30" customHeight="1" x14ac:dyDescent="0.3">
      <c r="A230" s="5"/>
      <c r="B230" s="3"/>
      <c r="C230" s="9"/>
      <c r="D230" s="6"/>
      <c r="E230" s="8"/>
      <c r="F230" s="3"/>
      <c r="G230" s="3"/>
      <c r="H230" s="9"/>
    </row>
    <row r="231" spans="1:8" ht="30" customHeight="1" x14ac:dyDescent="0.3">
      <c r="A231" s="5"/>
      <c r="B231" s="3"/>
      <c r="C231" s="9"/>
      <c r="D231" s="6"/>
      <c r="E231" s="8"/>
      <c r="F231" s="3"/>
      <c r="G231" s="3"/>
      <c r="H231" s="9"/>
    </row>
    <row r="232" spans="1:8" ht="30" customHeight="1" x14ac:dyDescent="0.3">
      <c r="A232" s="5"/>
      <c r="B232" s="3"/>
      <c r="C232" s="9"/>
      <c r="D232" s="6"/>
      <c r="E232" s="8"/>
      <c r="F232" s="3"/>
      <c r="G232" s="3"/>
      <c r="H232" s="9"/>
    </row>
    <row r="233" spans="1:8" ht="30" customHeight="1" x14ac:dyDescent="0.3">
      <c r="A233" s="5"/>
      <c r="B233" s="3"/>
      <c r="C233" s="9"/>
      <c r="D233" s="6"/>
      <c r="E233" s="8"/>
      <c r="F233" s="3"/>
      <c r="G233" s="3"/>
      <c r="H233" s="9"/>
    </row>
    <row r="234" spans="1:8" ht="30" customHeight="1" x14ac:dyDescent="0.3">
      <c r="A234" s="5"/>
      <c r="B234" s="3"/>
      <c r="C234" s="9"/>
      <c r="D234" s="6"/>
      <c r="E234" s="8"/>
      <c r="F234" s="3"/>
      <c r="G234" s="3"/>
      <c r="H234" s="9"/>
    </row>
    <row r="235" spans="1:8" ht="30" customHeight="1" x14ac:dyDescent="0.3">
      <c r="A235" s="5"/>
      <c r="B235" s="3"/>
      <c r="C235" s="9"/>
      <c r="D235" s="6"/>
      <c r="E235" s="8"/>
      <c r="F235" s="3"/>
      <c r="G235" s="3"/>
      <c r="H235" s="9"/>
    </row>
    <row r="236" spans="1:8" ht="30" customHeight="1" x14ac:dyDescent="0.3">
      <c r="A236" s="5"/>
      <c r="B236" s="3"/>
      <c r="C236" s="9"/>
      <c r="D236" s="6"/>
      <c r="E236" s="8"/>
      <c r="F236" s="3"/>
      <c r="G236" s="3"/>
      <c r="H236" s="9"/>
    </row>
    <row r="237" spans="1:8" ht="30" customHeight="1" x14ac:dyDescent="0.3">
      <c r="A237" s="5"/>
      <c r="B237" s="3"/>
      <c r="C237" s="9"/>
      <c r="D237" s="6"/>
      <c r="E237" s="8"/>
      <c r="F237" s="3"/>
      <c r="G237" s="3"/>
      <c r="H237" s="9"/>
    </row>
    <row r="238" spans="1:8" ht="30" customHeight="1" x14ac:dyDescent="0.3">
      <c r="A238" s="5"/>
      <c r="B238" s="3"/>
      <c r="C238" s="9"/>
      <c r="D238" s="6"/>
      <c r="E238" s="8"/>
      <c r="F238" s="3"/>
      <c r="G238" s="3"/>
      <c r="H238" s="9"/>
    </row>
    <row r="239" spans="1:8" ht="30" customHeight="1" x14ac:dyDescent="0.3">
      <c r="A239" s="5"/>
      <c r="B239" s="3"/>
      <c r="C239" s="9"/>
      <c r="D239" s="6"/>
      <c r="E239" s="8"/>
      <c r="F239" s="3"/>
      <c r="G239" s="3"/>
      <c r="H239" s="9"/>
    </row>
    <row r="240" spans="1:8" ht="30" customHeight="1" x14ac:dyDescent="0.3">
      <c r="A240" s="5"/>
      <c r="B240" s="3"/>
      <c r="C240" s="9"/>
      <c r="D240" s="6"/>
      <c r="E240" s="8"/>
      <c r="F240" s="3"/>
      <c r="G240" s="3"/>
      <c r="H240" s="9"/>
    </row>
    <row r="241" spans="1:8" ht="30" customHeight="1" x14ac:dyDescent="0.3">
      <c r="A241" s="5"/>
      <c r="B241" s="3"/>
      <c r="C241" s="9"/>
      <c r="D241" s="6"/>
      <c r="E241" s="8"/>
      <c r="F241" s="3"/>
      <c r="G241" s="3"/>
      <c r="H241" s="9"/>
    </row>
    <row r="242" spans="1:8" ht="30" customHeight="1" x14ac:dyDescent="0.3">
      <c r="A242" s="5"/>
      <c r="B242" s="3"/>
      <c r="C242" s="9"/>
      <c r="D242" s="6"/>
      <c r="E242" s="8"/>
      <c r="F242" s="3"/>
      <c r="G242" s="3"/>
      <c r="H242" s="9"/>
    </row>
    <row r="243" spans="1:8" ht="30" customHeight="1" x14ac:dyDescent="0.3">
      <c r="A243" s="5"/>
      <c r="B243" s="3"/>
      <c r="C243" s="9"/>
      <c r="D243" s="6"/>
      <c r="E243" s="8"/>
      <c r="F243" s="3"/>
      <c r="G243" s="3"/>
      <c r="H243" s="9"/>
    </row>
    <row r="244" spans="1:8" ht="30" customHeight="1" x14ac:dyDescent="0.3">
      <c r="A244" s="5"/>
      <c r="B244" s="3"/>
      <c r="C244" s="9"/>
      <c r="D244" s="6"/>
      <c r="E244" s="8"/>
      <c r="F244" s="3"/>
      <c r="G244" s="3"/>
      <c r="H244" s="9"/>
    </row>
    <row r="245" spans="1:8" ht="30" customHeight="1" x14ac:dyDescent="0.3">
      <c r="A245" s="5"/>
      <c r="B245" s="3"/>
      <c r="C245" s="9"/>
      <c r="D245" s="6"/>
      <c r="E245" s="8"/>
      <c r="F245" s="3"/>
      <c r="G245" s="3"/>
      <c r="H245" s="9"/>
    </row>
    <row r="246" spans="1:8" ht="30" customHeight="1" x14ac:dyDescent="0.3">
      <c r="A246" s="5"/>
      <c r="B246" s="3"/>
      <c r="C246" s="9"/>
      <c r="D246" s="6"/>
      <c r="E246" s="8"/>
      <c r="F246" s="3"/>
      <c r="G246" s="3"/>
      <c r="H246" s="9"/>
    </row>
    <row r="247" spans="1:8" ht="30" customHeight="1" x14ac:dyDescent="0.3">
      <c r="A247" s="5"/>
      <c r="B247" s="3"/>
      <c r="C247" s="9"/>
      <c r="D247" s="6"/>
      <c r="E247" s="8"/>
      <c r="F247" s="3"/>
      <c r="G247" s="3"/>
      <c r="H247" s="9"/>
    </row>
    <row r="248" spans="1:8" ht="30" customHeight="1" x14ac:dyDescent="0.3">
      <c r="A248" s="5"/>
      <c r="B248" s="3"/>
      <c r="C248" s="9"/>
      <c r="D248" s="6"/>
      <c r="E248" s="8"/>
      <c r="F248" s="3"/>
      <c r="G248" s="3"/>
      <c r="H248" s="9"/>
    </row>
    <row r="249" spans="1:8" ht="30" customHeight="1" x14ac:dyDescent="0.3">
      <c r="A249" s="5"/>
      <c r="B249" s="3"/>
      <c r="C249" s="9"/>
      <c r="D249" s="6"/>
      <c r="E249" s="8"/>
      <c r="F249" s="3"/>
      <c r="G249" s="3"/>
      <c r="H249" s="9"/>
    </row>
    <row r="250" spans="1:8" ht="30" customHeight="1" x14ac:dyDescent="0.3">
      <c r="A250" s="5"/>
      <c r="B250" s="3"/>
      <c r="C250" s="9"/>
      <c r="D250" s="6"/>
      <c r="E250" s="8"/>
      <c r="F250" s="3"/>
      <c r="G250" s="3"/>
      <c r="H250" s="9"/>
    </row>
    <row r="251" spans="1:8" ht="30" customHeight="1" x14ac:dyDescent="0.3">
      <c r="A251" s="5"/>
      <c r="B251" s="3"/>
      <c r="C251" s="9"/>
      <c r="D251" s="6"/>
      <c r="E251" s="8"/>
      <c r="F251" s="3"/>
      <c r="G251" s="3"/>
      <c r="H251" s="9"/>
    </row>
    <row r="252" spans="1:8" ht="30" customHeight="1" x14ac:dyDescent="0.3">
      <c r="A252" s="5"/>
      <c r="B252" s="3"/>
      <c r="C252" s="9"/>
      <c r="D252" s="6"/>
      <c r="E252" s="8"/>
      <c r="F252" s="3"/>
      <c r="G252" s="3"/>
      <c r="H252" s="9"/>
    </row>
    <row r="253" spans="1:8" ht="30" customHeight="1" x14ac:dyDescent="0.3">
      <c r="A253" s="5"/>
      <c r="B253" s="3"/>
      <c r="C253" s="9"/>
      <c r="D253" s="6"/>
      <c r="E253" s="8"/>
      <c r="F253" s="3"/>
      <c r="G253" s="3"/>
      <c r="H253" s="9"/>
    </row>
    <row r="254" spans="1:8" ht="30" customHeight="1" x14ac:dyDescent="0.3">
      <c r="A254" s="5"/>
      <c r="B254" s="3"/>
      <c r="C254" s="9"/>
      <c r="D254" s="6"/>
      <c r="E254" s="8"/>
      <c r="F254" s="3"/>
      <c r="G254" s="3"/>
      <c r="H254" s="9"/>
    </row>
    <row r="255" spans="1:8" ht="30" customHeight="1" x14ac:dyDescent="0.3">
      <c r="A255" s="5"/>
      <c r="B255" s="3"/>
      <c r="C255" s="9"/>
      <c r="D255" s="6"/>
      <c r="E255" s="8"/>
      <c r="F255" s="3"/>
      <c r="G255" s="3"/>
      <c r="H255" s="9"/>
    </row>
    <row r="256" spans="1:8" ht="30" customHeight="1" x14ac:dyDescent="0.3">
      <c r="A256" s="5"/>
      <c r="B256" s="3"/>
      <c r="C256" s="9"/>
      <c r="D256" s="6"/>
      <c r="E256" s="8"/>
      <c r="F256" s="3"/>
      <c r="G256" s="3"/>
      <c r="H256" s="9"/>
    </row>
    <row r="257" spans="1:8" ht="30" customHeight="1" x14ac:dyDescent="0.3">
      <c r="A257" s="5"/>
      <c r="B257" s="3"/>
      <c r="C257" s="9"/>
      <c r="D257" s="6"/>
      <c r="E257" s="8"/>
      <c r="F257" s="3"/>
      <c r="G257" s="3"/>
      <c r="H257" s="9"/>
    </row>
    <row r="258" spans="1:8" ht="30" customHeight="1" x14ac:dyDescent="0.3">
      <c r="A258" s="5"/>
      <c r="B258" s="3"/>
      <c r="C258" s="9"/>
      <c r="D258" s="6"/>
      <c r="E258" s="8"/>
      <c r="F258" s="3"/>
      <c r="G258" s="3"/>
      <c r="H258" s="9"/>
    </row>
    <row r="259" spans="1:8" ht="30" customHeight="1" x14ac:dyDescent="0.3">
      <c r="A259" s="5"/>
      <c r="B259" s="3"/>
      <c r="C259" s="9"/>
      <c r="D259" s="6"/>
      <c r="E259" s="8"/>
      <c r="F259" s="3"/>
      <c r="G259" s="3"/>
      <c r="H259" s="9"/>
    </row>
    <row r="260" spans="1:8" ht="30" customHeight="1" x14ac:dyDescent="0.3">
      <c r="A260" s="5"/>
      <c r="B260" s="3"/>
      <c r="C260" s="9"/>
      <c r="D260" s="6"/>
      <c r="E260" s="8"/>
      <c r="F260" s="3"/>
      <c r="G260" s="3"/>
      <c r="H260" s="9"/>
    </row>
    <row r="261" spans="1:8" ht="30" customHeight="1" x14ac:dyDescent="0.3">
      <c r="A261" s="5"/>
      <c r="B261" s="3"/>
      <c r="C261" s="9"/>
      <c r="D261" s="6"/>
      <c r="E261" s="8"/>
      <c r="F261" s="3"/>
      <c r="G261" s="3"/>
      <c r="H261" s="9"/>
    </row>
    <row r="262" spans="1:8" ht="30" customHeight="1" x14ac:dyDescent="0.3">
      <c r="A262" s="5"/>
      <c r="B262" s="3"/>
      <c r="C262" s="9"/>
      <c r="D262" s="6"/>
      <c r="E262" s="8"/>
      <c r="F262" s="3"/>
      <c r="G262" s="3"/>
      <c r="H262" s="9"/>
    </row>
    <row r="263" spans="1:8" ht="30" customHeight="1" x14ac:dyDescent="0.3">
      <c r="A263" s="5"/>
      <c r="B263" s="3"/>
      <c r="C263" s="9"/>
      <c r="D263" s="6"/>
      <c r="E263" s="8"/>
      <c r="F263" s="3"/>
      <c r="G263" s="3"/>
      <c r="H263" s="9"/>
    </row>
    <row r="264" spans="1:8" ht="30" customHeight="1" x14ac:dyDescent="0.3">
      <c r="A264" s="5"/>
      <c r="B264" s="3"/>
      <c r="C264" s="9"/>
      <c r="D264" s="6"/>
      <c r="E264" s="8"/>
      <c r="F264" s="3"/>
      <c r="G264" s="3"/>
      <c r="H264" s="9"/>
    </row>
    <row r="265" spans="1:8" ht="30" customHeight="1" x14ac:dyDescent="0.3">
      <c r="A265" s="5"/>
      <c r="B265" s="3"/>
      <c r="C265" s="9"/>
      <c r="D265" s="6"/>
      <c r="E265" s="8"/>
      <c r="F265" s="3"/>
      <c r="G265" s="3"/>
      <c r="H265" s="9"/>
    </row>
    <row r="266" spans="1:8" ht="30" customHeight="1" x14ac:dyDescent="0.3">
      <c r="A266" s="5"/>
      <c r="B266" s="3"/>
      <c r="C266" s="9"/>
      <c r="D266" s="6"/>
      <c r="E266" s="8"/>
      <c r="F266" s="3"/>
      <c r="G266" s="3"/>
      <c r="H266" s="9"/>
    </row>
    <row r="267" spans="1:8" ht="30" customHeight="1" x14ac:dyDescent="0.3">
      <c r="A267" s="5"/>
      <c r="B267" s="3"/>
      <c r="C267" s="9"/>
      <c r="D267" s="6"/>
      <c r="E267" s="8"/>
      <c r="F267" s="3"/>
      <c r="G267" s="3"/>
      <c r="H267" s="9"/>
    </row>
    <row r="268" spans="1:8" ht="30" customHeight="1" x14ac:dyDescent="0.3">
      <c r="A268" s="5"/>
      <c r="B268" s="3"/>
      <c r="C268" s="9"/>
      <c r="D268" s="6"/>
      <c r="E268" s="8"/>
      <c r="F268" s="3"/>
      <c r="G268" s="3"/>
      <c r="H268" s="9"/>
    </row>
    <row r="269" spans="1:8" ht="30" customHeight="1" x14ac:dyDescent="0.3">
      <c r="A269" s="5"/>
      <c r="B269" s="3"/>
      <c r="C269" s="9"/>
      <c r="D269" s="6"/>
      <c r="E269" s="8"/>
      <c r="F269" s="3"/>
      <c r="G269" s="3"/>
      <c r="H269" s="9"/>
    </row>
    <row r="270" spans="1:8" ht="30" customHeight="1" x14ac:dyDescent="0.3">
      <c r="A270" s="5"/>
      <c r="B270" s="3"/>
      <c r="C270" s="9"/>
      <c r="D270" s="6"/>
      <c r="E270" s="8"/>
      <c r="F270" s="3"/>
      <c r="G270" s="3"/>
      <c r="H270" s="9"/>
    </row>
    <row r="271" spans="1:8" ht="30" customHeight="1" x14ac:dyDescent="0.3">
      <c r="A271" s="5"/>
      <c r="B271" s="3"/>
      <c r="C271" s="9"/>
      <c r="D271" s="6"/>
      <c r="E271" s="8"/>
      <c r="F271" s="3"/>
      <c r="G271" s="3"/>
      <c r="H271" s="9"/>
    </row>
    <row r="272" spans="1:8" ht="30" customHeight="1" x14ac:dyDescent="0.3">
      <c r="A272" s="5"/>
      <c r="B272" s="3"/>
      <c r="C272" s="9"/>
      <c r="D272" s="6"/>
      <c r="E272" s="8"/>
      <c r="F272" s="3"/>
      <c r="G272" s="3"/>
      <c r="H272" s="9"/>
    </row>
    <row r="273" spans="1:8" ht="30" customHeight="1" x14ac:dyDescent="0.3">
      <c r="A273" s="5"/>
      <c r="B273" s="3"/>
      <c r="C273" s="9"/>
      <c r="D273" s="6"/>
      <c r="E273" s="8"/>
      <c r="F273" s="3"/>
      <c r="G273" s="3"/>
      <c r="H273" s="9"/>
    </row>
    <row r="274" spans="1:8" ht="30" customHeight="1" x14ac:dyDescent="0.3">
      <c r="A274" s="5"/>
      <c r="B274" s="3"/>
      <c r="C274" s="9"/>
      <c r="D274" s="6"/>
      <c r="E274" s="8"/>
      <c r="F274" s="3"/>
      <c r="G274" s="3"/>
      <c r="H274" s="9"/>
    </row>
    <row r="275" spans="1:8" ht="30" customHeight="1" x14ac:dyDescent="0.3">
      <c r="A275" s="2"/>
      <c r="B275" s="2"/>
      <c r="C275" s="9"/>
      <c r="D275" s="12"/>
      <c r="E275" s="10"/>
      <c r="F275" s="2"/>
      <c r="G275" s="2"/>
      <c r="H275" s="9"/>
    </row>
    <row r="276" spans="1:8" ht="30" customHeight="1" x14ac:dyDescent="0.3">
      <c r="A276" s="2"/>
      <c r="B276" s="2"/>
      <c r="C276" s="9"/>
      <c r="D276" s="12"/>
      <c r="E276" s="10"/>
      <c r="F276" s="2"/>
      <c r="G276" s="2"/>
      <c r="H276" s="9"/>
    </row>
    <row r="277" spans="1:8" ht="30" customHeight="1" x14ac:dyDescent="0.3">
      <c r="A277" s="2"/>
      <c r="B277" s="2"/>
      <c r="C277" s="9"/>
      <c r="D277" s="12"/>
      <c r="E277" s="10"/>
      <c r="F277" s="2"/>
      <c r="G277" s="2"/>
      <c r="H277" s="9"/>
    </row>
    <row r="278" spans="1:8" ht="30" customHeight="1" x14ac:dyDescent="0.3">
      <c r="A278" s="2"/>
      <c r="B278" s="2"/>
      <c r="C278" s="9"/>
      <c r="D278" s="12"/>
      <c r="E278" s="10"/>
      <c r="F278" s="2"/>
      <c r="G278" s="2"/>
      <c r="H278" s="9"/>
    </row>
    <row r="279" spans="1:8" ht="30" customHeight="1" x14ac:dyDescent="0.3">
      <c r="A279" s="2"/>
      <c r="B279" s="2"/>
      <c r="C279" s="9"/>
      <c r="D279" s="12"/>
      <c r="E279" s="10"/>
      <c r="F279" s="2"/>
      <c r="G279" s="2"/>
      <c r="H279" s="9"/>
    </row>
    <row r="280" spans="1:8" ht="30" customHeight="1" x14ac:dyDescent="0.3">
      <c r="A280" s="2"/>
      <c r="B280" s="2"/>
      <c r="C280" s="9"/>
      <c r="D280" s="12"/>
      <c r="E280" s="10"/>
      <c r="F280" s="2"/>
      <c r="G280" s="2"/>
      <c r="H280" s="9"/>
    </row>
    <row r="281" spans="1:8" ht="30" customHeight="1" x14ac:dyDescent="0.3">
      <c r="A281" s="2"/>
      <c r="B281" s="2"/>
      <c r="C281" s="9"/>
      <c r="D281" s="2"/>
      <c r="E281" s="10"/>
      <c r="F281" s="2"/>
      <c r="G281" s="2"/>
      <c r="H281" s="9"/>
    </row>
    <row r="282" spans="1:8" ht="30" customHeight="1" x14ac:dyDescent="0.3">
      <c r="A282" s="2"/>
      <c r="B282" s="2"/>
      <c r="C282" s="9"/>
      <c r="D282" s="2"/>
      <c r="E282" s="10"/>
      <c r="F282" s="2"/>
      <c r="G282" s="2"/>
      <c r="H282" s="9"/>
    </row>
    <row r="283" spans="1:8" x14ac:dyDescent="0.3">
      <c r="A283" s="9"/>
      <c r="B283" s="9"/>
      <c r="C283" s="9"/>
      <c r="D283" s="9"/>
      <c r="E283" s="9"/>
      <c r="F283" s="9"/>
      <c r="G283" s="9"/>
      <c r="H283" s="9"/>
    </row>
    <row r="284" spans="1:8" x14ac:dyDescent="0.3">
      <c r="A284" s="9"/>
      <c r="B284" s="9"/>
      <c r="C284" s="9"/>
      <c r="D284" s="9"/>
      <c r="E284" s="9"/>
      <c r="F284" s="9"/>
      <c r="G284" s="9"/>
      <c r="H284" s="9"/>
    </row>
    <row r="285" spans="1:8" x14ac:dyDescent="0.3">
      <c r="A285" s="9"/>
      <c r="B285" s="9"/>
      <c r="C285" s="9"/>
      <c r="D285" s="9"/>
      <c r="E285" s="9"/>
      <c r="F285" s="9"/>
      <c r="G285" s="9"/>
      <c r="H285" s="9"/>
    </row>
    <row r="286" spans="1:8" x14ac:dyDescent="0.3">
      <c r="A286" s="9"/>
      <c r="B286" s="9"/>
      <c r="C286" s="9"/>
      <c r="D286" s="9"/>
      <c r="E286" s="9"/>
      <c r="F286" s="9"/>
      <c r="G286" s="9"/>
      <c r="H286" s="9"/>
    </row>
    <row r="287" spans="1:8" x14ac:dyDescent="0.3">
      <c r="A287" s="9"/>
      <c r="B287" s="9"/>
      <c r="C287" s="9"/>
      <c r="D287" s="9"/>
      <c r="E287" s="9"/>
      <c r="F287" s="9"/>
      <c r="G287" s="9"/>
      <c r="H287" s="9"/>
    </row>
    <row r="288" spans="1:8" x14ac:dyDescent="0.3">
      <c r="A288" s="9"/>
      <c r="B288" s="9"/>
      <c r="C288" s="9"/>
      <c r="D288" s="9"/>
      <c r="E288" s="9"/>
      <c r="F288" s="9"/>
      <c r="G288" s="9"/>
      <c r="H288" s="9"/>
    </row>
    <row r="289" spans="1:8" x14ac:dyDescent="0.3">
      <c r="A289" s="9"/>
      <c r="B289" s="9"/>
      <c r="C289" s="9"/>
      <c r="D289" s="9"/>
      <c r="E289" s="9"/>
      <c r="F289" s="9"/>
      <c r="G289" s="9"/>
      <c r="H289" s="9"/>
    </row>
    <row r="290" spans="1:8" x14ac:dyDescent="0.3">
      <c r="A290" s="9"/>
      <c r="B290" s="9"/>
      <c r="C290" s="9"/>
      <c r="D290" s="9"/>
      <c r="E290" s="9"/>
      <c r="F290" s="9"/>
      <c r="G290" s="9"/>
      <c r="H290" s="9"/>
    </row>
    <row r="291" spans="1:8" x14ac:dyDescent="0.3">
      <c r="A291" s="9"/>
      <c r="B291" s="9"/>
      <c r="C291" s="9"/>
      <c r="D291" s="9"/>
      <c r="E291" s="9"/>
      <c r="F291" s="9"/>
      <c r="G291" s="9"/>
      <c r="H291" s="9"/>
    </row>
    <row r="292" spans="1:8" x14ac:dyDescent="0.3">
      <c r="A292" s="9"/>
      <c r="B292" s="9"/>
      <c r="C292" s="9"/>
      <c r="D292" s="9"/>
      <c r="E292" s="9"/>
      <c r="F292" s="9"/>
      <c r="G292" s="9"/>
      <c r="H292" s="9"/>
    </row>
    <row r="293" spans="1:8" x14ac:dyDescent="0.3">
      <c r="A293" s="9"/>
      <c r="B293" s="9"/>
      <c r="C293" s="9"/>
      <c r="D293" s="9"/>
      <c r="E293" s="9"/>
      <c r="F293" s="9"/>
      <c r="G293" s="9"/>
      <c r="H293" s="9"/>
    </row>
    <row r="294" spans="1:8" x14ac:dyDescent="0.3">
      <c r="A294" s="9"/>
      <c r="B294" s="9"/>
      <c r="C294" s="9"/>
      <c r="D294" s="9"/>
      <c r="E294" s="9"/>
      <c r="F294" s="9"/>
      <c r="G294" s="9"/>
      <c r="H294" s="9"/>
    </row>
    <row r="295" spans="1:8" x14ac:dyDescent="0.3">
      <c r="A295" s="9"/>
      <c r="B295" s="9"/>
      <c r="C295" s="9"/>
      <c r="D295" s="9"/>
      <c r="E295" s="9"/>
      <c r="F295" s="9"/>
      <c r="G295" s="9"/>
      <c r="H295" s="9"/>
    </row>
    <row r="296" spans="1:8" x14ac:dyDescent="0.3">
      <c r="A296" s="9"/>
      <c r="B296" s="9"/>
      <c r="C296" s="9"/>
      <c r="D296" s="9"/>
      <c r="E296" s="9"/>
      <c r="F296" s="9"/>
      <c r="G296" s="9"/>
      <c r="H296" s="9"/>
    </row>
    <row r="297" spans="1:8" x14ac:dyDescent="0.3">
      <c r="A297" s="9"/>
      <c r="B297" s="9"/>
      <c r="C297" s="9"/>
      <c r="D297" s="9"/>
      <c r="E297" s="9"/>
      <c r="F297" s="9"/>
      <c r="G297" s="9"/>
      <c r="H297" s="9"/>
    </row>
    <row r="298" spans="1:8" x14ac:dyDescent="0.3">
      <c r="A298" s="9"/>
      <c r="B298" s="9"/>
      <c r="C298" s="9"/>
      <c r="D298" s="9"/>
      <c r="E298" s="9"/>
      <c r="F298" s="9"/>
      <c r="G298" s="9"/>
      <c r="H298" s="9"/>
    </row>
    <row r="299" spans="1:8" x14ac:dyDescent="0.3">
      <c r="A299" s="9"/>
      <c r="B299" s="9"/>
      <c r="C299" s="9"/>
      <c r="D299" s="9"/>
      <c r="E299" s="9"/>
      <c r="F299" s="9"/>
      <c r="G299" s="9"/>
      <c r="H299" s="9"/>
    </row>
    <row r="300" spans="1:8" x14ac:dyDescent="0.3">
      <c r="A300" s="9"/>
      <c r="B300" s="9"/>
      <c r="C300" s="9"/>
      <c r="D300" s="9"/>
      <c r="E300" s="9"/>
      <c r="F300" s="9"/>
      <c r="G300" s="9"/>
      <c r="H300" s="9"/>
    </row>
    <row r="301" spans="1:8" x14ac:dyDescent="0.3">
      <c r="A301" s="9"/>
      <c r="B301" s="9"/>
      <c r="C301" s="9"/>
      <c r="D301" s="9"/>
      <c r="E301" s="9"/>
      <c r="F301" s="9"/>
      <c r="G301" s="9"/>
      <c r="H301" s="9"/>
    </row>
    <row r="302" spans="1:8" x14ac:dyDescent="0.3">
      <c r="A302" s="9"/>
      <c r="B302" s="9"/>
      <c r="C302" s="9"/>
      <c r="D302" s="9"/>
      <c r="E302" s="9"/>
      <c r="F302" s="9"/>
      <c r="G302" s="9"/>
      <c r="H302" s="9"/>
    </row>
    <row r="303" spans="1:8" x14ac:dyDescent="0.3">
      <c r="A303" s="9"/>
      <c r="B303" s="9"/>
      <c r="C303" s="9"/>
      <c r="D303" s="9"/>
      <c r="E303" s="9"/>
      <c r="F303" s="9"/>
      <c r="G303" s="9"/>
      <c r="H303" s="9"/>
    </row>
    <row r="304" spans="1:8" x14ac:dyDescent="0.3">
      <c r="A304" s="9"/>
      <c r="B304" s="9"/>
      <c r="C304" s="9"/>
      <c r="D304" s="9"/>
      <c r="E304" s="9"/>
      <c r="F304" s="9"/>
      <c r="G304" s="9"/>
      <c r="H304" s="9"/>
    </row>
    <row r="305" spans="1:8" x14ac:dyDescent="0.3">
      <c r="A305" s="9"/>
      <c r="B305" s="9"/>
      <c r="C305" s="9"/>
      <c r="D305" s="9"/>
      <c r="E305" s="9"/>
      <c r="F305" s="9"/>
      <c r="G305" s="9"/>
      <c r="H305" s="9"/>
    </row>
    <row r="306" spans="1:8" x14ac:dyDescent="0.3">
      <c r="A306" s="9"/>
      <c r="B306" s="9"/>
      <c r="C306" s="9"/>
      <c r="D306" s="9"/>
      <c r="E306" s="9"/>
      <c r="F306" s="9"/>
      <c r="G306" s="9"/>
      <c r="H306" s="9"/>
    </row>
    <row r="307" spans="1:8" x14ac:dyDescent="0.3">
      <c r="A307" s="9"/>
      <c r="B307" s="9"/>
      <c r="C307" s="9"/>
      <c r="D307" s="9"/>
      <c r="E307" s="9"/>
      <c r="F307" s="9"/>
      <c r="G307" s="9"/>
      <c r="H307" s="9"/>
    </row>
    <row r="308" spans="1:8" x14ac:dyDescent="0.3">
      <c r="A308" s="9"/>
      <c r="B308" s="9"/>
      <c r="C308" s="9"/>
      <c r="D308" s="9"/>
      <c r="E308" s="9"/>
      <c r="F308" s="9"/>
      <c r="G308" s="9"/>
      <c r="H308" s="9"/>
    </row>
    <row r="309" spans="1:8" x14ac:dyDescent="0.3">
      <c r="A309" s="9"/>
      <c r="B309" s="9"/>
      <c r="C309" s="9"/>
      <c r="D309" s="9"/>
      <c r="E309" s="9"/>
      <c r="F309" s="9"/>
      <c r="G309" s="9"/>
      <c r="H309" s="9"/>
    </row>
    <row r="310" spans="1:8" x14ac:dyDescent="0.3">
      <c r="A310" s="9"/>
      <c r="B310" s="9"/>
      <c r="C310" s="9"/>
      <c r="D310" s="9"/>
      <c r="E310" s="9"/>
      <c r="F310" s="9"/>
      <c r="G310" s="9"/>
      <c r="H310" s="9"/>
    </row>
    <row r="311" spans="1:8" x14ac:dyDescent="0.3">
      <c r="A311" s="9"/>
      <c r="B311" s="9"/>
      <c r="C311" s="9"/>
      <c r="D311" s="9"/>
      <c r="E311" s="9"/>
      <c r="F311" s="9"/>
      <c r="G311" s="9"/>
      <c r="H311" s="9"/>
    </row>
    <row r="312" spans="1:8" x14ac:dyDescent="0.3">
      <c r="A312" s="9"/>
      <c r="B312" s="9"/>
      <c r="C312" s="9"/>
      <c r="D312" s="9"/>
      <c r="E312" s="9"/>
      <c r="F312" s="9"/>
      <c r="G312" s="9"/>
      <c r="H312" s="9"/>
    </row>
    <row r="313" spans="1:8" x14ac:dyDescent="0.3">
      <c r="A313" s="9"/>
      <c r="B313" s="9"/>
      <c r="C313" s="9"/>
      <c r="D313" s="9"/>
      <c r="E313" s="9"/>
      <c r="F313" s="9"/>
      <c r="G313" s="9"/>
      <c r="H313" s="9"/>
    </row>
    <row r="314" spans="1:8" x14ac:dyDescent="0.3">
      <c r="A314" s="9"/>
      <c r="B314" s="9"/>
      <c r="C314" s="9"/>
      <c r="D314" s="9"/>
      <c r="E314" s="9"/>
      <c r="F314" s="9"/>
      <c r="G314" s="9"/>
      <c r="H314" s="9"/>
    </row>
    <row r="315" spans="1:8" x14ac:dyDescent="0.3">
      <c r="A315" s="9"/>
      <c r="B315" s="9"/>
      <c r="C315" s="9"/>
      <c r="D315" s="9"/>
      <c r="E315" s="9"/>
      <c r="F315" s="9"/>
      <c r="G315" s="9"/>
      <c r="H315" s="9"/>
    </row>
    <row r="316" spans="1:8" x14ac:dyDescent="0.3">
      <c r="A316" s="9"/>
      <c r="B316" s="9"/>
      <c r="C316" s="9"/>
      <c r="D316" s="9"/>
      <c r="E316" s="9"/>
      <c r="F316" s="9"/>
      <c r="G316" s="9"/>
      <c r="H316" s="9"/>
    </row>
    <row r="317" spans="1:8" x14ac:dyDescent="0.3">
      <c r="A317" s="9"/>
      <c r="B317" s="9"/>
      <c r="C317" s="9"/>
      <c r="D317" s="9"/>
      <c r="E317" s="9"/>
      <c r="F317" s="9"/>
      <c r="G317" s="9"/>
      <c r="H317" s="9"/>
    </row>
    <row r="318" spans="1:8" x14ac:dyDescent="0.3">
      <c r="A318" s="9"/>
      <c r="B318" s="9"/>
      <c r="C318" s="9"/>
      <c r="D318" s="9"/>
      <c r="E318" s="9"/>
      <c r="F318" s="9"/>
      <c r="G318" s="9"/>
      <c r="H318" s="9"/>
    </row>
    <row r="319" spans="1:8" x14ac:dyDescent="0.3">
      <c r="A319" s="9"/>
      <c r="B319" s="9"/>
      <c r="C319" s="9"/>
      <c r="D319" s="9"/>
      <c r="E319" s="9"/>
      <c r="F319" s="9"/>
      <c r="G319" s="9"/>
      <c r="H319" s="9"/>
    </row>
    <row r="320" spans="1:8" x14ac:dyDescent="0.3">
      <c r="A320" s="9"/>
      <c r="B320" s="9"/>
      <c r="C320" s="9"/>
      <c r="D320" s="9"/>
      <c r="E320" s="9"/>
      <c r="F320" s="9"/>
      <c r="G320" s="9"/>
      <c r="H320" s="9"/>
    </row>
    <row r="321" spans="1:8" x14ac:dyDescent="0.3">
      <c r="A321" s="9"/>
      <c r="B321" s="9"/>
      <c r="C321" s="9"/>
      <c r="D321" s="9"/>
      <c r="E321" s="9"/>
      <c r="F321" s="9"/>
      <c r="G321" s="9"/>
      <c r="H321" s="9"/>
    </row>
    <row r="322" spans="1:8" x14ac:dyDescent="0.3">
      <c r="A322" s="9"/>
      <c r="B322" s="9"/>
      <c r="C322" s="9"/>
      <c r="D322" s="9"/>
      <c r="E322" s="9"/>
      <c r="F322" s="9"/>
      <c r="G322" s="9"/>
      <c r="H322" s="9"/>
    </row>
    <row r="323" spans="1:8" x14ac:dyDescent="0.3">
      <c r="A323" s="9"/>
      <c r="B323" s="9"/>
      <c r="C323" s="9"/>
      <c r="D323" s="9"/>
      <c r="E323" s="9"/>
      <c r="F323" s="9"/>
      <c r="G323" s="9"/>
      <c r="H323" s="9"/>
    </row>
    <row r="324" spans="1:8" x14ac:dyDescent="0.3">
      <c r="A324" s="9"/>
      <c r="B324" s="9"/>
      <c r="C324" s="9"/>
      <c r="D324" s="9"/>
      <c r="E324" s="9"/>
      <c r="F324" s="9"/>
      <c r="G324" s="9"/>
      <c r="H324" s="9"/>
    </row>
    <row r="325" spans="1:8" x14ac:dyDescent="0.3">
      <c r="A325" s="9"/>
      <c r="B325" s="9"/>
      <c r="C325" s="9"/>
      <c r="D325" s="9"/>
      <c r="E325" s="9"/>
      <c r="F325" s="9"/>
      <c r="G325" s="9"/>
      <c r="H325" s="9"/>
    </row>
    <row r="326" spans="1:8" x14ac:dyDescent="0.3">
      <c r="A326" s="9"/>
      <c r="B326" s="9"/>
      <c r="C326" s="9"/>
      <c r="D326" s="9"/>
      <c r="E326" s="9"/>
      <c r="F326" s="9"/>
      <c r="G326" s="9"/>
      <c r="H326" s="9"/>
    </row>
    <row r="327" spans="1:8" x14ac:dyDescent="0.3">
      <c r="A327" s="9"/>
      <c r="B327" s="9"/>
      <c r="C327" s="9"/>
      <c r="D327" s="9"/>
      <c r="E327" s="9"/>
      <c r="F327" s="9"/>
      <c r="G327" s="9"/>
      <c r="H327" s="9"/>
    </row>
    <row r="328" spans="1:8" x14ac:dyDescent="0.3">
      <c r="A328" s="9"/>
      <c r="B328" s="9"/>
      <c r="C328" s="9"/>
      <c r="D328" s="9"/>
      <c r="E328" s="9"/>
      <c r="F328" s="9"/>
      <c r="G328" s="9"/>
      <c r="H328" s="9"/>
    </row>
    <row r="329" spans="1:8" x14ac:dyDescent="0.3">
      <c r="A329" s="9"/>
      <c r="B329" s="9"/>
      <c r="C329" s="9"/>
      <c r="D329" s="9"/>
      <c r="E329" s="9"/>
      <c r="F329" s="9"/>
      <c r="G329" s="9"/>
      <c r="H329" s="9"/>
    </row>
    <row r="330" spans="1:8" x14ac:dyDescent="0.3">
      <c r="A330" s="9"/>
      <c r="B330" s="9"/>
      <c r="C330" s="9"/>
      <c r="D330" s="9"/>
      <c r="E330" s="9"/>
      <c r="F330" s="9"/>
      <c r="G330" s="9"/>
      <c r="H330" s="9"/>
    </row>
    <row r="331" spans="1:8" x14ac:dyDescent="0.3">
      <c r="A331" s="9"/>
      <c r="B331" s="9"/>
      <c r="C331" s="9"/>
      <c r="D331" s="9"/>
      <c r="E331" s="9"/>
      <c r="F331" s="9"/>
      <c r="G331" s="9"/>
      <c r="H331" s="9"/>
    </row>
    <row r="332" spans="1:8" x14ac:dyDescent="0.3">
      <c r="A332" s="9"/>
      <c r="B332" s="9"/>
      <c r="C332" s="9"/>
      <c r="D332" s="9"/>
      <c r="E332" s="9"/>
      <c r="F332" s="9"/>
      <c r="G332" s="9"/>
      <c r="H332" s="9"/>
    </row>
    <row r="333" spans="1:8" x14ac:dyDescent="0.3">
      <c r="A333" s="9"/>
      <c r="B333" s="9"/>
      <c r="C333" s="9"/>
      <c r="D333" s="9"/>
      <c r="E333" s="9"/>
      <c r="F333" s="9"/>
      <c r="G333" s="9"/>
      <c r="H333" s="9"/>
    </row>
    <row r="334" spans="1:8" x14ac:dyDescent="0.3">
      <c r="A334" s="9"/>
      <c r="B334" s="9"/>
      <c r="C334" s="9"/>
      <c r="D334" s="9"/>
      <c r="E334" s="9"/>
      <c r="F334" s="9"/>
      <c r="G334" s="9"/>
      <c r="H334" s="9"/>
    </row>
    <row r="335" spans="1:8" x14ac:dyDescent="0.3">
      <c r="A335" s="9"/>
      <c r="B335" s="9"/>
      <c r="C335" s="9"/>
      <c r="D335" s="9"/>
      <c r="E335" s="9"/>
      <c r="F335" s="9"/>
      <c r="G335" s="9"/>
      <c r="H335" s="9"/>
    </row>
    <row r="336" spans="1:8" x14ac:dyDescent="0.3">
      <c r="A336" s="9"/>
      <c r="B336" s="9"/>
      <c r="C336" s="9"/>
      <c r="D336" s="9"/>
      <c r="E336" s="9"/>
      <c r="F336" s="9"/>
      <c r="G336" s="9"/>
      <c r="H336" s="9"/>
    </row>
    <row r="337" spans="1:8" x14ac:dyDescent="0.3">
      <c r="A337" s="9"/>
      <c r="B337" s="9"/>
      <c r="C337" s="9"/>
      <c r="D337" s="9"/>
      <c r="E337" s="9"/>
      <c r="F337" s="9"/>
      <c r="G337" s="9"/>
      <c r="H337" s="9"/>
    </row>
    <row r="338" spans="1:8" x14ac:dyDescent="0.3">
      <c r="A338" s="9"/>
      <c r="B338" s="9"/>
      <c r="C338" s="9"/>
      <c r="D338" s="9"/>
      <c r="E338" s="9"/>
      <c r="F338" s="9"/>
      <c r="G338" s="9"/>
      <c r="H338" s="9"/>
    </row>
    <row r="339" spans="1:8" x14ac:dyDescent="0.3">
      <c r="A339" s="9"/>
      <c r="B339" s="9"/>
      <c r="C339" s="9"/>
      <c r="D339" s="9"/>
      <c r="E339" s="9"/>
      <c r="F339" s="9"/>
      <c r="G339" s="9"/>
      <c r="H339" s="9"/>
    </row>
    <row r="340" spans="1:8" x14ac:dyDescent="0.3">
      <c r="A340" s="9"/>
      <c r="B340" s="9"/>
      <c r="C340" s="9"/>
      <c r="D340" s="9"/>
      <c r="E340" s="9"/>
      <c r="F340" s="9"/>
      <c r="G340" s="9"/>
      <c r="H340" s="9"/>
    </row>
    <row r="341" spans="1:8" x14ac:dyDescent="0.3">
      <c r="A341" s="9"/>
      <c r="B341" s="9"/>
      <c r="C341" s="9"/>
      <c r="D341" s="9"/>
      <c r="E341" s="9"/>
      <c r="F341" s="9"/>
      <c r="G341" s="9"/>
      <c r="H341" s="9"/>
    </row>
    <row r="342" spans="1:8" x14ac:dyDescent="0.3">
      <c r="A342" s="9"/>
      <c r="B342" s="9"/>
      <c r="C342" s="9"/>
      <c r="D342" s="9"/>
      <c r="E342" s="9"/>
      <c r="F342" s="9"/>
      <c r="G342" s="9"/>
      <c r="H342" s="9"/>
    </row>
    <row r="343" spans="1:8" x14ac:dyDescent="0.3">
      <c r="A343" s="9"/>
      <c r="B343" s="9"/>
      <c r="C343" s="9"/>
      <c r="D343" s="9"/>
      <c r="E343" s="9"/>
      <c r="F343" s="9"/>
      <c r="G343" s="9"/>
      <c r="H343" s="9"/>
    </row>
    <row r="344" spans="1:8" x14ac:dyDescent="0.3">
      <c r="A344" s="9"/>
      <c r="B344" s="9"/>
      <c r="C344" s="9"/>
      <c r="D344" s="9"/>
      <c r="E344" s="9"/>
      <c r="F344" s="9"/>
      <c r="G344" s="9"/>
      <c r="H344" s="9"/>
    </row>
    <row r="345" spans="1:8" x14ac:dyDescent="0.3">
      <c r="A345" s="9"/>
      <c r="B345" s="9"/>
      <c r="C345" s="9"/>
      <c r="D345" s="9"/>
      <c r="E345" s="9"/>
      <c r="F345" s="9"/>
      <c r="G345" s="9"/>
      <c r="H345" s="9"/>
    </row>
    <row r="346" spans="1:8" x14ac:dyDescent="0.3">
      <c r="A346" s="9"/>
      <c r="B346" s="9"/>
      <c r="C346" s="9"/>
      <c r="D346" s="9"/>
      <c r="E346" s="9"/>
      <c r="F346" s="9"/>
      <c r="G346" s="9"/>
      <c r="H346" s="9"/>
    </row>
    <row r="347" spans="1:8" x14ac:dyDescent="0.3">
      <c r="A347" s="9"/>
      <c r="B347" s="9"/>
      <c r="C347" s="9"/>
      <c r="D347" s="9"/>
      <c r="E347" s="9"/>
      <c r="F347" s="9"/>
      <c r="G347" s="9"/>
      <c r="H347" s="9"/>
    </row>
    <row r="348" spans="1:8" x14ac:dyDescent="0.3">
      <c r="A348" s="9"/>
      <c r="B348" s="9"/>
      <c r="C348" s="9"/>
      <c r="D348" s="9"/>
      <c r="E348" s="9"/>
      <c r="F348" s="9"/>
      <c r="G348" s="9"/>
      <c r="H348" s="9"/>
    </row>
    <row r="349" spans="1:8" x14ac:dyDescent="0.3">
      <c r="A349" s="9"/>
      <c r="B349" s="9"/>
      <c r="C349" s="9"/>
      <c r="D349" s="9"/>
      <c r="E349" s="9"/>
      <c r="F349" s="9"/>
      <c r="G349" s="9"/>
      <c r="H349" s="9"/>
    </row>
    <row r="350" spans="1:8" x14ac:dyDescent="0.3">
      <c r="A350" s="9"/>
      <c r="B350" s="9"/>
      <c r="C350" s="9"/>
      <c r="D350" s="9"/>
      <c r="E350" s="9"/>
      <c r="F350" s="9"/>
      <c r="G350" s="9"/>
      <c r="H350" s="9"/>
    </row>
    <row r="351" spans="1:8" x14ac:dyDescent="0.3">
      <c r="A351" s="9"/>
      <c r="B351" s="9"/>
      <c r="C351" s="9"/>
      <c r="D351" s="9"/>
      <c r="E351" s="9"/>
      <c r="F351" s="9"/>
      <c r="G351" s="9"/>
      <c r="H351" s="9"/>
    </row>
    <row r="352" spans="1:8" x14ac:dyDescent="0.3">
      <c r="A352" s="9"/>
      <c r="B352" s="9"/>
      <c r="C352" s="9"/>
      <c r="D352" s="9"/>
      <c r="E352" s="9"/>
      <c r="F352" s="9"/>
      <c r="G352" s="9"/>
      <c r="H352" s="9"/>
    </row>
    <row r="353" spans="1:8" x14ac:dyDescent="0.3">
      <c r="A353" s="9"/>
      <c r="B353" s="9"/>
      <c r="C353" s="9"/>
      <c r="D353" s="9"/>
      <c r="E353" s="9"/>
      <c r="F353" s="9"/>
      <c r="G353" s="9"/>
      <c r="H353" s="9"/>
    </row>
    <row r="354" spans="1:8" x14ac:dyDescent="0.3">
      <c r="A354" s="9"/>
      <c r="B354" s="9"/>
      <c r="C354" s="9"/>
      <c r="D354" s="9"/>
      <c r="E354" s="9"/>
      <c r="F354" s="9"/>
      <c r="G354" s="9"/>
      <c r="H354" s="9"/>
    </row>
    <row r="355" spans="1:8" x14ac:dyDescent="0.3">
      <c r="A355" s="9"/>
      <c r="B355" s="9"/>
      <c r="C355" s="9"/>
      <c r="D355" s="9"/>
      <c r="E355" s="9"/>
      <c r="F355" s="9"/>
      <c r="G355" s="9"/>
      <c r="H355" s="9"/>
    </row>
    <row r="356" spans="1:8" x14ac:dyDescent="0.3">
      <c r="A356" s="9"/>
      <c r="B356" s="9"/>
      <c r="C356" s="9"/>
      <c r="D356" s="9"/>
      <c r="E356" s="9"/>
      <c r="F356" s="9"/>
      <c r="G356" s="9"/>
      <c r="H356" s="9"/>
    </row>
    <row r="357" spans="1:8" x14ac:dyDescent="0.3">
      <c r="A357" s="9"/>
      <c r="B357" s="9"/>
      <c r="C357" s="9"/>
      <c r="D357" s="9"/>
      <c r="E357" s="9"/>
      <c r="F357" s="9"/>
      <c r="G357" s="9"/>
      <c r="H357" s="9"/>
    </row>
    <row r="358" spans="1:8" x14ac:dyDescent="0.3">
      <c r="A358" s="9"/>
      <c r="B358" s="9"/>
      <c r="C358" s="9"/>
      <c r="D358" s="9"/>
      <c r="E358" s="9"/>
      <c r="F358" s="9"/>
      <c r="G358" s="9"/>
      <c r="H358" s="9"/>
    </row>
    <row r="359" spans="1:8" x14ac:dyDescent="0.3">
      <c r="A359" s="9"/>
      <c r="B359" s="9"/>
      <c r="C359" s="9"/>
      <c r="D359" s="9"/>
      <c r="E359" s="9"/>
      <c r="F359" s="9"/>
      <c r="G359" s="9"/>
      <c r="H359" s="9"/>
    </row>
    <row r="360" spans="1:8" x14ac:dyDescent="0.3">
      <c r="A360" s="9"/>
      <c r="B360" s="9"/>
      <c r="C360" s="9"/>
      <c r="D360" s="9"/>
      <c r="E360" s="9"/>
      <c r="F360" s="9"/>
      <c r="G360" s="9"/>
      <c r="H360" s="9"/>
    </row>
    <row r="361" spans="1:8" x14ac:dyDescent="0.3">
      <c r="A361" s="9"/>
      <c r="B361" s="9"/>
      <c r="C361" s="9"/>
      <c r="D361" s="9"/>
      <c r="E361" s="9"/>
      <c r="F361" s="9"/>
      <c r="G361" s="9"/>
      <c r="H361" s="9"/>
    </row>
    <row r="362" spans="1:8" x14ac:dyDescent="0.3">
      <c r="A362" s="9"/>
      <c r="B362" s="9"/>
      <c r="C362" s="9"/>
      <c r="D362" s="9"/>
      <c r="E362" s="9"/>
      <c r="F362" s="9"/>
      <c r="G362" s="9"/>
      <c r="H362" s="9"/>
    </row>
    <row r="363" spans="1:8" x14ac:dyDescent="0.3">
      <c r="A363" s="9"/>
      <c r="B363" s="9"/>
      <c r="C363" s="9"/>
      <c r="D363" s="9"/>
      <c r="E363" s="9"/>
      <c r="F363" s="9"/>
      <c r="G363" s="9"/>
      <c r="H363" s="9"/>
    </row>
    <row r="364" spans="1:8" x14ac:dyDescent="0.3">
      <c r="A364" s="9"/>
      <c r="B364" s="9"/>
      <c r="C364" s="9"/>
      <c r="D364" s="9"/>
      <c r="E364" s="9"/>
      <c r="F364" s="9"/>
      <c r="G364" s="9"/>
      <c r="H364" s="9"/>
    </row>
    <row r="365" spans="1:8" x14ac:dyDescent="0.3">
      <c r="A365" s="9"/>
      <c r="B365" s="9"/>
      <c r="C365" s="9"/>
      <c r="D365" s="9"/>
      <c r="E365" s="9"/>
      <c r="F365" s="9"/>
      <c r="G365" s="9"/>
      <c r="H365" s="9"/>
    </row>
    <row r="366" spans="1:8" x14ac:dyDescent="0.3">
      <c r="A366" s="9"/>
      <c r="B366" s="9"/>
      <c r="C366" s="9"/>
      <c r="D366" s="9"/>
      <c r="E366" s="9"/>
      <c r="F366" s="9"/>
      <c r="G366" s="9"/>
      <c r="H366" s="9"/>
    </row>
    <row r="367" spans="1:8" x14ac:dyDescent="0.3">
      <c r="A367" s="9"/>
      <c r="B367" s="9"/>
      <c r="C367" s="9"/>
      <c r="D367" s="9"/>
      <c r="E367" s="9"/>
      <c r="F367" s="9"/>
      <c r="G367" s="9"/>
      <c r="H367" s="9"/>
    </row>
    <row r="368" spans="1:8" x14ac:dyDescent="0.3">
      <c r="A368" s="9"/>
      <c r="B368" s="9"/>
      <c r="C368" s="9"/>
      <c r="D368" s="9"/>
      <c r="E368" s="9"/>
      <c r="F368" s="9"/>
      <c r="G368" s="9"/>
      <c r="H368" s="9"/>
    </row>
    <row r="369" spans="1:8" x14ac:dyDescent="0.3">
      <c r="A369" s="9"/>
      <c r="B369" s="9"/>
      <c r="C369" s="9"/>
      <c r="D369" s="9"/>
      <c r="E369" s="9"/>
      <c r="F369" s="9"/>
      <c r="G369" s="9"/>
      <c r="H369" s="9"/>
    </row>
    <row r="370" spans="1:8" x14ac:dyDescent="0.3">
      <c r="A370" s="9"/>
      <c r="B370" s="9"/>
      <c r="C370" s="9"/>
      <c r="D370" s="9"/>
      <c r="E370" s="9"/>
      <c r="F370" s="9"/>
      <c r="G370" s="9"/>
      <c r="H370" s="9"/>
    </row>
    <row r="371" spans="1:8" x14ac:dyDescent="0.3">
      <c r="A371" s="9"/>
      <c r="B371" s="9"/>
      <c r="C371" s="9"/>
      <c r="D371" s="9"/>
      <c r="E371" s="9"/>
      <c r="F371" s="9"/>
      <c r="G371" s="9"/>
      <c r="H371" s="9"/>
    </row>
    <row r="372" spans="1:8" x14ac:dyDescent="0.3">
      <c r="A372" s="9"/>
      <c r="B372" s="9"/>
      <c r="C372" s="9"/>
      <c r="D372" s="9"/>
      <c r="E372" s="9"/>
      <c r="F372" s="9"/>
      <c r="G372" s="9"/>
      <c r="H372" s="9"/>
    </row>
    <row r="373" spans="1:8" x14ac:dyDescent="0.3">
      <c r="A373" s="9"/>
      <c r="B373" s="9"/>
      <c r="C373" s="9"/>
      <c r="D373" s="9"/>
      <c r="E373" s="9"/>
      <c r="F373" s="9"/>
      <c r="G373" s="9"/>
      <c r="H373" s="9"/>
    </row>
    <row r="374" spans="1:8" x14ac:dyDescent="0.3">
      <c r="A374" s="9"/>
      <c r="B374" s="9"/>
      <c r="C374" s="9"/>
      <c r="D374" s="9"/>
      <c r="E374" s="9"/>
      <c r="F374" s="9"/>
      <c r="G374" s="9"/>
      <c r="H374" s="9"/>
    </row>
    <row r="375" spans="1:8" x14ac:dyDescent="0.3">
      <c r="A375" s="9"/>
      <c r="B375" s="9"/>
      <c r="C375" s="9"/>
      <c r="D375" s="9"/>
      <c r="E375" s="9"/>
      <c r="F375" s="9"/>
      <c r="G375" s="9"/>
      <c r="H375" s="9"/>
    </row>
    <row r="376" spans="1:8" x14ac:dyDescent="0.3">
      <c r="A376" s="9"/>
      <c r="B376" s="9"/>
      <c r="C376" s="9"/>
      <c r="D376" s="9"/>
      <c r="E376" s="9"/>
      <c r="F376" s="9"/>
      <c r="G376" s="9"/>
      <c r="H376" s="9"/>
    </row>
    <row r="377" spans="1:8" x14ac:dyDescent="0.3">
      <c r="A377" s="9"/>
      <c r="B377" s="9"/>
      <c r="C377" s="9"/>
      <c r="D377" s="9"/>
      <c r="E377" s="9"/>
      <c r="F377" s="9"/>
      <c r="G377" s="9"/>
      <c r="H377" s="9"/>
    </row>
    <row r="378" spans="1:8" x14ac:dyDescent="0.3">
      <c r="A378" s="9"/>
      <c r="B378" s="9"/>
      <c r="C378" s="9"/>
      <c r="D378" s="9"/>
      <c r="E378" s="9"/>
      <c r="F378" s="9"/>
      <c r="G378" s="9"/>
      <c r="H378" s="9"/>
    </row>
    <row r="379" spans="1:8" x14ac:dyDescent="0.3">
      <c r="A379" s="9"/>
      <c r="B379" s="9"/>
      <c r="C379" s="9"/>
      <c r="D379" s="9"/>
      <c r="E379" s="9"/>
      <c r="F379" s="9"/>
      <c r="G379" s="9"/>
      <c r="H379" s="9"/>
    </row>
    <row r="380" spans="1:8" x14ac:dyDescent="0.3">
      <c r="A380" s="9"/>
      <c r="B380" s="9"/>
      <c r="C380" s="9"/>
      <c r="D380" s="9"/>
      <c r="E380" s="9"/>
      <c r="F380" s="9"/>
      <c r="G380" s="9"/>
      <c r="H380" s="9"/>
    </row>
    <row r="381" spans="1:8" x14ac:dyDescent="0.3">
      <c r="A381" s="9"/>
      <c r="B381" s="9"/>
      <c r="C381" s="9"/>
      <c r="D381" s="9"/>
      <c r="E381" s="9"/>
      <c r="F381" s="9"/>
      <c r="G381" s="9"/>
      <c r="H381" s="9"/>
    </row>
    <row r="382" spans="1:8" x14ac:dyDescent="0.3">
      <c r="A382" s="9"/>
      <c r="B382" s="9"/>
      <c r="C382" s="9"/>
      <c r="D382" s="9"/>
      <c r="E382" s="9"/>
      <c r="F382" s="9"/>
      <c r="G382" s="9"/>
      <c r="H382" s="9"/>
    </row>
    <row r="383" spans="1:8" x14ac:dyDescent="0.3">
      <c r="A383" s="9"/>
      <c r="B383" s="9"/>
      <c r="C383" s="9"/>
      <c r="D383" s="9"/>
      <c r="E383" s="9"/>
      <c r="F383" s="9"/>
      <c r="G383" s="9"/>
      <c r="H383" s="9"/>
    </row>
    <row r="384" spans="1:8" x14ac:dyDescent="0.3">
      <c r="A384" s="9"/>
      <c r="B384" s="9"/>
      <c r="C384" s="9"/>
      <c r="D384" s="9"/>
      <c r="E384" s="9"/>
      <c r="F384" s="9"/>
      <c r="G384" s="9"/>
      <c r="H384" s="9"/>
    </row>
    <row r="385" spans="1:8" x14ac:dyDescent="0.3">
      <c r="A385" s="9"/>
      <c r="B385" s="9"/>
      <c r="C385" s="9"/>
      <c r="D385" s="9"/>
      <c r="E385" s="9"/>
      <c r="F385" s="9"/>
      <c r="G385" s="9"/>
      <c r="H385" s="9"/>
    </row>
    <row r="386" spans="1:8" x14ac:dyDescent="0.3">
      <c r="A386" s="9"/>
      <c r="B386" s="9"/>
      <c r="C386" s="9"/>
      <c r="D386" s="9"/>
      <c r="E386" s="9"/>
      <c r="F386" s="9"/>
      <c r="G386" s="9"/>
      <c r="H386" s="9"/>
    </row>
    <row r="387" spans="1:8" x14ac:dyDescent="0.3">
      <c r="A387" s="9"/>
      <c r="B387" s="9"/>
      <c r="C387" s="9"/>
      <c r="D387" s="9"/>
      <c r="E387" s="9"/>
      <c r="F387" s="9"/>
      <c r="G387" s="9"/>
      <c r="H387" s="9"/>
    </row>
    <row r="388" spans="1:8" x14ac:dyDescent="0.3">
      <c r="A388" s="9"/>
      <c r="B388" s="9"/>
      <c r="C388" s="9"/>
      <c r="D388" s="9"/>
      <c r="E388" s="9"/>
      <c r="F388" s="9"/>
      <c r="G388" s="9"/>
      <c r="H388" s="9"/>
    </row>
    <row r="389" spans="1:8" x14ac:dyDescent="0.3">
      <c r="A389" s="9"/>
      <c r="B389" s="9"/>
      <c r="C389" s="9"/>
      <c r="D389" s="9"/>
      <c r="E389" s="9"/>
      <c r="F389" s="9"/>
      <c r="G389" s="9"/>
      <c r="H389" s="9"/>
    </row>
    <row r="390" spans="1:8" x14ac:dyDescent="0.3">
      <c r="A390" s="9"/>
      <c r="B390" s="9"/>
      <c r="C390" s="9"/>
      <c r="D390" s="9"/>
      <c r="E390" s="9"/>
      <c r="F390" s="9"/>
      <c r="G390" s="9"/>
      <c r="H390" s="9"/>
    </row>
    <row r="391" spans="1:8" x14ac:dyDescent="0.3">
      <c r="A391" s="9"/>
      <c r="B391" s="9"/>
      <c r="C391" s="9"/>
      <c r="D391" s="9"/>
      <c r="E391" s="9"/>
      <c r="F391" s="9"/>
      <c r="G391" s="9"/>
      <c r="H391" s="9"/>
    </row>
    <row r="392" spans="1:8" x14ac:dyDescent="0.3">
      <c r="A392" s="9"/>
      <c r="B392" s="9"/>
      <c r="C392" s="9"/>
      <c r="D392" s="9"/>
      <c r="E392" s="9"/>
      <c r="F392" s="9"/>
      <c r="G392" s="9"/>
      <c r="H392" s="9"/>
    </row>
    <row r="393" spans="1:8" x14ac:dyDescent="0.3">
      <c r="A393" s="9"/>
      <c r="B393" s="9"/>
      <c r="C393" s="9"/>
      <c r="D393" s="9"/>
      <c r="E393" s="9"/>
      <c r="F393" s="9"/>
      <c r="G393" s="9"/>
      <c r="H393" s="9"/>
    </row>
    <row r="394" spans="1:8" x14ac:dyDescent="0.3">
      <c r="A394" s="9"/>
      <c r="B394" s="9"/>
      <c r="C394" s="9"/>
      <c r="D394" s="9"/>
      <c r="E394" s="9"/>
      <c r="F394" s="9"/>
      <c r="G394" s="9"/>
      <c r="H394" s="9"/>
    </row>
    <row r="395" spans="1:8" x14ac:dyDescent="0.3">
      <c r="A395" s="9"/>
      <c r="B395" s="9"/>
      <c r="C395" s="9"/>
      <c r="D395" s="9"/>
      <c r="E395" s="9"/>
      <c r="F395" s="9"/>
      <c r="G395" s="9"/>
      <c r="H395" s="9"/>
    </row>
    <row r="396" spans="1:8" x14ac:dyDescent="0.3">
      <c r="A396" s="9"/>
      <c r="B396" s="9"/>
      <c r="C396" s="9"/>
      <c r="D396" s="9"/>
      <c r="E396" s="9"/>
      <c r="F396" s="9"/>
      <c r="G396" s="9"/>
      <c r="H396" s="9"/>
    </row>
    <row r="397" spans="1:8" x14ac:dyDescent="0.3">
      <c r="A397" s="9"/>
      <c r="B397" s="9"/>
      <c r="C397" s="9"/>
      <c r="D397" s="9"/>
      <c r="E397" s="9"/>
      <c r="F397" s="9"/>
      <c r="G397" s="9"/>
      <c r="H397" s="9"/>
    </row>
    <row r="398" spans="1:8" x14ac:dyDescent="0.3">
      <c r="A398" s="9"/>
      <c r="B398" s="9"/>
      <c r="C398" s="9"/>
      <c r="D398" s="9"/>
      <c r="E398" s="9"/>
      <c r="F398" s="9"/>
      <c r="G398" s="9"/>
      <c r="H398" s="9"/>
    </row>
    <row r="399" spans="1:8" x14ac:dyDescent="0.3">
      <c r="A399" s="9"/>
      <c r="B399" s="9"/>
      <c r="C399" s="9"/>
      <c r="D399" s="9"/>
      <c r="E399" s="9"/>
      <c r="F399" s="9"/>
      <c r="G399" s="9"/>
      <c r="H399" s="9"/>
    </row>
    <row r="400" spans="1:8" x14ac:dyDescent="0.3">
      <c r="A400" s="9"/>
      <c r="B400" s="9"/>
      <c r="C400" s="9"/>
      <c r="D400" s="9"/>
      <c r="E400" s="9"/>
      <c r="F400" s="9"/>
      <c r="G400" s="9"/>
      <c r="H400" s="9"/>
    </row>
    <row r="401" spans="1:8" x14ac:dyDescent="0.3">
      <c r="A401" s="9"/>
      <c r="B401" s="9"/>
      <c r="C401" s="9"/>
      <c r="D401" s="9"/>
      <c r="E401" s="9"/>
      <c r="F401" s="9"/>
      <c r="G401" s="9"/>
      <c r="H401" s="9"/>
    </row>
    <row r="402" spans="1:8" x14ac:dyDescent="0.3">
      <c r="A402" s="9"/>
      <c r="B402" s="9"/>
      <c r="C402" s="9"/>
      <c r="D402" s="9"/>
      <c r="E402" s="9"/>
      <c r="F402" s="9"/>
      <c r="G402" s="9"/>
      <c r="H402" s="9"/>
    </row>
    <row r="403" spans="1:8" x14ac:dyDescent="0.3">
      <c r="A403" s="9"/>
      <c r="B403" s="9"/>
      <c r="C403" s="9"/>
      <c r="D403" s="9"/>
      <c r="E403" s="9"/>
      <c r="F403" s="9"/>
      <c r="G403" s="9"/>
      <c r="H403" s="9"/>
    </row>
    <row r="404" spans="1:8" x14ac:dyDescent="0.3">
      <c r="A404" s="9"/>
      <c r="B404" s="9"/>
      <c r="C404" s="9"/>
      <c r="D404" s="9"/>
      <c r="E404" s="9"/>
      <c r="F404" s="9"/>
      <c r="G404" s="9"/>
      <c r="H404" s="9"/>
    </row>
    <row r="405" spans="1:8" x14ac:dyDescent="0.3">
      <c r="A405" s="9"/>
      <c r="B405" s="9"/>
      <c r="C405" s="9"/>
      <c r="D405" s="9"/>
      <c r="E405" s="9"/>
      <c r="F405" s="9"/>
      <c r="G405" s="9"/>
      <c r="H405" s="9"/>
    </row>
    <row r="406" spans="1:8" x14ac:dyDescent="0.3">
      <c r="A406" s="9"/>
      <c r="B406" s="9"/>
      <c r="C406" s="9"/>
      <c r="D406" s="9"/>
      <c r="E406" s="9"/>
      <c r="F406" s="9"/>
      <c r="G406" s="9"/>
      <c r="H406" s="9"/>
    </row>
    <row r="407" spans="1:8" x14ac:dyDescent="0.3">
      <c r="A407" s="9"/>
      <c r="B407" s="9"/>
      <c r="C407" s="9"/>
      <c r="D407" s="9"/>
      <c r="E407" s="9"/>
      <c r="F407" s="9"/>
      <c r="G407" s="9"/>
      <c r="H407" s="9"/>
    </row>
    <row r="408" spans="1:8" x14ac:dyDescent="0.3">
      <c r="A408" s="9"/>
      <c r="B408" s="9"/>
      <c r="C408" s="9"/>
      <c r="D408" s="9"/>
      <c r="E408" s="9"/>
      <c r="F408" s="9"/>
      <c r="G408" s="9"/>
      <c r="H408" s="9"/>
    </row>
    <row r="409" spans="1:8" x14ac:dyDescent="0.3">
      <c r="A409" s="9"/>
      <c r="B409" s="9"/>
      <c r="C409" s="9"/>
      <c r="D409" s="9"/>
      <c r="E409" s="9"/>
      <c r="F409" s="9"/>
      <c r="G409" s="9"/>
      <c r="H409" s="9"/>
    </row>
    <row r="410" spans="1:8" x14ac:dyDescent="0.3">
      <c r="A410" s="9"/>
      <c r="B410" s="9"/>
      <c r="C410" s="9"/>
      <c r="D410" s="9"/>
      <c r="E410" s="9"/>
      <c r="F410" s="9"/>
      <c r="G410" s="9"/>
      <c r="H410" s="9"/>
    </row>
    <row r="411" spans="1:8" x14ac:dyDescent="0.3">
      <c r="A411" s="9"/>
      <c r="B411" s="9"/>
      <c r="C411" s="9"/>
      <c r="D411" s="9"/>
      <c r="E411" s="9"/>
      <c r="F411" s="9"/>
      <c r="G411" s="9"/>
      <c r="H411" s="9"/>
    </row>
    <row r="412" spans="1:8" x14ac:dyDescent="0.3">
      <c r="A412" s="9"/>
      <c r="B412" s="9"/>
      <c r="C412" s="9"/>
      <c r="D412" s="9"/>
      <c r="E412" s="9"/>
      <c r="F412" s="9"/>
      <c r="G412" s="9"/>
      <c r="H412" s="9"/>
    </row>
  </sheetData>
  <mergeCells count="8">
    <mergeCell ref="A1:H1"/>
    <mergeCell ref="A3:B3"/>
    <mergeCell ref="C3:C4"/>
    <mergeCell ref="D3:D4"/>
    <mergeCell ref="E3:E4"/>
    <mergeCell ref="F3:F4"/>
    <mergeCell ref="G3:G4"/>
    <mergeCell ref="H3:H4"/>
  </mergeCells>
  <pageMargins left="0.7" right="0.7" top="0.75" bottom="0.75" header="0.3" footer="0.3"/>
  <pageSetup orientation="portrait" horizontalDpi="360" verticalDpi="36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20D5-BB3E-4739-AE76-15B9B99B2A77}">
  <dimension ref="A1:H412"/>
  <sheetViews>
    <sheetView topLeftCell="C1" zoomScale="57" zoomScaleNormal="57" workbookViewId="0">
      <pane ySplit="4" topLeftCell="A42" activePane="bottomLeft" state="frozen"/>
      <selection pane="bottomLeft" activeCell="H48" sqref="H48:H49"/>
    </sheetView>
  </sheetViews>
  <sheetFormatPr defaultRowHeight="20.25" x14ac:dyDescent="0.3"/>
  <cols>
    <col min="1" max="1" width="27.85546875" style="1" customWidth="1"/>
    <col min="2" max="2" width="14.42578125" style="1" customWidth="1"/>
    <col min="3" max="3" width="31.28515625" style="1" customWidth="1"/>
    <col min="4" max="4" width="165.5703125" style="1" customWidth="1"/>
    <col min="5" max="5" width="43" style="1" customWidth="1"/>
    <col min="6" max="6" width="44.5703125" style="1" customWidth="1"/>
    <col min="7" max="7" width="80.7109375" style="1" customWidth="1"/>
    <col min="8" max="8" width="45.7109375" style="1" customWidth="1"/>
    <col min="9" max="16384" width="9.140625" style="1"/>
  </cols>
  <sheetData>
    <row r="1" spans="1:8" ht="30" x14ac:dyDescent="0.4">
      <c r="A1" s="109"/>
      <c r="B1" s="109"/>
      <c r="C1" s="109"/>
      <c r="D1" s="109"/>
      <c r="E1" s="109"/>
      <c r="F1" s="109"/>
      <c r="G1" s="109"/>
      <c r="H1" s="109"/>
    </row>
    <row r="3" spans="1:8" x14ac:dyDescent="0.3">
      <c r="A3" s="110" t="s">
        <v>1</v>
      </c>
      <c r="B3" s="110"/>
      <c r="C3" s="110" t="s">
        <v>360</v>
      </c>
      <c r="D3" s="110" t="s">
        <v>274</v>
      </c>
      <c r="E3" s="110" t="s">
        <v>278</v>
      </c>
      <c r="F3" s="110" t="s">
        <v>103</v>
      </c>
      <c r="G3" s="110" t="s">
        <v>279</v>
      </c>
      <c r="H3" s="110" t="s">
        <v>141</v>
      </c>
    </row>
    <row r="4" spans="1:8" x14ac:dyDescent="0.3">
      <c r="A4" s="4" t="s">
        <v>2</v>
      </c>
      <c r="B4" s="4" t="s">
        <v>3</v>
      </c>
      <c r="C4" s="110"/>
      <c r="D4" s="110"/>
      <c r="E4" s="110"/>
      <c r="F4" s="110"/>
      <c r="G4" s="110"/>
      <c r="H4" s="110"/>
    </row>
    <row r="5" spans="1:8" ht="30" customHeight="1" x14ac:dyDescent="0.3">
      <c r="A5" s="7" t="s">
        <v>275</v>
      </c>
      <c r="B5" s="8"/>
      <c r="C5" s="8"/>
      <c r="D5" s="6" t="s">
        <v>276</v>
      </c>
      <c r="E5" s="7" t="s">
        <v>277</v>
      </c>
      <c r="F5" s="33">
        <v>1800000</v>
      </c>
      <c r="G5" s="23" t="s">
        <v>280</v>
      </c>
      <c r="H5" s="9" t="s">
        <v>26</v>
      </c>
    </row>
    <row r="6" spans="1:8" ht="30" customHeight="1" x14ac:dyDescent="0.3">
      <c r="A6" s="7" t="s">
        <v>324</v>
      </c>
      <c r="B6" s="8"/>
      <c r="C6" s="8"/>
      <c r="D6" s="6" t="s">
        <v>276</v>
      </c>
      <c r="E6" s="7" t="s">
        <v>277</v>
      </c>
      <c r="F6" s="33">
        <v>660000</v>
      </c>
      <c r="G6" s="23" t="s">
        <v>328</v>
      </c>
      <c r="H6" s="9" t="s">
        <v>26</v>
      </c>
    </row>
    <row r="7" spans="1:8" ht="30" customHeight="1" x14ac:dyDescent="0.3">
      <c r="A7" s="8"/>
      <c r="B7" s="8"/>
      <c r="C7" s="23" t="s">
        <v>361</v>
      </c>
      <c r="D7" s="31" t="s">
        <v>329</v>
      </c>
      <c r="E7" s="7" t="s">
        <v>277</v>
      </c>
      <c r="F7" s="33">
        <v>630000</v>
      </c>
      <c r="G7" s="23" t="s">
        <v>330</v>
      </c>
      <c r="H7" s="9" t="s">
        <v>26</v>
      </c>
    </row>
    <row r="8" spans="1:8" ht="30" customHeight="1" x14ac:dyDescent="0.3">
      <c r="A8" s="8"/>
      <c r="B8" s="8"/>
      <c r="C8" s="23" t="s">
        <v>362</v>
      </c>
      <c r="D8" s="31" t="s">
        <v>331</v>
      </c>
      <c r="E8" s="7" t="s">
        <v>277</v>
      </c>
      <c r="F8" s="33">
        <v>500000</v>
      </c>
      <c r="G8" s="23" t="s">
        <v>359</v>
      </c>
      <c r="H8" s="9" t="s">
        <v>26</v>
      </c>
    </row>
    <row r="9" spans="1:8" ht="30" customHeight="1" x14ac:dyDescent="0.3">
      <c r="A9" s="7"/>
      <c r="B9" s="8"/>
      <c r="C9" s="8" t="s">
        <v>408</v>
      </c>
      <c r="D9" s="6" t="s">
        <v>409</v>
      </c>
      <c r="E9" s="7" t="s">
        <v>277</v>
      </c>
      <c r="F9" s="33">
        <v>250000</v>
      </c>
      <c r="G9" s="23" t="s">
        <v>410</v>
      </c>
      <c r="H9" s="9" t="s">
        <v>26</v>
      </c>
    </row>
    <row r="10" spans="1:8" s="26" customFormat="1" ht="30" customHeight="1" x14ac:dyDescent="0.3">
      <c r="A10" s="14"/>
      <c r="B10" s="15"/>
      <c r="C10" s="8" t="s">
        <v>411</v>
      </c>
      <c r="D10" s="16" t="s">
        <v>412</v>
      </c>
      <c r="E10" s="7" t="s">
        <v>277</v>
      </c>
      <c r="F10" s="42">
        <v>400000</v>
      </c>
      <c r="G10" s="24" t="s">
        <v>413</v>
      </c>
      <c r="H10" s="9" t="s">
        <v>26</v>
      </c>
    </row>
    <row r="11" spans="1:8" ht="30" customHeight="1" x14ac:dyDescent="0.3">
      <c r="A11" s="8"/>
      <c r="B11" s="8"/>
      <c r="C11" s="8" t="s">
        <v>361</v>
      </c>
      <c r="D11" s="6" t="s">
        <v>414</v>
      </c>
      <c r="E11" s="7" t="s">
        <v>277</v>
      </c>
      <c r="F11" s="33">
        <v>1715000</v>
      </c>
      <c r="G11" s="23" t="s">
        <v>415</v>
      </c>
      <c r="H11" s="9" t="s">
        <v>26</v>
      </c>
    </row>
    <row r="12" spans="1:8" ht="30" customHeight="1" x14ac:dyDescent="0.3">
      <c r="A12" s="8"/>
      <c r="B12" s="8"/>
      <c r="C12" s="8" t="s">
        <v>416</v>
      </c>
      <c r="D12" s="6" t="s">
        <v>417</v>
      </c>
      <c r="E12" s="7" t="s">
        <v>277</v>
      </c>
      <c r="F12" s="33">
        <v>1000000</v>
      </c>
      <c r="G12" s="23" t="s">
        <v>418</v>
      </c>
      <c r="H12" s="9" t="s">
        <v>26</v>
      </c>
    </row>
    <row r="13" spans="1:8" ht="30" customHeight="1" x14ac:dyDescent="0.3">
      <c r="A13" s="8"/>
      <c r="B13" s="8"/>
      <c r="C13" s="8" t="s">
        <v>161</v>
      </c>
      <c r="D13" s="6" t="s">
        <v>419</v>
      </c>
      <c r="E13" s="7" t="s">
        <v>277</v>
      </c>
      <c r="F13" s="33">
        <v>250000</v>
      </c>
      <c r="G13" s="23" t="s">
        <v>420</v>
      </c>
      <c r="H13" s="9" t="s">
        <v>26</v>
      </c>
    </row>
    <row r="14" spans="1:8" ht="30" customHeight="1" x14ac:dyDescent="0.3">
      <c r="A14" s="8"/>
      <c r="B14" s="8"/>
      <c r="C14" s="8" t="s">
        <v>421</v>
      </c>
      <c r="D14" s="6" t="s">
        <v>422</v>
      </c>
      <c r="E14" s="7" t="s">
        <v>277</v>
      </c>
      <c r="F14" s="33">
        <v>250000</v>
      </c>
      <c r="G14" s="23" t="s">
        <v>420</v>
      </c>
      <c r="H14" s="9" t="s">
        <v>26</v>
      </c>
    </row>
    <row r="15" spans="1:8" ht="30" customHeight="1" x14ac:dyDescent="0.3">
      <c r="A15" s="8"/>
      <c r="B15" s="8"/>
      <c r="C15" s="23" t="s">
        <v>361</v>
      </c>
      <c r="D15" s="13" t="s">
        <v>423</v>
      </c>
      <c r="E15" s="7" t="s">
        <v>277</v>
      </c>
      <c r="F15" s="33">
        <v>1060000</v>
      </c>
      <c r="G15" s="23" t="s">
        <v>424</v>
      </c>
      <c r="H15" s="9" t="s">
        <v>26</v>
      </c>
    </row>
    <row r="16" spans="1:8" ht="30" customHeight="1" x14ac:dyDescent="0.3">
      <c r="A16" s="8"/>
      <c r="B16" s="8"/>
      <c r="C16" s="23" t="s">
        <v>426</v>
      </c>
      <c r="D16" s="13" t="s">
        <v>425</v>
      </c>
      <c r="E16" s="7" t="s">
        <v>277</v>
      </c>
      <c r="F16" s="33">
        <v>800000</v>
      </c>
      <c r="G16" s="23" t="s">
        <v>427</v>
      </c>
      <c r="H16" s="9" t="s">
        <v>26</v>
      </c>
    </row>
    <row r="17" spans="1:8" ht="30" customHeight="1" x14ac:dyDescent="0.3">
      <c r="A17" s="8"/>
      <c r="B17" s="8"/>
      <c r="C17" s="23" t="s">
        <v>428</v>
      </c>
      <c r="D17" s="6" t="s">
        <v>429</v>
      </c>
      <c r="E17" s="7" t="s">
        <v>277</v>
      </c>
      <c r="F17" s="33">
        <v>800000</v>
      </c>
      <c r="G17" s="23" t="s">
        <v>430</v>
      </c>
      <c r="H17" s="9" t="s">
        <v>26</v>
      </c>
    </row>
    <row r="18" spans="1:8" ht="30" customHeight="1" x14ac:dyDescent="0.3">
      <c r="A18" s="8"/>
      <c r="B18" s="8"/>
      <c r="C18" s="23" t="s">
        <v>431</v>
      </c>
      <c r="D18" s="6" t="s">
        <v>432</v>
      </c>
      <c r="E18" s="7" t="s">
        <v>277</v>
      </c>
      <c r="F18" s="33">
        <v>1600000</v>
      </c>
      <c r="G18" s="23" t="s">
        <v>433</v>
      </c>
      <c r="H18" s="9" t="s">
        <v>26</v>
      </c>
    </row>
    <row r="19" spans="1:8" ht="30" customHeight="1" x14ac:dyDescent="0.3">
      <c r="A19" s="8"/>
      <c r="B19" s="8"/>
      <c r="C19" s="8"/>
      <c r="D19" s="6" t="s">
        <v>436</v>
      </c>
      <c r="E19" s="7" t="s">
        <v>277</v>
      </c>
      <c r="F19" s="33">
        <v>450000</v>
      </c>
      <c r="G19" s="23"/>
      <c r="H19" s="9"/>
    </row>
    <row r="20" spans="1:8" ht="30" customHeight="1" x14ac:dyDescent="0.3">
      <c r="A20" s="8"/>
      <c r="B20" s="8"/>
      <c r="C20" s="8"/>
      <c r="D20" s="6" t="s">
        <v>437</v>
      </c>
      <c r="E20" s="7" t="s">
        <v>277</v>
      </c>
      <c r="F20" s="33">
        <v>165000</v>
      </c>
      <c r="G20" s="23"/>
      <c r="H20" s="9"/>
    </row>
    <row r="21" spans="1:8" ht="30" customHeight="1" x14ac:dyDescent="0.3">
      <c r="A21" s="8"/>
      <c r="B21" s="8"/>
      <c r="C21" s="8"/>
      <c r="D21" s="71" t="s">
        <v>438</v>
      </c>
      <c r="E21" s="7" t="s">
        <v>277</v>
      </c>
      <c r="F21" s="33">
        <v>500000</v>
      </c>
      <c r="G21" s="23"/>
      <c r="H21" s="9"/>
    </row>
    <row r="22" spans="1:8" ht="30" customHeight="1" x14ac:dyDescent="0.3">
      <c r="A22" s="8"/>
      <c r="B22" s="8"/>
      <c r="C22" s="8" t="s">
        <v>361</v>
      </c>
      <c r="D22" s="71" t="s">
        <v>439</v>
      </c>
      <c r="E22" s="7" t="s">
        <v>277</v>
      </c>
      <c r="F22" s="51">
        <v>1730000</v>
      </c>
      <c r="G22" s="23" t="s">
        <v>440</v>
      </c>
      <c r="H22" s="9" t="s">
        <v>26</v>
      </c>
    </row>
    <row r="23" spans="1:8" ht="30" customHeight="1" x14ac:dyDescent="0.3">
      <c r="A23" s="8"/>
      <c r="B23" s="8"/>
      <c r="C23" s="72" t="s">
        <v>361</v>
      </c>
      <c r="D23" s="6" t="s">
        <v>441</v>
      </c>
      <c r="E23" s="7" t="s">
        <v>277</v>
      </c>
      <c r="F23" s="33">
        <v>1600000</v>
      </c>
      <c r="G23" s="23" t="s">
        <v>442</v>
      </c>
      <c r="H23" s="9" t="s">
        <v>26</v>
      </c>
    </row>
    <row r="24" spans="1:8" ht="30" customHeight="1" x14ac:dyDescent="0.3">
      <c r="A24" s="8"/>
      <c r="B24" s="8"/>
      <c r="C24" s="8" t="s">
        <v>361</v>
      </c>
      <c r="D24" s="52" t="s">
        <v>443</v>
      </c>
      <c r="E24" s="7" t="s">
        <v>277</v>
      </c>
      <c r="F24" s="33">
        <v>600000</v>
      </c>
      <c r="G24" s="23" t="s">
        <v>444</v>
      </c>
      <c r="H24" s="9"/>
    </row>
    <row r="25" spans="1:8" ht="30" customHeight="1" x14ac:dyDescent="0.3">
      <c r="A25" s="8"/>
      <c r="B25" s="8"/>
      <c r="C25" s="73" t="s">
        <v>445</v>
      </c>
      <c r="D25" s="6" t="s">
        <v>446</v>
      </c>
      <c r="E25" s="7" t="s">
        <v>277</v>
      </c>
      <c r="F25" s="33">
        <v>350000</v>
      </c>
      <c r="G25" s="23" t="s">
        <v>447</v>
      </c>
      <c r="H25" s="9" t="s">
        <v>26</v>
      </c>
    </row>
    <row r="26" spans="1:8" ht="30" customHeight="1" x14ac:dyDescent="0.3">
      <c r="A26" s="8"/>
      <c r="B26" s="8"/>
      <c r="C26" s="8" t="s">
        <v>361</v>
      </c>
      <c r="D26" s="6" t="s">
        <v>448</v>
      </c>
      <c r="E26" s="7" t="s">
        <v>277</v>
      </c>
      <c r="F26" s="33">
        <v>100000</v>
      </c>
      <c r="G26" s="23" t="s">
        <v>430</v>
      </c>
      <c r="H26" s="9" t="s">
        <v>26</v>
      </c>
    </row>
    <row r="27" spans="1:8" ht="30" customHeight="1" x14ac:dyDescent="0.3">
      <c r="A27" s="8"/>
      <c r="B27" s="8"/>
      <c r="C27" s="8"/>
      <c r="D27" s="6"/>
      <c r="E27" s="7"/>
      <c r="F27" s="23"/>
      <c r="G27" s="23"/>
      <c r="H27" s="9"/>
    </row>
    <row r="28" spans="1:8" ht="30" customHeight="1" x14ac:dyDescent="0.3">
      <c r="A28" s="8" t="s">
        <v>604</v>
      </c>
      <c r="B28" s="8"/>
      <c r="C28" s="23" t="s">
        <v>605</v>
      </c>
      <c r="D28" s="6" t="s">
        <v>606</v>
      </c>
      <c r="E28" s="7" t="s">
        <v>277</v>
      </c>
      <c r="F28" s="33">
        <v>200000</v>
      </c>
      <c r="G28" s="23" t="s">
        <v>442</v>
      </c>
      <c r="H28" s="9" t="s">
        <v>26</v>
      </c>
    </row>
    <row r="29" spans="1:8" ht="30" customHeight="1" x14ac:dyDescent="0.3">
      <c r="A29" s="8"/>
      <c r="B29" s="8"/>
      <c r="C29" s="8" t="s">
        <v>408</v>
      </c>
      <c r="D29" s="6" t="s">
        <v>607</v>
      </c>
      <c r="E29" s="7" t="s">
        <v>277</v>
      </c>
      <c r="F29" s="43">
        <v>250000</v>
      </c>
      <c r="G29" s="21" t="s">
        <v>608</v>
      </c>
      <c r="H29" s="9" t="s">
        <v>26</v>
      </c>
    </row>
    <row r="30" spans="1:8" ht="30" customHeight="1" x14ac:dyDescent="0.3">
      <c r="A30" s="8"/>
      <c r="B30" s="8"/>
      <c r="C30" s="8" t="s">
        <v>361</v>
      </c>
      <c r="D30" s="6" t="s">
        <v>628</v>
      </c>
      <c r="E30" s="7" t="s">
        <v>277</v>
      </c>
      <c r="F30" s="43">
        <v>585000</v>
      </c>
      <c r="G30" s="21" t="s">
        <v>629</v>
      </c>
      <c r="H30" s="9" t="s">
        <v>26</v>
      </c>
    </row>
    <row r="31" spans="1:8" ht="30" customHeight="1" x14ac:dyDescent="0.3">
      <c r="A31" s="8"/>
      <c r="B31" s="8"/>
      <c r="C31" s="8"/>
      <c r="D31" s="6"/>
      <c r="E31" s="8"/>
      <c r="F31" s="21"/>
      <c r="G31" s="21"/>
      <c r="H31" s="9"/>
    </row>
    <row r="32" spans="1:8" ht="30" customHeight="1" x14ac:dyDescent="0.3">
      <c r="A32" s="8" t="s">
        <v>621</v>
      </c>
      <c r="B32" s="8"/>
      <c r="C32" s="23" t="s">
        <v>623</v>
      </c>
      <c r="D32" s="6" t="s">
        <v>624</v>
      </c>
      <c r="E32" s="8" t="s">
        <v>277</v>
      </c>
      <c r="F32" s="44">
        <v>2899850</v>
      </c>
      <c r="G32" s="25" t="s">
        <v>625</v>
      </c>
      <c r="H32" s="9" t="s">
        <v>26</v>
      </c>
    </row>
    <row r="33" spans="1:8" ht="30" customHeight="1" x14ac:dyDescent="0.3">
      <c r="A33" s="8"/>
      <c r="B33" s="8"/>
      <c r="C33" s="23" t="s">
        <v>630</v>
      </c>
      <c r="D33" s="6" t="s">
        <v>631</v>
      </c>
      <c r="E33" s="8" t="s">
        <v>277</v>
      </c>
      <c r="F33" s="43">
        <v>1720000</v>
      </c>
      <c r="G33" s="21" t="s">
        <v>407</v>
      </c>
      <c r="H33" s="9" t="s">
        <v>26</v>
      </c>
    </row>
    <row r="34" spans="1:8" ht="30" customHeight="1" x14ac:dyDescent="0.3">
      <c r="A34" s="8" t="s">
        <v>1757</v>
      </c>
      <c r="B34" s="8"/>
      <c r="C34" s="8" t="s">
        <v>408</v>
      </c>
      <c r="D34" s="6" t="s">
        <v>1784</v>
      </c>
      <c r="E34" s="8" t="s">
        <v>277</v>
      </c>
      <c r="F34" s="43">
        <v>238940</v>
      </c>
      <c r="G34" s="21" t="s">
        <v>1785</v>
      </c>
      <c r="H34" s="9" t="s">
        <v>635</v>
      </c>
    </row>
    <row r="35" spans="1:8" ht="30" customHeight="1" x14ac:dyDescent="0.3">
      <c r="A35" s="8" t="s">
        <v>2771</v>
      </c>
      <c r="B35" s="8"/>
      <c r="C35" s="8" t="s">
        <v>361</v>
      </c>
      <c r="D35" s="6" t="s">
        <v>2805</v>
      </c>
      <c r="E35" s="8" t="s">
        <v>277</v>
      </c>
      <c r="F35" s="43">
        <v>2000000</v>
      </c>
      <c r="G35" s="21" t="s">
        <v>442</v>
      </c>
      <c r="H35" s="9" t="s">
        <v>30</v>
      </c>
    </row>
    <row r="36" spans="1:8" ht="30" customHeight="1" x14ac:dyDescent="0.3">
      <c r="A36" s="8" t="s">
        <v>3184</v>
      </c>
      <c r="B36" s="8"/>
      <c r="C36" s="8" t="s">
        <v>361</v>
      </c>
      <c r="D36" s="6" t="s">
        <v>3334</v>
      </c>
      <c r="E36" s="8" t="s">
        <v>277</v>
      </c>
      <c r="F36" s="43">
        <v>136500</v>
      </c>
      <c r="G36" s="21" t="s">
        <v>1430</v>
      </c>
      <c r="H36" s="9" t="s">
        <v>50</v>
      </c>
    </row>
    <row r="37" spans="1:8" ht="30" customHeight="1" x14ac:dyDescent="0.3">
      <c r="A37" s="8"/>
      <c r="B37" s="8"/>
      <c r="C37" s="8" t="s">
        <v>361</v>
      </c>
      <c r="D37" s="6" t="s">
        <v>3351</v>
      </c>
      <c r="E37" s="8" t="s">
        <v>277</v>
      </c>
      <c r="F37" s="43">
        <v>1000000</v>
      </c>
      <c r="G37" s="21" t="s">
        <v>442</v>
      </c>
      <c r="H37" s="9" t="s">
        <v>30</v>
      </c>
    </row>
    <row r="38" spans="1:8" ht="30" customHeight="1" x14ac:dyDescent="0.3">
      <c r="A38" s="8" t="s">
        <v>3189</v>
      </c>
      <c r="B38" s="8"/>
      <c r="C38" s="8" t="s">
        <v>3357</v>
      </c>
      <c r="D38" s="6" t="s">
        <v>3358</v>
      </c>
      <c r="E38" s="8" t="s">
        <v>277</v>
      </c>
      <c r="F38" s="43">
        <v>6000000</v>
      </c>
      <c r="G38" s="21" t="s">
        <v>442</v>
      </c>
      <c r="H38" s="9" t="s">
        <v>985</v>
      </c>
    </row>
    <row r="39" spans="1:8" ht="30" customHeight="1" x14ac:dyDescent="0.3">
      <c r="A39" s="8" t="s">
        <v>3480</v>
      </c>
      <c r="B39" s="8"/>
      <c r="C39" s="8" t="s">
        <v>235</v>
      </c>
      <c r="D39" s="6" t="s">
        <v>3606</v>
      </c>
      <c r="E39" s="8" t="s">
        <v>277</v>
      </c>
      <c r="F39" s="43">
        <v>4377830.6100000003</v>
      </c>
      <c r="G39" s="21" t="s">
        <v>3607</v>
      </c>
      <c r="H39" s="9" t="s">
        <v>49</v>
      </c>
    </row>
    <row r="40" spans="1:8" ht="30" customHeight="1" x14ac:dyDescent="0.3">
      <c r="A40" s="8"/>
      <c r="B40" s="8"/>
      <c r="C40" s="8" t="s">
        <v>3625</v>
      </c>
      <c r="D40" s="6" t="s">
        <v>1565</v>
      </c>
      <c r="E40" s="8" t="s">
        <v>277</v>
      </c>
      <c r="F40" s="43">
        <v>800000</v>
      </c>
      <c r="G40" s="21"/>
      <c r="H40" s="9" t="s">
        <v>3676</v>
      </c>
    </row>
    <row r="41" spans="1:8" ht="30" customHeight="1" x14ac:dyDescent="0.3">
      <c r="A41" s="8" t="s">
        <v>3653</v>
      </c>
      <c r="B41" s="8"/>
      <c r="C41" s="23" t="s">
        <v>3674</v>
      </c>
      <c r="D41" s="6" t="s">
        <v>3675</v>
      </c>
      <c r="E41" s="8" t="s">
        <v>277</v>
      </c>
      <c r="F41" s="43">
        <v>400000</v>
      </c>
      <c r="G41" s="21" t="s">
        <v>280</v>
      </c>
      <c r="H41" s="9" t="s">
        <v>3676</v>
      </c>
    </row>
    <row r="42" spans="1:8" ht="30" customHeight="1" x14ac:dyDescent="0.3">
      <c r="A42" s="8"/>
      <c r="B42" s="8"/>
      <c r="C42" s="8" t="s">
        <v>421</v>
      </c>
      <c r="D42" s="6" t="s">
        <v>3677</v>
      </c>
      <c r="E42" s="8" t="s">
        <v>277</v>
      </c>
      <c r="F42" s="21" t="s">
        <v>3678</v>
      </c>
      <c r="G42" s="21" t="s">
        <v>413</v>
      </c>
      <c r="H42" s="9" t="s">
        <v>2066</v>
      </c>
    </row>
    <row r="43" spans="1:8" ht="30" customHeight="1" x14ac:dyDescent="0.3">
      <c r="A43" s="8"/>
      <c r="B43" s="8"/>
      <c r="C43" s="8" t="s">
        <v>361</v>
      </c>
      <c r="D43" s="6" t="s">
        <v>414</v>
      </c>
      <c r="E43" s="8" t="s">
        <v>277</v>
      </c>
      <c r="F43" s="43">
        <v>5200000</v>
      </c>
      <c r="G43" s="21" t="s">
        <v>415</v>
      </c>
      <c r="H43" s="9" t="s">
        <v>3679</v>
      </c>
    </row>
    <row r="44" spans="1:8" ht="30" customHeight="1" x14ac:dyDescent="0.3">
      <c r="A44" s="8" t="s">
        <v>3547</v>
      </c>
      <c r="B44" s="8"/>
      <c r="C44" s="8" t="s">
        <v>3745</v>
      </c>
      <c r="D44" s="6" t="s">
        <v>3746</v>
      </c>
      <c r="E44" s="8" t="s">
        <v>277</v>
      </c>
      <c r="F44" s="43">
        <v>652570</v>
      </c>
      <c r="G44" s="21" t="s">
        <v>280</v>
      </c>
      <c r="H44" s="9" t="s">
        <v>3747</v>
      </c>
    </row>
    <row r="45" spans="1:8" ht="30" customHeight="1" x14ac:dyDescent="0.3">
      <c r="A45" s="8" t="s">
        <v>3658</v>
      </c>
      <c r="B45" s="8"/>
      <c r="C45" s="23" t="s">
        <v>3811</v>
      </c>
      <c r="D45" s="6" t="s">
        <v>3812</v>
      </c>
      <c r="E45" s="8" t="s">
        <v>277</v>
      </c>
      <c r="F45" s="43">
        <v>500000</v>
      </c>
      <c r="G45" s="21"/>
      <c r="H45" s="9" t="s">
        <v>2253</v>
      </c>
    </row>
    <row r="46" spans="1:8" ht="30" customHeight="1" x14ac:dyDescent="0.3">
      <c r="A46" s="8" t="s">
        <v>3658</v>
      </c>
      <c r="B46" s="8"/>
      <c r="C46" s="8" t="s">
        <v>361</v>
      </c>
      <c r="D46" s="6" t="s">
        <v>3863</v>
      </c>
      <c r="E46" s="8" t="s">
        <v>277</v>
      </c>
      <c r="F46" s="43" t="s">
        <v>407</v>
      </c>
      <c r="G46" s="21" t="s">
        <v>3864</v>
      </c>
      <c r="H46" s="9" t="s">
        <v>3865</v>
      </c>
    </row>
    <row r="47" spans="1:8" ht="30" customHeight="1" x14ac:dyDescent="0.3">
      <c r="A47" s="8" t="s">
        <v>3822</v>
      </c>
      <c r="B47" s="8"/>
      <c r="C47" s="8" t="s">
        <v>361</v>
      </c>
      <c r="D47" s="6" t="s">
        <v>3891</v>
      </c>
      <c r="E47" s="8" t="s">
        <v>277</v>
      </c>
      <c r="F47" s="43">
        <v>150000</v>
      </c>
      <c r="G47" s="21" t="s">
        <v>3892</v>
      </c>
      <c r="H47" s="9" t="s">
        <v>3893</v>
      </c>
    </row>
    <row r="48" spans="1:8" ht="30" customHeight="1" x14ac:dyDescent="0.3">
      <c r="A48" s="8"/>
      <c r="B48" s="8"/>
      <c r="C48" s="8" t="s">
        <v>361</v>
      </c>
      <c r="D48" s="6" t="s">
        <v>3945</v>
      </c>
      <c r="E48" s="8" t="s">
        <v>277</v>
      </c>
      <c r="F48" s="43">
        <v>600000</v>
      </c>
      <c r="G48" s="21" t="s">
        <v>280</v>
      </c>
      <c r="H48" s="9" t="s">
        <v>3865</v>
      </c>
    </row>
    <row r="49" spans="1:8" ht="30" customHeight="1" x14ac:dyDescent="0.3">
      <c r="A49" s="8" t="s">
        <v>3668</v>
      </c>
      <c r="B49" s="8"/>
      <c r="C49" s="8" t="s">
        <v>361</v>
      </c>
      <c r="D49" s="6" t="s">
        <v>4143</v>
      </c>
      <c r="E49" s="8" t="s">
        <v>277</v>
      </c>
      <c r="F49" s="43">
        <v>500000</v>
      </c>
      <c r="G49" s="21"/>
      <c r="H49" s="9" t="s">
        <v>3865</v>
      </c>
    </row>
    <row r="50" spans="1:8" ht="30" customHeight="1" x14ac:dyDescent="0.3">
      <c r="A50" s="8"/>
      <c r="B50" s="8"/>
      <c r="C50" s="8"/>
      <c r="D50" s="6"/>
      <c r="E50" s="8"/>
      <c r="F50" s="21"/>
      <c r="G50" s="21"/>
      <c r="H50" s="9"/>
    </row>
    <row r="51" spans="1:8" ht="30" customHeight="1" x14ac:dyDescent="0.3">
      <c r="A51" s="8"/>
      <c r="B51" s="8"/>
      <c r="C51" s="8"/>
      <c r="D51" s="6"/>
      <c r="E51" s="8"/>
      <c r="F51" s="21"/>
      <c r="G51" s="21"/>
      <c r="H51" s="9"/>
    </row>
    <row r="52" spans="1:8" ht="30" customHeight="1" x14ac:dyDescent="0.3">
      <c r="A52" s="8"/>
      <c r="B52" s="8"/>
      <c r="C52" s="8"/>
      <c r="D52" s="6"/>
      <c r="E52" s="8"/>
      <c r="F52" s="21"/>
      <c r="G52" s="21"/>
      <c r="H52" s="9"/>
    </row>
    <row r="53" spans="1:8" ht="30" customHeight="1" x14ac:dyDescent="0.3">
      <c r="A53" s="8"/>
      <c r="B53" s="8"/>
      <c r="C53" s="8"/>
      <c r="D53" s="6"/>
      <c r="E53" s="8"/>
      <c r="F53" s="21"/>
      <c r="G53" s="21"/>
      <c r="H53" s="9"/>
    </row>
    <row r="54" spans="1:8" ht="30" customHeight="1" x14ac:dyDescent="0.3">
      <c r="A54" s="8"/>
      <c r="B54" s="8"/>
      <c r="C54" s="8"/>
      <c r="D54" s="6"/>
      <c r="E54" s="8"/>
      <c r="F54" s="21"/>
      <c r="G54" s="21"/>
      <c r="H54" s="9"/>
    </row>
    <row r="55" spans="1:8" ht="30" customHeight="1" x14ac:dyDescent="0.3">
      <c r="A55" s="8"/>
      <c r="B55" s="8"/>
      <c r="C55" s="8"/>
      <c r="D55" s="6"/>
      <c r="E55" s="8"/>
      <c r="F55" s="21"/>
      <c r="G55" s="21"/>
      <c r="H55" s="9"/>
    </row>
    <row r="56" spans="1:8" ht="30" customHeight="1" x14ac:dyDescent="0.3">
      <c r="A56" s="8"/>
      <c r="B56" s="8"/>
      <c r="C56" s="8"/>
      <c r="D56" s="6"/>
      <c r="E56" s="8"/>
      <c r="F56" s="21"/>
      <c r="G56" s="21"/>
      <c r="H56" s="9"/>
    </row>
    <row r="57" spans="1:8" ht="30" customHeight="1" x14ac:dyDescent="0.3">
      <c r="A57" s="8"/>
      <c r="B57" s="8"/>
      <c r="C57" s="8"/>
      <c r="D57" s="6"/>
      <c r="E57" s="8"/>
      <c r="F57" s="21"/>
      <c r="G57" s="21"/>
      <c r="H57" s="9"/>
    </row>
    <row r="58" spans="1:8" ht="30" customHeight="1" x14ac:dyDescent="0.3">
      <c r="A58" s="8"/>
      <c r="B58" s="8"/>
      <c r="C58" s="8"/>
      <c r="D58" s="6"/>
      <c r="E58" s="8"/>
      <c r="F58" s="21"/>
      <c r="G58" s="21"/>
      <c r="H58" s="9"/>
    </row>
    <row r="59" spans="1:8" ht="30" customHeight="1" x14ac:dyDescent="0.3">
      <c r="A59" s="8"/>
      <c r="B59" s="8"/>
      <c r="C59" s="8"/>
      <c r="D59" s="6"/>
      <c r="E59" s="8"/>
      <c r="F59" s="21"/>
      <c r="G59" s="21"/>
      <c r="H59" s="9"/>
    </row>
    <row r="60" spans="1:8" ht="30" customHeight="1" x14ac:dyDescent="0.3">
      <c r="A60" s="8"/>
      <c r="B60" s="8"/>
      <c r="C60" s="8"/>
      <c r="D60" s="6"/>
      <c r="E60" s="8"/>
      <c r="F60" s="21"/>
      <c r="G60" s="21"/>
      <c r="H60" s="9"/>
    </row>
    <row r="61" spans="1:8" ht="30" customHeight="1" x14ac:dyDescent="0.3">
      <c r="A61" s="8"/>
      <c r="B61" s="8"/>
      <c r="C61" s="8"/>
      <c r="D61" s="6"/>
      <c r="E61" s="8"/>
      <c r="F61" s="21"/>
      <c r="G61" s="21"/>
      <c r="H61" s="9"/>
    </row>
    <row r="62" spans="1:8" ht="30" customHeight="1" x14ac:dyDescent="0.3">
      <c r="A62" s="8"/>
      <c r="B62" s="8"/>
      <c r="C62" s="8"/>
      <c r="D62" s="6"/>
      <c r="E62" s="8"/>
      <c r="F62" s="25"/>
      <c r="G62" s="25"/>
      <c r="H62" s="9"/>
    </row>
    <row r="63" spans="1:8" ht="30" customHeight="1" x14ac:dyDescent="0.3">
      <c r="A63" s="8"/>
      <c r="B63" s="8"/>
      <c r="C63" s="8"/>
      <c r="D63" s="6"/>
      <c r="E63" s="8"/>
      <c r="F63" s="25"/>
      <c r="G63" s="25"/>
      <c r="H63" s="9"/>
    </row>
    <row r="64" spans="1:8" ht="30" customHeight="1" x14ac:dyDescent="0.3">
      <c r="A64" s="8"/>
      <c r="B64" s="8"/>
      <c r="C64" s="8"/>
      <c r="D64" s="6"/>
      <c r="E64" s="8"/>
      <c r="F64" s="21"/>
      <c r="G64" s="21"/>
      <c r="H64" s="9"/>
    </row>
    <row r="65" spans="1:8" ht="30" customHeight="1" x14ac:dyDescent="0.3">
      <c r="A65" s="8"/>
      <c r="B65" s="8"/>
      <c r="C65" s="8"/>
      <c r="D65" s="6"/>
      <c r="E65" s="8"/>
      <c r="F65" s="21"/>
      <c r="G65" s="21"/>
      <c r="H65" s="9"/>
    </row>
    <row r="66" spans="1:8" ht="30" customHeight="1" x14ac:dyDescent="0.3">
      <c r="A66" s="8"/>
      <c r="B66" s="8"/>
      <c r="C66" s="8"/>
      <c r="D66" s="6"/>
      <c r="E66" s="8"/>
      <c r="F66" s="21"/>
      <c r="G66" s="21"/>
      <c r="H66" s="9"/>
    </row>
    <row r="67" spans="1:8" ht="30" customHeight="1" x14ac:dyDescent="0.3">
      <c r="A67" s="8"/>
      <c r="B67" s="8"/>
      <c r="C67" s="8"/>
      <c r="D67" s="6"/>
      <c r="E67" s="8"/>
      <c r="F67" s="21"/>
      <c r="G67" s="21"/>
      <c r="H67" s="9"/>
    </row>
    <row r="68" spans="1:8" ht="30" customHeight="1" x14ac:dyDescent="0.3">
      <c r="A68" s="8"/>
      <c r="B68" s="8"/>
      <c r="C68" s="8"/>
      <c r="D68" s="6"/>
      <c r="E68" s="8"/>
      <c r="F68" s="21"/>
      <c r="G68" s="21"/>
      <c r="H68" s="9"/>
    </row>
    <row r="69" spans="1:8" ht="30" customHeight="1" x14ac:dyDescent="0.3">
      <c r="A69" s="8"/>
      <c r="B69" s="8"/>
      <c r="C69" s="8"/>
      <c r="D69" s="6"/>
      <c r="E69" s="8"/>
      <c r="F69" s="21"/>
      <c r="G69" s="21"/>
      <c r="H69" s="9"/>
    </row>
    <row r="70" spans="1:8" ht="30" customHeight="1" x14ac:dyDescent="0.3">
      <c r="A70" s="8"/>
      <c r="B70" s="8"/>
      <c r="C70" s="8"/>
      <c r="D70" s="6"/>
      <c r="E70" s="8"/>
      <c r="F70" s="21"/>
      <c r="G70" s="21"/>
      <c r="H70" s="9"/>
    </row>
    <row r="71" spans="1:8" ht="30" customHeight="1" x14ac:dyDescent="0.3">
      <c r="A71" s="8"/>
      <c r="B71" s="8"/>
      <c r="C71" s="8"/>
      <c r="D71" s="6"/>
      <c r="E71" s="8"/>
      <c r="F71" s="21"/>
      <c r="G71" s="21"/>
      <c r="H71" s="9"/>
    </row>
    <row r="72" spans="1:8" ht="30" customHeight="1" x14ac:dyDescent="0.3">
      <c r="A72" s="8"/>
      <c r="B72" s="8"/>
      <c r="C72" s="8"/>
      <c r="D72" s="6"/>
      <c r="E72" s="8"/>
      <c r="F72" s="21"/>
      <c r="G72" s="21"/>
      <c r="H72" s="9"/>
    </row>
    <row r="73" spans="1:8" ht="30" customHeight="1" x14ac:dyDescent="0.3">
      <c r="A73" s="8"/>
      <c r="B73" s="8"/>
      <c r="C73" s="8"/>
      <c r="D73" s="6"/>
      <c r="E73" s="8"/>
      <c r="F73" s="25"/>
      <c r="G73" s="25"/>
      <c r="H73" s="9"/>
    </row>
    <row r="74" spans="1:8" ht="30" customHeight="1" x14ac:dyDescent="0.3">
      <c r="A74" s="8"/>
      <c r="B74" s="8"/>
      <c r="C74" s="8"/>
      <c r="D74" s="6"/>
      <c r="E74" s="8"/>
      <c r="F74" s="21"/>
      <c r="G74" s="21"/>
      <c r="H74" s="9"/>
    </row>
    <row r="75" spans="1:8" ht="30" customHeight="1" x14ac:dyDescent="0.3">
      <c r="A75" s="8"/>
      <c r="B75" s="8"/>
      <c r="C75" s="8"/>
      <c r="D75" s="6"/>
      <c r="E75" s="8"/>
      <c r="F75" s="25"/>
      <c r="G75" s="25"/>
      <c r="H75" s="9"/>
    </row>
    <row r="76" spans="1:8" ht="30" customHeight="1" x14ac:dyDescent="0.3">
      <c r="A76" s="8"/>
      <c r="B76" s="8"/>
      <c r="C76" s="8"/>
      <c r="D76" s="6"/>
      <c r="E76" s="8"/>
      <c r="F76" s="21"/>
      <c r="G76" s="21"/>
      <c r="H76" s="9"/>
    </row>
    <row r="77" spans="1:8" ht="30" customHeight="1" x14ac:dyDescent="0.3">
      <c r="A77" s="8"/>
      <c r="B77" s="8"/>
      <c r="C77" s="8"/>
      <c r="D77" s="6"/>
      <c r="E77" s="8"/>
      <c r="F77" s="21"/>
      <c r="G77" s="21"/>
      <c r="H77" s="9"/>
    </row>
    <row r="78" spans="1:8" ht="30" customHeight="1" x14ac:dyDescent="0.3">
      <c r="A78" s="8"/>
      <c r="B78" s="8"/>
      <c r="C78" s="8"/>
      <c r="D78" s="6"/>
      <c r="E78" s="8"/>
      <c r="F78" s="21"/>
      <c r="G78" s="21"/>
      <c r="H78" s="9"/>
    </row>
    <row r="79" spans="1:8" ht="30" customHeight="1" x14ac:dyDescent="0.3">
      <c r="A79" s="8"/>
      <c r="B79" s="8"/>
      <c r="C79" s="8"/>
      <c r="D79" s="6"/>
      <c r="E79" s="8"/>
      <c r="F79" s="21"/>
      <c r="G79" s="21"/>
      <c r="H79" s="9"/>
    </row>
    <row r="80" spans="1:8" ht="30" customHeight="1" x14ac:dyDescent="0.3">
      <c r="A80" s="8"/>
      <c r="B80" s="8"/>
      <c r="C80" s="8"/>
      <c r="D80" s="6"/>
      <c r="E80" s="8"/>
      <c r="F80" s="21"/>
      <c r="G80" s="21"/>
      <c r="H80" s="9"/>
    </row>
    <row r="81" spans="1:8" ht="30" customHeight="1" x14ac:dyDescent="0.3">
      <c r="A81" s="8"/>
      <c r="B81" s="8"/>
      <c r="C81" s="8"/>
      <c r="D81" s="6"/>
      <c r="E81" s="8"/>
      <c r="F81" s="21"/>
      <c r="G81" s="21"/>
      <c r="H81" s="9"/>
    </row>
    <row r="82" spans="1:8" ht="30" customHeight="1" x14ac:dyDescent="0.3">
      <c r="A82" s="8"/>
      <c r="B82" s="8"/>
      <c r="C82" s="8"/>
      <c r="D82" s="6"/>
      <c r="E82" s="8"/>
      <c r="F82" s="21"/>
      <c r="G82" s="21"/>
      <c r="H82" s="9"/>
    </row>
    <row r="83" spans="1:8" ht="30" customHeight="1" x14ac:dyDescent="0.3">
      <c r="A83" s="8"/>
      <c r="B83" s="8"/>
      <c r="C83" s="8"/>
      <c r="D83" s="6"/>
      <c r="E83" s="8"/>
      <c r="F83" s="21"/>
      <c r="G83" s="21"/>
      <c r="H83" s="9"/>
    </row>
    <row r="84" spans="1:8" ht="30" customHeight="1" x14ac:dyDescent="0.3">
      <c r="A84" s="8"/>
      <c r="B84" s="8"/>
      <c r="C84" s="8"/>
      <c r="D84" s="6"/>
      <c r="E84" s="8"/>
      <c r="F84" s="21"/>
      <c r="G84" s="21"/>
      <c r="H84" s="9"/>
    </row>
    <row r="85" spans="1:8" ht="30" customHeight="1" x14ac:dyDescent="0.3">
      <c r="A85" s="8"/>
      <c r="B85" s="8"/>
      <c r="C85" s="8"/>
      <c r="D85" s="6"/>
      <c r="E85" s="8"/>
      <c r="F85" s="21"/>
      <c r="G85" s="21"/>
      <c r="H85" s="9"/>
    </row>
    <row r="86" spans="1:8" ht="30" customHeight="1" x14ac:dyDescent="0.3">
      <c r="A86" s="8"/>
      <c r="B86" s="8"/>
      <c r="C86" s="8"/>
      <c r="D86" s="6"/>
      <c r="E86" s="8"/>
      <c r="F86" s="21"/>
      <c r="G86" s="21"/>
      <c r="H86" s="9"/>
    </row>
    <row r="87" spans="1:8" ht="30" customHeight="1" x14ac:dyDescent="0.3">
      <c r="A87" s="8"/>
      <c r="B87" s="8"/>
      <c r="C87" s="8"/>
      <c r="D87" s="6"/>
      <c r="E87" s="8"/>
      <c r="F87" s="21"/>
      <c r="G87" s="21"/>
      <c r="H87" s="9"/>
    </row>
    <row r="88" spans="1:8" ht="30" customHeight="1" x14ac:dyDescent="0.3">
      <c r="A88" s="8"/>
      <c r="B88" s="8"/>
      <c r="C88" s="8"/>
      <c r="D88" s="6"/>
      <c r="E88" s="8"/>
      <c r="F88" s="21"/>
      <c r="G88" s="21"/>
      <c r="H88" s="9"/>
    </row>
    <row r="89" spans="1:8" ht="30" customHeight="1" x14ac:dyDescent="0.3">
      <c r="A89" s="8"/>
      <c r="B89" s="8"/>
      <c r="C89" s="8"/>
      <c r="D89" s="6"/>
      <c r="E89" s="8"/>
      <c r="F89" s="21"/>
      <c r="G89" s="21"/>
      <c r="H89" s="9"/>
    </row>
    <row r="90" spans="1:8" ht="30" customHeight="1" x14ac:dyDescent="0.3">
      <c r="A90" s="8"/>
      <c r="B90" s="8"/>
      <c r="C90" s="8"/>
      <c r="D90" s="6"/>
      <c r="E90" s="8"/>
      <c r="F90" s="21"/>
      <c r="G90" s="21"/>
      <c r="H90" s="9"/>
    </row>
    <row r="91" spans="1:8" ht="30" customHeight="1" x14ac:dyDescent="0.3">
      <c r="A91" s="8"/>
      <c r="B91" s="8"/>
      <c r="C91" s="8"/>
      <c r="D91" s="6"/>
      <c r="E91" s="8"/>
      <c r="F91" s="21"/>
      <c r="G91" s="21"/>
      <c r="H91" s="9"/>
    </row>
    <row r="92" spans="1:8" ht="30" customHeight="1" x14ac:dyDescent="0.3">
      <c r="A92" s="8"/>
      <c r="B92" s="8"/>
      <c r="C92" s="8"/>
      <c r="D92" s="6"/>
      <c r="E92" s="8"/>
      <c r="F92" s="21"/>
      <c r="G92" s="21"/>
      <c r="H92" s="9"/>
    </row>
    <row r="93" spans="1:8" ht="30" customHeight="1" x14ac:dyDescent="0.3">
      <c r="A93" s="8"/>
      <c r="B93" s="8"/>
      <c r="C93" s="8"/>
      <c r="D93" s="6"/>
      <c r="E93" s="8"/>
      <c r="F93" s="21"/>
      <c r="G93" s="21"/>
      <c r="H93" s="9"/>
    </row>
    <row r="94" spans="1:8" ht="30" customHeight="1" x14ac:dyDescent="0.3">
      <c r="A94" s="8"/>
      <c r="B94" s="8"/>
      <c r="C94" s="8"/>
      <c r="D94" s="6"/>
      <c r="E94" s="8"/>
      <c r="F94" s="21"/>
      <c r="G94" s="21"/>
      <c r="H94" s="9"/>
    </row>
    <row r="95" spans="1:8" ht="30" customHeight="1" x14ac:dyDescent="0.3">
      <c r="A95" s="8"/>
      <c r="B95" s="8"/>
      <c r="C95" s="8"/>
      <c r="D95" s="6"/>
      <c r="E95" s="8"/>
      <c r="F95" s="21"/>
      <c r="G95" s="21"/>
      <c r="H95" s="9"/>
    </row>
    <row r="96" spans="1:8" ht="30" customHeight="1" x14ac:dyDescent="0.3">
      <c r="A96" s="8"/>
      <c r="B96" s="8"/>
      <c r="C96" s="8"/>
      <c r="D96" s="6"/>
      <c r="E96" s="8"/>
      <c r="F96" s="21"/>
      <c r="G96" s="21"/>
      <c r="H96" s="9"/>
    </row>
    <row r="97" spans="1:8" ht="30" customHeight="1" x14ac:dyDescent="0.3">
      <c r="A97" s="8"/>
      <c r="B97" s="8"/>
      <c r="C97" s="8"/>
      <c r="D97" s="6"/>
      <c r="E97" s="8"/>
      <c r="F97" s="21"/>
      <c r="G97" s="21"/>
      <c r="H97" s="9"/>
    </row>
    <row r="98" spans="1:8" ht="30" customHeight="1" x14ac:dyDescent="0.3">
      <c r="A98" s="8"/>
      <c r="B98" s="8"/>
      <c r="C98" s="8"/>
      <c r="D98" s="6"/>
      <c r="E98" s="8"/>
      <c r="F98" s="21"/>
      <c r="G98" s="21"/>
      <c r="H98" s="9"/>
    </row>
    <row r="99" spans="1:8" ht="30" customHeight="1" x14ac:dyDescent="0.3">
      <c r="A99" s="5"/>
      <c r="B99" s="3"/>
      <c r="C99" s="8"/>
      <c r="D99" s="6"/>
      <c r="E99" s="8"/>
      <c r="F99" s="21"/>
      <c r="G99" s="21"/>
      <c r="H99" s="9"/>
    </row>
    <row r="100" spans="1:8" ht="30" customHeight="1" x14ac:dyDescent="0.3">
      <c r="A100" s="5"/>
      <c r="B100" s="3"/>
      <c r="C100" s="8"/>
      <c r="D100" s="6"/>
      <c r="E100" s="8"/>
      <c r="F100" s="21"/>
      <c r="G100" s="21"/>
      <c r="H100" s="9"/>
    </row>
    <row r="101" spans="1:8" ht="30" customHeight="1" x14ac:dyDescent="0.3">
      <c r="A101" s="5"/>
      <c r="B101" s="3"/>
      <c r="C101" s="8"/>
      <c r="D101" s="6"/>
      <c r="E101" s="8"/>
      <c r="F101" s="21"/>
      <c r="G101" s="21"/>
      <c r="H101" s="9"/>
    </row>
    <row r="102" spans="1:8" ht="30" customHeight="1" x14ac:dyDescent="0.3">
      <c r="A102" s="5"/>
      <c r="B102" s="3"/>
      <c r="C102" s="8"/>
      <c r="D102" s="6"/>
      <c r="E102" s="8"/>
      <c r="F102" s="21"/>
      <c r="G102" s="21"/>
      <c r="H102" s="9"/>
    </row>
    <row r="103" spans="1:8" ht="30" customHeight="1" x14ac:dyDescent="0.3">
      <c r="A103" s="5"/>
      <c r="B103" s="3"/>
      <c r="C103" s="8"/>
      <c r="D103" s="6"/>
      <c r="E103" s="8"/>
      <c r="F103" s="21"/>
      <c r="G103" s="21"/>
      <c r="H103" s="9"/>
    </row>
    <row r="104" spans="1:8" ht="30" customHeight="1" x14ac:dyDescent="0.3">
      <c r="A104" s="5"/>
      <c r="B104" s="3"/>
      <c r="C104" s="8"/>
      <c r="D104" s="6"/>
      <c r="E104" s="8"/>
      <c r="F104" s="21"/>
      <c r="G104" s="21"/>
      <c r="H104" s="9"/>
    </row>
    <row r="105" spans="1:8" ht="30" customHeight="1" x14ac:dyDescent="0.3">
      <c r="A105" s="5"/>
      <c r="B105" s="3"/>
      <c r="C105" s="8"/>
      <c r="D105" s="6"/>
      <c r="E105" s="8"/>
      <c r="F105" s="21"/>
      <c r="G105" s="21"/>
      <c r="H105" s="9"/>
    </row>
    <row r="106" spans="1:8" ht="30" customHeight="1" x14ac:dyDescent="0.3">
      <c r="A106" s="5"/>
      <c r="B106" s="3"/>
      <c r="C106" s="8"/>
      <c r="D106" s="6"/>
      <c r="E106" s="8"/>
      <c r="F106" s="21"/>
      <c r="G106" s="21"/>
      <c r="H106" s="9"/>
    </row>
    <row r="107" spans="1:8" ht="30" customHeight="1" x14ac:dyDescent="0.3">
      <c r="A107" s="5"/>
      <c r="B107" s="3"/>
      <c r="C107" s="8"/>
      <c r="D107" s="6"/>
      <c r="E107" s="8"/>
      <c r="F107" s="21"/>
      <c r="G107" s="21"/>
      <c r="H107" s="9"/>
    </row>
    <row r="108" spans="1:8" ht="30" customHeight="1" x14ac:dyDescent="0.3">
      <c r="A108" s="5"/>
      <c r="B108" s="3"/>
      <c r="C108" s="8"/>
      <c r="D108" s="6"/>
      <c r="E108" s="8"/>
      <c r="F108" s="21"/>
      <c r="G108" s="21"/>
      <c r="H108" s="9"/>
    </row>
    <row r="109" spans="1:8" ht="30" customHeight="1" x14ac:dyDescent="0.3">
      <c r="A109" s="5"/>
      <c r="B109" s="3"/>
      <c r="C109" s="8"/>
      <c r="D109" s="6"/>
      <c r="E109" s="8"/>
      <c r="F109" s="21"/>
      <c r="G109" s="21"/>
      <c r="H109" s="9"/>
    </row>
    <row r="110" spans="1:8" ht="30" customHeight="1" x14ac:dyDescent="0.3">
      <c r="A110" s="5"/>
      <c r="B110" s="3"/>
      <c r="C110" s="8"/>
      <c r="D110" s="6"/>
      <c r="E110" s="8"/>
      <c r="F110" s="21"/>
      <c r="G110" s="21"/>
      <c r="H110" s="9"/>
    </row>
    <row r="111" spans="1:8" ht="30" customHeight="1" x14ac:dyDescent="0.3">
      <c r="A111" s="5"/>
      <c r="B111" s="3"/>
      <c r="C111" s="8"/>
      <c r="D111" s="6"/>
      <c r="E111" s="8"/>
      <c r="F111" s="21"/>
      <c r="G111" s="21"/>
      <c r="H111" s="9"/>
    </row>
    <row r="112" spans="1:8" ht="30" customHeight="1" x14ac:dyDescent="0.3">
      <c r="A112" s="5"/>
      <c r="B112" s="3"/>
      <c r="C112" s="8"/>
      <c r="D112" s="6"/>
      <c r="E112" s="8"/>
      <c r="F112" s="21"/>
      <c r="G112" s="21"/>
      <c r="H112" s="9"/>
    </row>
    <row r="113" spans="1:8" ht="30" customHeight="1" x14ac:dyDescent="0.3">
      <c r="A113" s="5"/>
      <c r="B113" s="3"/>
      <c r="C113" s="8"/>
      <c r="D113" s="6"/>
      <c r="E113" s="8"/>
      <c r="F113" s="21"/>
      <c r="G113" s="21"/>
      <c r="H113" s="9"/>
    </row>
    <row r="114" spans="1:8" ht="30" customHeight="1" x14ac:dyDescent="0.3">
      <c r="A114" s="5"/>
      <c r="B114" s="3"/>
      <c r="C114" s="8"/>
      <c r="D114" s="6"/>
      <c r="E114" s="8"/>
      <c r="F114" s="21"/>
      <c r="G114" s="21"/>
      <c r="H114" s="9"/>
    </row>
    <row r="115" spans="1:8" ht="30" customHeight="1" x14ac:dyDescent="0.3">
      <c r="A115" s="5"/>
      <c r="B115" s="3"/>
      <c r="C115" s="8"/>
      <c r="D115" s="6"/>
      <c r="E115" s="8"/>
      <c r="F115" s="21"/>
      <c r="G115" s="21"/>
      <c r="H115" s="9"/>
    </row>
    <row r="116" spans="1:8" ht="30" customHeight="1" x14ac:dyDescent="0.3">
      <c r="A116" s="5"/>
      <c r="B116" s="3"/>
      <c r="C116" s="8"/>
      <c r="D116" s="6"/>
      <c r="E116" s="8"/>
      <c r="F116" s="21"/>
      <c r="G116" s="21"/>
      <c r="H116" s="9"/>
    </row>
    <row r="117" spans="1:8" ht="30" customHeight="1" x14ac:dyDescent="0.3">
      <c r="A117" s="5"/>
      <c r="B117" s="3"/>
      <c r="C117" s="8"/>
      <c r="D117" s="6"/>
      <c r="E117" s="8"/>
      <c r="F117" s="21"/>
      <c r="G117" s="21"/>
      <c r="H117" s="9"/>
    </row>
    <row r="118" spans="1:8" ht="30" customHeight="1" x14ac:dyDescent="0.3">
      <c r="A118" s="5"/>
      <c r="B118" s="3"/>
      <c r="C118" s="8"/>
      <c r="D118" s="6"/>
      <c r="E118" s="8"/>
      <c r="F118" s="21"/>
      <c r="G118" s="21"/>
      <c r="H118" s="9"/>
    </row>
    <row r="119" spans="1:8" ht="30" customHeight="1" x14ac:dyDescent="0.3">
      <c r="A119" s="5"/>
      <c r="B119" s="3"/>
      <c r="C119" s="8"/>
      <c r="D119" s="6"/>
      <c r="E119" s="8"/>
      <c r="F119" s="21"/>
      <c r="G119" s="21"/>
      <c r="H119" s="9"/>
    </row>
    <row r="120" spans="1:8" ht="30" customHeight="1" x14ac:dyDescent="0.3">
      <c r="A120" s="5"/>
      <c r="B120" s="3"/>
      <c r="C120" s="8"/>
      <c r="D120" s="6"/>
      <c r="E120" s="8"/>
      <c r="F120" s="21"/>
      <c r="G120" s="21"/>
      <c r="H120" s="9"/>
    </row>
    <row r="121" spans="1:8" ht="30" customHeight="1" x14ac:dyDescent="0.3">
      <c r="A121" s="5"/>
      <c r="B121" s="3"/>
      <c r="C121" s="8"/>
      <c r="D121" s="6"/>
      <c r="E121" s="8"/>
      <c r="F121" s="21"/>
      <c r="G121" s="21"/>
      <c r="H121" s="9"/>
    </row>
    <row r="122" spans="1:8" ht="30" customHeight="1" x14ac:dyDescent="0.3">
      <c r="A122" s="5"/>
      <c r="B122" s="3"/>
      <c r="C122" s="8"/>
      <c r="D122" s="6"/>
      <c r="E122" s="8"/>
      <c r="F122" s="21"/>
      <c r="G122" s="21"/>
      <c r="H122" s="9"/>
    </row>
    <row r="123" spans="1:8" ht="30" customHeight="1" x14ac:dyDescent="0.3">
      <c r="A123" s="5"/>
      <c r="B123" s="3"/>
      <c r="C123" s="8"/>
      <c r="D123" s="6"/>
      <c r="E123" s="8"/>
      <c r="F123" s="21"/>
      <c r="G123" s="21"/>
      <c r="H123" s="9"/>
    </row>
    <row r="124" spans="1:8" ht="30" customHeight="1" x14ac:dyDescent="0.3">
      <c r="A124" s="5"/>
      <c r="B124" s="3"/>
      <c r="C124" s="8"/>
      <c r="D124" s="6"/>
      <c r="E124" s="8"/>
      <c r="F124" s="21"/>
      <c r="G124" s="21"/>
      <c r="H124" s="9"/>
    </row>
    <row r="125" spans="1:8" ht="30" customHeight="1" x14ac:dyDescent="0.3">
      <c r="A125" s="5"/>
      <c r="B125" s="3"/>
      <c r="C125" s="8"/>
      <c r="D125" s="6"/>
      <c r="E125" s="8"/>
      <c r="F125" s="21"/>
      <c r="G125" s="21"/>
      <c r="H125" s="9"/>
    </row>
    <row r="126" spans="1:8" ht="30" customHeight="1" x14ac:dyDescent="0.3">
      <c r="A126" s="5"/>
      <c r="B126" s="3"/>
      <c r="C126" s="8"/>
      <c r="D126" s="6"/>
      <c r="E126" s="8"/>
      <c r="F126" s="21"/>
      <c r="G126" s="21"/>
      <c r="H126" s="9"/>
    </row>
    <row r="127" spans="1:8" ht="30" customHeight="1" x14ac:dyDescent="0.3">
      <c r="A127" s="5"/>
      <c r="B127" s="3"/>
      <c r="C127" s="8"/>
      <c r="D127" s="6"/>
      <c r="E127" s="8"/>
      <c r="F127" s="21"/>
      <c r="G127" s="21"/>
      <c r="H127" s="9"/>
    </row>
    <row r="128" spans="1:8" ht="30" customHeight="1" x14ac:dyDescent="0.3">
      <c r="A128" s="5"/>
      <c r="B128" s="3"/>
      <c r="C128" s="8"/>
      <c r="D128" s="6"/>
      <c r="E128" s="8"/>
      <c r="F128" s="21"/>
      <c r="G128" s="21"/>
      <c r="H128" s="9"/>
    </row>
    <row r="129" spans="1:8" ht="30" customHeight="1" x14ac:dyDescent="0.3">
      <c r="A129" s="5"/>
      <c r="B129" s="3"/>
      <c r="C129" s="8"/>
      <c r="D129" s="6"/>
      <c r="E129" s="8"/>
      <c r="F129" s="21"/>
      <c r="G129" s="21"/>
      <c r="H129" s="9"/>
    </row>
    <row r="130" spans="1:8" ht="30" customHeight="1" x14ac:dyDescent="0.3">
      <c r="A130" s="5"/>
      <c r="B130" s="3"/>
      <c r="C130" s="8"/>
      <c r="D130" s="6"/>
      <c r="E130" s="8"/>
      <c r="F130" s="21"/>
      <c r="G130" s="21"/>
      <c r="H130" s="9"/>
    </row>
    <row r="131" spans="1:8" ht="30" customHeight="1" x14ac:dyDescent="0.3">
      <c r="A131" s="5"/>
      <c r="B131" s="3"/>
      <c r="C131" s="8"/>
      <c r="D131" s="6"/>
      <c r="E131" s="8"/>
      <c r="F131" s="21"/>
      <c r="G131" s="21"/>
      <c r="H131" s="9"/>
    </row>
    <row r="132" spans="1:8" ht="30" customHeight="1" x14ac:dyDescent="0.3">
      <c r="A132" s="5"/>
      <c r="B132" s="3"/>
      <c r="C132" s="8"/>
      <c r="D132" s="6"/>
      <c r="E132" s="8"/>
      <c r="F132" s="21"/>
      <c r="G132" s="21"/>
      <c r="H132" s="9"/>
    </row>
    <row r="133" spans="1:8" ht="30" customHeight="1" x14ac:dyDescent="0.3">
      <c r="A133" s="5"/>
      <c r="B133" s="3"/>
      <c r="C133" s="8"/>
      <c r="D133" s="6"/>
      <c r="E133" s="8"/>
      <c r="F133" s="21"/>
      <c r="G133" s="21"/>
      <c r="H133" s="9"/>
    </row>
    <row r="134" spans="1:8" ht="30" customHeight="1" x14ac:dyDescent="0.3">
      <c r="A134" s="5"/>
      <c r="B134" s="3"/>
      <c r="C134" s="8"/>
      <c r="D134" s="6"/>
      <c r="E134" s="8"/>
      <c r="F134" s="21"/>
      <c r="G134" s="21"/>
      <c r="H134" s="9"/>
    </row>
    <row r="135" spans="1:8" ht="30" customHeight="1" x14ac:dyDescent="0.3">
      <c r="A135" s="5"/>
      <c r="B135" s="3"/>
      <c r="C135" s="8"/>
      <c r="D135" s="6"/>
      <c r="E135" s="8"/>
      <c r="F135" s="21"/>
      <c r="G135" s="21"/>
      <c r="H135" s="9"/>
    </row>
    <row r="136" spans="1:8" ht="30" customHeight="1" x14ac:dyDescent="0.3">
      <c r="A136" s="5"/>
      <c r="B136" s="3"/>
      <c r="C136" s="8"/>
      <c r="D136" s="6"/>
      <c r="E136" s="8"/>
      <c r="F136" s="21"/>
      <c r="G136" s="21"/>
      <c r="H136" s="9"/>
    </row>
    <row r="137" spans="1:8" ht="30" customHeight="1" x14ac:dyDescent="0.3">
      <c r="A137" s="5"/>
      <c r="B137" s="3"/>
      <c r="C137" s="8"/>
      <c r="D137" s="6"/>
      <c r="E137" s="8"/>
      <c r="F137" s="21"/>
      <c r="G137" s="21"/>
      <c r="H137" s="9"/>
    </row>
    <row r="138" spans="1:8" ht="30" customHeight="1" x14ac:dyDescent="0.3">
      <c r="A138" s="5"/>
      <c r="B138" s="3"/>
      <c r="C138" s="8"/>
      <c r="D138" s="6"/>
      <c r="E138" s="8"/>
      <c r="F138" s="21"/>
      <c r="G138" s="21"/>
      <c r="H138" s="9"/>
    </row>
    <row r="139" spans="1:8" ht="30" customHeight="1" x14ac:dyDescent="0.3">
      <c r="A139" s="5"/>
      <c r="B139" s="3"/>
      <c r="C139" s="8"/>
      <c r="D139" s="6"/>
      <c r="E139" s="8"/>
      <c r="F139" s="21"/>
      <c r="G139" s="21"/>
      <c r="H139" s="9"/>
    </row>
    <row r="140" spans="1:8" ht="30" customHeight="1" x14ac:dyDescent="0.3">
      <c r="A140" s="5"/>
      <c r="B140" s="3"/>
      <c r="C140" s="8"/>
      <c r="D140" s="6"/>
      <c r="E140" s="8"/>
      <c r="F140" s="21"/>
      <c r="G140" s="21"/>
      <c r="H140" s="9"/>
    </row>
    <row r="141" spans="1:8" ht="30" customHeight="1" x14ac:dyDescent="0.3">
      <c r="A141" s="5"/>
      <c r="B141" s="3"/>
      <c r="C141" s="8"/>
      <c r="D141" s="6"/>
      <c r="E141" s="8"/>
      <c r="F141" s="21"/>
      <c r="G141" s="21"/>
      <c r="H141" s="9"/>
    </row>
    <row r="142" spans="1:8" ht="30" customHeight="1" x14ac:dyDescent="0.3">
      <c r="A142" s="5"/>
      <c r="B142" s="3"/>
      <c r="C142" s="8"/>
      <c r="D142" s="6"/>
      <c r="E142" s="8"/>
      <c r="F142" s="21"/>
      <c r="G142" s="21"/>
      <c r="H142" s="9"/>
    </row>
    <row r="143" spans="1:8" ht="30" customHeight="1" x14ac:dyDescent="0.3">
      <c r="A143" s="5"/>
      <c r="B143" s="3"/>
      <c r="C143" s="8"/>
      <c r="D143" s="6"/>
      <c r="E143" s="8"/>
      <c r="F143" s="21"/>
      <c r="G143" s="21"/>
      <c r="H143" s="9"/>
    </row>
    <row r="144" spans="1:8" ht="30" customHeight="1" x14ac:dyDescent="0.3">
      <c r="A144" s="5"/>
      <c r="B144" s="3"/>
      <c r="C144" s="8"/>
      <c r="D144" s="6"/>
      <c r="E144" s="8"/>
      <c r="F144" s="21"/>
      <c r="G144" s="21"/>
      <c r="H144" s="9"/>
    </row>
    <row r="145" spans="1:8" ht="30" customHeight="1" x14ac:dyDescent="0.3">
      <c r="A145" s="5"/>
      <c r="B145" s="3"/>
      <c r="C145" s="8"/>
      <c r="D145" s="6"/>
      <c r="E145" s="8"/>
      <c r="F145" s="21"/>
      <c r="G145" s="21"/>
      <c r="H145" s="9"/>
    </row>
    <row r="146" spans="1:8" ht="30" customHeight="1" x14ac:dyDescent="0.3">
      <c r="A146" s="5"/>
      <c r="B146" s="3"/>
      <c r="C146" s="8"/>
      <c r="D146" s="6"/>
      <c r="E146" s="8"/>
      <c r="F146" s="21"/>
      <c r="G146" s="21"/>
      <c r="H146" s="9"/>
    </row>
    <row r="147" spans="1:8" ht="30" customHeight="1" x14ac:dyDescent="0.3">
      <c r="A147" s="5"/>
      <c r="B147" s="3"/>
      <c r="C147" s="8"/>
      <c r="D147" s="6"/>
      <c r="E147" s="8"/>
      <c r="F147" s="21"/>
      <c r="G147" s="21"/>
      <c r="H147" s="9"/>
    </row>
    <row r="148" spans="1:8" ht="30" customHeight="1" x14ac:dyDescent="0.3">
      <c r="A148" s="5"/>
      <c r="B148" s="3"/>
      <c r="C148" s="8"/>
      <c r="D148" s="6"/>
      <c r="E148" s="8"/>
      <c r="F148" s="21"/>
      <c r="G148" s="21"/>
      <c r="H148" s="9"/>
    </row>
    <row r="149" spans="1:8" ht="30" customHeight="1" x14ac:dyDescent="0.3">
      <c r="A149" s="5"/>
      <c r="B149" s="3"/>
      <c r="C149" s="8"/>
      <c r="D149" s="6"/>
      <c r="E149" s="8"/>
      <c r="F149" s="21"/>
      <c r="G149" s="21"/>
      <c r="H149" s="9"/>
    </row>
    <row r="150" spans="1:8" ht="30" customHeight="1" x14ac:dyDescent="0.3">
      <c r="A150" s="5"/>
      <c r="B150" s="3"/>
      <c r="C150" s="8"/>
      <c r="D150" s="6"/>
      <c r="E150" s="8"/>
      <c r="F150" s="21"/>
      <c r="G150" s="21"/>
      <c r="H150" s="9"/>
    </row>
    <row r="151" spans="1:8" ht="30" customHeight="1" x14ac:dyDescent="0.3">
      <c r="A151" s="5"/>
      <c r="B151" s="3"/>
      <c r="C151" s="8"/>
      <c r="D151" s="6"/>
      <c r="E151" s="8"/>
      <c r="F151" s="21"/>
      <c r="G151" s="21"/>
      <c r="H151" s="9"/>
    </row>
    <row r="152" spans="1:8" ht="30" customHeight="1" x14ac:dyDescent="0.3">
      <c r="A152" s="5"/>
      <c r="B152" s="3"/>
      <c r="C152" s="8"/>
      <c r="D152" s="6"/>
      <c r="E152" s="8"/>
      <c r="F152" s="3"/>
      <c r="G152" s="3"/>
      <c r="H152" s="9"/>
    </row>
    <row r="153" spans="1:8" ht="30" customHeight="1" x14ac:dyDescent="0.3">
      <c r="A153" s="5"/>
      <c r="B153" s="3"/>
      <c r="C153" s="8"/>
      <c r="D153" s="6"/>
      <c r="E153" s="8"/>
      <c r="F153" s="3"/>
      <c r="G153" s="3"/>
      <c r="H153" s="9"/>
    </row>
    <row r="154" spans="1:8" ht="30" customHeight="1" x14ac:dyDescent="0.3">
      <c r="A154" s="5"/>
      <c r="B154" s="3"/>
      <c r="C154" s="8"/>
      <c r="D154" s="6"/>
      <c r="E154" s="8"/>
      <c r="F154" s="3"/>
      <c r="G154" s="3"/>
      <c r="H154" s="9"/>
    </row>
    <row r="155" spans="1:8" ht="30" customHeight="1" x14ac:dyDescent="0.3">
      <c r="A155" s="5"/>
      <c r="B155" s="3"/>
      <c r="C155" s="8"/>
      <c r="D155" s="6"/>
      <c r="E155" s="8"/>
      <c r="F155" s="3"/>
      <c r="G155" s="3"/>
      <c r="H155" s="9"/>
    </row>
    <row r="156" spans="1:8" ht="30" customHeight="1" x14ac:dyDescent="0.3">
      <c r="A156" s="5"/>
      <c r="B156" s="3"/>
      <c r="C156" s="8"/>
      <c r="D156" s="6"/>
      <c r="E156" s="8"/>
      <c r="F156" s="3"/>
      <c r="G156" s="3"/>
      <c r="H156" s="9"/>
    </row>
    <row r="157" spans="1:8" ht="30" customHeight="1" x14ac:dyDescent="0.3">
      <c r="A157" s="5"/>
      <c r="B157" s="3"/>
      <c r="C157" s="8"/>
      <c r="D157" s="6"/>
      <c r="E157" s="8"/>
      <c r="F157" s="3"/>
      <c r="G157" s="3"/>
      <c r="H157" s="9"/>
    </row>
    <row r="158" spans="1:8" ht="30" customHeight="1" x14ac:dyDescent="0.3">
      <c r="A158" s="5"/>
      <c r="B158" s="3"/>
      <c r="C158" s="8"/>
      <c r="D158" s="6"/>
      <c r="E158" s="8"/>
      <c r="F158" s="3"/>
      <c r="G158" s="3"/>
      <c r="H158" s="9"/>
    </row>
    <row r="159" spans="1:8" ht="30" customHeight="1" x14ac:dyDescent="0.3">
      <c r="A159" s="5"/>
      <c r="B159" s="3"/>
      <c r="C159" s="8"/>
      <c r="D159" s="6"/>
      <c r="E159" s="8"/>
      <c r="F159" s="3"/>
      <c r="G159" s="3"/>
      <c r="H159" s="9"/>
    </row>
    <row r="160" spans="1:8" ht="30" customHeight="1" x14ac:dyDescent="0.3">
      <c r="A160" s="5"/>
      <c r="B160" s="3"/>
      <c r="C160" s="8"/>
      <c r="D160" s="6"/>
      <c r="E160" s="8"/>
      <c r="F160" s="3"/>
      <c r="G160" s="3"/>
      <c r="H160" s="9"/>
    </row>
    <row r="161" spans="1:8" ht="30" customHeight="1" x14ac:dyDescent="0.3">
      <c r="A161" s="5"/>
      <c r="B161" s="3"/>
      <c r="C161" s="8"/>
      <c r="D161" s="6"/>
      <c r="E161" s="8"/>
      <c r="F161" s="3"/>
      <c r="G161" s="3"/>
      <c r="H161" s="9"/>
    </row>
    <row r="162" spans="1:8" ht="30" customHeight="1" x14ac:dyDescent="0.3">
      <c r="A162" s="5"/>
      <c r="B162" s="3"/>
      <c r="C162" s="8"/>
      <c r="D162" s="6"/>
      <c r="E162" s="8"/>
      <c r="F162" s="3"/>
      <c r="G162" s="3"/>
      <c r="H162" s="9"/>
    </row>
    <row r="163" spans="1:8" ht="30" customHeight="1" x14ac:dyDescent="0.3">
      <c r="A163" s="5"/>
      <c r="B163" s="3"/>
      <c r="C163" s="8"/>
      <c r="D163" s="6"/>
      <c r="E163" s="8"/>
      <c r="F163" s="3"/>
      <c r="G163" s="3"/>
      <c r="H163" s="9"/>
    </row>
    <row r="164" spans="1:8" ht="30" customHeight="1" x14ac:dyDescent="0.3">
      <c r="A164" s="5"/>
      <c r="B164" s="3"/>
      <c r="C164" s="8"/>
      <c r="D164" s="6"/>
      <c r="E164" s="8"/>
      <c r="F164" s="3"/>
      <c r="G164" s="3"/>
      <c r="H164" s="9"/>
    </row>
    <row r="165" spans="1:8" ht="30" customHeight="1" x14ac:dyDescent="0.3">
      <c r="A165" s="5"/>
      <c r="B165" s="3"/>
      <c r="C165" s="8"/>
      <c r="D165" s="6"/>
      <c r="E165" s="8"/>
      <c r="F165" s="3"/>
      <c r="G165" s="3"/>
      <c r="H165" s="9"/>
    </row>
    <row r="166" spans="1:8" ht="30" customHeight="1" x14ac:dyDescent="0.3">
      <c r="A166" s="5"/>
      <c r="B166" s="3"/>
      <c r="C166" s="8"/>
      <c r="D166" s="6"/>
      <c r="E166" s="8"/>
      <c r="F166" s="3"/>
      <c r="G166" s="3"/>
      <c r="H166" s="9"/>
    </row>
    <row r="167" spans="1:8" ht="30" customHeight="1" x14ac:dyDescent="0.3">
      <c r="A167" s="5"/>
      <c r="B167" s="3"/>
      <c r="C167" s="8"/>
      <c r="D167" s="6"/>
      <c r="E167" s="8"/>
      <c r="F167" s="3"/>
      <c r="G167" s="3"/>
      <c r="H167" s="9"/>
    </row>
    <row r="168" spans="1:8" ht="30" customHeight="1" x14ac:dyDescent="0.3">
      <c r="A168" s="5"/>
      <c r="B168" s="3"/>
      <c r="C168" s="8"/>
      <c r="D168" s="6"/>
      <c r="E168" s="8"/>
      <c r="F168" s="3"/>
      <c r="G168" s="3"/>
      <c r="H168" s="9"/>
    </row>
    <row r="169" spans="1:8" ht="30" customHeight="1" x14ac:dyDescent="0.3">
      <c r="A169" s="5"/>
      <c r="B169" s="3"/>
      <c r="C169" s="8"/>
      <c r="D169" s="6"/>
      <c r="E169" s="8"/>
      <c r="F169" s="3"/>
      <c r="G169" s="3"/>
      <c r="H169" s="9"/>
    </row>
    <row r="170" spans="1:8" ht="30" customHeight="1" x14ac:dyDescent="0.3">
      <c r="A170" s="5"/>
      <c r="B170" s="3"/>
      <c r="C170" s="8"/>
      <c r="D170" s="6"/>
      <c r="E170" s="8"/>
      <c r="F170" s="3"/>
      <c r="G170" s="3"/>
      <c r="H170" s="9"/>
    </row>
    <row r="171" spans="1:8" ht="30" customHeight="1" x14ac:dyDescent="0.3">
      <c r="A171" s="5"/>
      <c r="B171" s="3"/>
      <c r="C171" s="8"/>
      <c r="D171" s="6"/>
      <c r="E171" s="8"/>
      <c r="F171" s="3"/>
      <c r="G171" s="3"/>
      <c r="H171" s="9"/>
    </row>
    <row r="172" spans="1:8" ht="30" customHeight="1" x14ac:dyDescent="0.3">
      <c r="A172" s="5"/>
      <c r="B172" s="3"/>
      <c r="C172" s="8"/>
      <c r="D172" s="6"/>
      <c r="E172" s="8"/>
      <c r="F172" s="3"/>
      <c r="G172" s="3"/>
      <c r="H172" s="9"/>
    </row>
    <row r="173" spans="1:8" ht="30" customHeight="1" x14ac:dyDescent="0.3">
      <c r="A173" s="5"/>
      <c r="B173" s="3"/>
      <c r="C173" s="10"/>
      <c r="D173" s="6"/>
      <c r="E173" s="8"/>
      <c r="F173" s="3"/>
      <c r="G173" s="3"/>
      <c r="H173" s="9"/>
    </row>
    <row r="174" spans="1:8" ht="30" customHeight="1" x14ac:dyDescent="0.3">
      <c r="A174" s="5"/>
      <c r="B174" s="3"/>
      <c r="C174" s="10"/>
      <c r="D174" s="6"/>
      <c r="E174" s="8"/>
      <c r="F174" s="3"/>
      <c r="G174" s="3"/>
      <c r="H174" s="9"/>
    </row>
    <row r="175" spans="1:8" ht="30" customHeight="1" x14ac:dyDescent="0.3">
      <c r="A175" s="5"/>
      <c r="B175" s="3"/>
      <c r="C175" s="10"/>
      <c r="D175" s="6"/>
      <c r="E175" s="8"/>
      <c r="F175" s="3"/>
      <c r="G175" s="3"/>
      <c r="H175" s="9"/>
    </row>
    <row r="176" spans="1:8" ht="30" customHeight="1" x14ac:dyDescent="0.3">
      <c r="A176" s="5"/>
      <c r="B176" s="3"/>
      <c r="C176" s="10"/>
      <c r="D176" s="6"/>
      <c r="E176" s="8"/>
      <c r="F176" s="3"/>
      <c r="G176" s="3"/>
      <c r="H176" s="9"/>
    </row>
    <row r="177" spans="1:8" ht="30" customHeight="1" x14ac:dyDescent="0.3">
      <c r="A177" s="5"/>
      <c r="B177" s="3"/>
      <c r="C177" s="10"/>
      <c r="D177" s="6"/>
      <c r="E177" s="8"/>
      <c r="F177" s="3"/>
      <c r="G177" s="3"/>
      <c r="H177" s="9"/>
    </row>
    <row r="178" spans="1:8" ht="30" customHeight="1" x14ac:dyDescent="0.3">
      <c r="A178" s="5"/>
      <c r="B178" s="3"/>
      <c r="C178" s="10"/>
      <c r="D178" s="6"/>
      <c r="E178" s="8"/>
      <c r="F178" s="3"/>
      <c r="G178" s="3"/>
      <c r="H178" s="9"/>
    </row>
    <row r="179" spans="1:8" ht="30" customHeight="1" x14ac:dyDescent="0.3">
      <c r="A179" s="5"/>
      <c r="B179" s="3"/>
      <c r="C179" s="10"/>
      <c r="D179" s="6"/>
      <c r="E179" s="8"/>
      <c r="F179" s="3"/>
      <c r="G179" s="3"/>
      <c r="H179" s="9"/>
    </row>
    <row r="180" spans="1:8" ht="30" customHeight="1" x14ac:dyDescent="0.3">
      <c r="A180" s="5"/>
      <c r="B180" s="3"/>
      <c r="C180" s="10"/>
      <c r="D180" s="6"/>
      <c r="E180" s="8"/>
      <c r="F180" s="3"/>
      <c r="G180" s="3"/>
      <c r="H180" s="9"/>
    </row>
    <row r="181" spans="1:8" ht="30" customHeight="1" x14ac:dyDescent="0.3">
      <c r="A181" s="5"/>
      <c r="B181" s="3"/>
      <c r="C181" s="9"/>
      <c r="D181" s="6"/>
      <c r="E181" s="8"/>
      <c r="F181" s="3"/>
      <c r="G181" s="3"/>
      <c r="H181" s="9"/>
    </row>
    <row r="182" spans="1:8" ht="30" customHeight="1" x14ac:dyDescent="0.3">
      <c r="A182" s="5"/>
      <c r="B182" s="3"/>
      <c r="C182" s="9"/>
      <c r="D182" s="6"/>
      <c r="E182" s="8"/>
      <c r="F182" s="3"/>
      <c r="G182" s="3"/>
      <c r="H182" s="9"/>
    </row>
    <row r="183" spans="1:8" ht="30" customHeight="1" x14ac:dyDescent="0.3">
      <c r="A183" s="5"/>
      <c r="B183" s="3"/>
      <c r="C183" s="9"/>
      <c r="D183" s="6"/>
      <c r="E183" s="8"/>
      <c r="F183" s="3"/>
      <c r="G183" s="3"/>
      <c r="H183" s="9"/>
    </row>
    <row r="184" spans="1:8" ht="30" customHeight="1" x14ac:dyDescent="0.3">
      <c r="A184" s="5"/>
      <c r="B184" s="3"/>
      <c r="C184" s="9"/>
      <c r="D184" s="6"/>
      <c r="E184" s="8"/>
      <c r="F184" s="3"/>
      <c r="G184" s="3"/>
      <c r="H184" s="9"/>
    </row>
    <row r="185" spans="1:8" ht="30" customHeight="1" x14ac:dyDescent="0.3">
      <c r="A185" s="5"/>
      <c r="B185" s="3"/>
      <c r="C185" s="9"/>
      <c r="D185" s="6"/>
      <c r="E185" s="8"/>
      <c r="F185" s="3"/>
      <c r="G185" s="3"/>
      <c r="H185" s="9"/>
    </row>
    <row r="186" spans="1:8" ht="30" customHeight="1" x14ac:dyDescent="0.3">
      <c r="A186" s="5"/>
      <c r="B186" s="3"/>
      <c r="C186" s="9"/>
      <c r="D186" s="6"/>
      <c r="E186" s="8"/>
      <c r="F186" s="3"/>
      <c r="G186" s="3"/>
      <c r="H186" s="9"/>
    </row>
    <row r="187" spans="1:8" ht="30" customHeight="1" x14ac:dyDescent="0.3">
      <c r="A187" s="5"/>
      <c r="B187" s="3"/>
      <c r="C187" s="9"/>
      <c r="D187" s="6"/>
      <c r="E187" s="8"/>
      <c r="F187" s="3"/>
      <c r="G187" s="3"/>
      <c r="H187" s="9"/>
    </row>
    <row r="188" spans="1:8" ht="30" customHeight="1" x14ac:dyDescent="0.3">
      <c r="A188" s="5"/>
      <c r="B188" s="3"/>
      <c r="C188" s="9"/>
      <c r="D188" s="6"/>
      <c r="E188" s="8"/>
      <c r="F188" s="3"/>
      <c r="G188" s="3"/>
      <c r="H188" s="9"/>
    </row>
    <row r="189" spans="1:8" ht="30" customHeight="1" x14ac:dyDescent="0.3">
      <c r="A189" s="5"/>
      <c r="B189" s="3"/>
      <c r="C189" s="9"/>
      <c r="D189" s="6"/>
      <c r="E189" s="8"/>
      <c r="F189" s="3"/>
      <c r="G189" s="3"/>
      <c r="H189" s="9"/>
    </row>
    <row r="190" spans="1:8" ht="30" customHeight="1" x14ac:dyDescent="0.3">
      <c r="A190" s="5"/>
      <c r="B190" s="3"/>
      <c r="C190" s="9"/>
      <c r="D190" s="6"/>
      <c r="E190" s="8"/>
      <c r="F190" s="3"/>
      <c r="G190" s="3"/>
      <c r="H190" s="9"/>
    </row>
    <row r="191" spans="1:8" ht="30" customHeight="1" x14ac:dyDescent="0.3">
      <c r="A191" s="5"/>
      <c r="B191" s="3"/>
      <c r="C191" s="9"/>
      <c r="D191" s="6"/>
      <c r="E191" s="8"/>
      <c r="F191" s="3"/>
      <c r="G191" s="3"/>
      <c r="H191" s="9"/>
    </row>
    <row r="192" spans="1:8" ht="30" customHeight="1" x14ac:dyDescent="0.3">
      <c r="A192" s="5"/>
      <c r="B192" s="3"/>
      <c r="C192" s="9"/>
      <c r="D192" s="6"/>
      <c r="E192" s="8"/>
      <c r="F192" s="3"/>
      <c r="G192" s="3"/>
      <c r="H192" s="9"/>
    </row>
    <row r="193" spans="1:8" ht="30" customHeight="1" x14ac:dyDescent="0.3">
      <c r="A193" s="5"/>
      <c r="B193" s="3"/>
      <c r="C193" s="9"/>
      <c r="D193" s="6"/>
      <c r="E193" s="8"/>
      <c r="F193" s="3"/>
      <c r="G193" s="3"/>
      <c r="H193" s="9"/>
    </row>
    <row r="194" spans="1:8" ht="30" customHeight="1" x14ac:dyDescent="0.3">
      <c r="A194" s="5"/>
      <c r="B194" s="3"/>
      <c r="C194" s="9"/>
      <c r="D194" s="6"/>
      <c r="E194" s="8"/>
      <c r="F194" s="3"/>
      <c r="G194" s="3"/>
      <c r="H194" s="9"/>
    </row>
    <row r="195" spans="1:8" ht="30" customHeight="1" x14ac:dyDescent="0.3">
      <c r="A195" s="5"/>
      <c r="B195" s="3"/>
      <c r="C195" s="9"/>
      <c r="D195" s="6"/>
      <c r="E195" s="8"/>
      <c r="F195" s="3"/>
      <c r="G195" s="3"/>
      <c r="H195" s="9"/>
    </row>
    <row r="196" spans="1:8" ht="30" customHeight="1" x14ac:dyDescent="0.3">
      <c r="A196" s="5"/>
      <c r="B196" s="3"/>
      <c r="C196" s="9"/>
      <c r="D196" s="6"/>
      <c r="E196" s="8"/>
      <c r="F196" s="3"/>
      <c r="G196" s="3"/>
      <c r="H196" s="9"/>
    </row>
    <row r="197" spans="1:8" ht="30" customHeight="1" x14ac:dyDescent="0.3">
      <c r="A197" s="5"/>
      <c r="B197" s="3"/>
      <c r="C197" s="9"/>
      <c r="D197" s="6"/>
      <c r="E197" s="8"/>
      <c r="F197" s="3"/>
      <c r="G197" s="3"/>
      <c r="H197" s="9"/>
    </row>
    <row r="198" spans="1:8" ht="30" customHeight="1" x14ac:dyDescent="0.3">
      <c r="A198" s="5"/>
      <c r="B198" s="3"/>
      <c r="C198" s="9"/>
      <c r="D198" s="6"/>
      <c r="E198" s="8"/>
      <c r="F198" s="3"/>
      <c r="G198" s="3"/>
      <c r="H198" s="9"/>
    </row>
    <row r="199" spans="1:8" ht="30" customHeight="1" x14ac:dyDescent="0.3">
      <c r="A199" s="5"/>
      <c r="B199" s="3"/>
      <c r="C199" s="9"/>
      <c r="D199" s="6"/>
      <c r="E199" s="8"/>
      <c r="F199" s="3"/>
      <c r="G199" s="3"/>
      <c r="H199" s="9"/>
    </row>
    <row r="200" spans="1:8" ht="30" customHeight="1" x14ac:dyDescent="0.3">
      <c r="A200" s="5"/>
      <c r="B200" s="3"/>
      <c r="C200" s="9"/>
      <c r="D200" s="6"/>
      <c r="E200" s="8"/>
      <c r="F200" s="3"/>
      <c r="G200" s="3"/>
      <c r="H200" s="9"/>
    </row>
    <row r="201" spans="1:8" ht="30" customHeight="1" x14ac:dyDescent="0.3">
      <c r="A201" s="5"/>
      <c r="B201" s="3"/>
      <c r="C201" s="9"/>
      <c r="D201" s="6"/>
      <c r="E201" s="8"/>
      <c r="F201" s="3"/>
      <c r="G201" s="3"/>
      <c r="H201" s="9"/>
    </row>
    <row r="202" spans="1:8" ht="30" customHeight="1" x14ac:dyDescent="0.3">
      <c r="A202" s="5"/>
      <c r="B202" s="3"/>
      <c r="C202" s="9"/>
      <c r="D202" s="6"/>
      <c r="E202" s="8"/>
      <c r="F202" s="3"/>
      <c r="G202" s="3"/>
      <c r="H202" s="9"/>
    </row>
    <row r="203" spans="1:8" ht="30" customHeight="1" x14ac:dyDescent="0.3">
      <c r="A203" s="5"/>
      <c r="B203" s="3"/>
      <c r="C203" s="9"/>
      <c r="D203" s="6"/>
      <c r="E203" s="8"/>
      <c r="F203" s="3"/>
      <c r="G203" s="3"/>
      <c r="H203" s="9"/>
    </row>
    <row r="204" spans="1:8" ht="30" customHeight="1" x14ac:dyDescent="0.3">
      <c r="A204" s="5"/>
      <c r="B204" s="3"/>
      <c r="C204" s="9"/>
      <c r="D204" s="6"/>
      <c r="E204" s="8"/>
      <c r="F204" s="3"/>
      <c r="G204" s="3"/>
      <c r="H204" s="9"/>
    </row>
    <row r="205" spans="1:8" ht="30" customHeight="1" x14ac:dyDescent="0.3">
      <c r="A205" s="5"/>
      <c r="B205" s="3"/>
      <c r="C205" s="9"/>
      <c r="D205" s="6"/>
      <c r="E205" s="8"/>
      <c r="F205" s="3"/>
      <c r="G205" s="3"/>
      <c r="H205" s="9"/>
    </row>
    <row r="206" spans="1:8" ht="30" customHeight="1" x14ac:dyDescent="0.3">
      <c r="A206" s="5"/>
      <c r="B206" s="3"/>
      <c r="C206" s="9"/>
      <c r="D206" s="6"/>
      <c r="E206" s="8"/>
      <c r="F206" s="3"/>
      <c r="G206" s="3"/>
      <c r="H206" s="9"/>
    </row>
    <row r="207" spans="1:8" ht="30" customHeight="1" x14ac:dyDescent="0.3">
      <c r="A207" s="5"/>
      <c r="B207" s="3"/>
      <c r="C207" s="9"/>
      <c r="D207" s="6"/>
      <c r="E207" s="8"/>
      <c r="F207" s="3"/>
      <c r="G207" s="3"/>
      <c r="H207" s="9"/>
    </row>
    <row r="208" spans="1:8" ht="30" customHeight="1" x14ac:dyDescent="0.3">
      <c r="A208" s="5"/>
      <c r="B208" s="3"/>
      <c r="C208" s="9"/>
      <c r="D208" s="6"/>
      <c r="E208" s="8"/>
      <c r="F208" s="3"/>
      <c r="G208" s="3"/>
      <c r="H208" s="9"/>
    </row>
    <row r="209" spans="1:8" ht="30" customHeight="1" x14ac:dyDescent="0.3">
      <c r="A209" s="5"/>
      <c r="B209" s="3"/>
      <c r="C209" s="9"/>
      <c r="D209" s="6"/>
      <c r="E209" s="8"/>
      <c r="F209" s="3"/>
      <c r="G209" s="3"/>
      <c r="H209" s="9"/>
    </row>
    <row r="210" spans="1:8" ht="30" customHeight="1" x14ac:dyDescent="0.3">
      <c r="A210" s="5"/>
      <c r="B210" s="3"/>
      <c r="C210" s="9"/>
      <c r="D210" s="6"/>
      <c r="E210" s="8"/>
      <c r="F210" s="3"/>
      <c r="G210" s="3"/>
      <c r="H210" s="9"/>
    </row>
    <row r="211" spans="1:8" ht="30" customHeight="1" x14ac:dyDescent="0.3">
      <c r="A211" s="5"/>
      <c r="B211" s="3"/>
      <c r="C211" s="9"/>
      <c r="D211" s="6"/>
      <c r="E211" s="8"/>
      <c r="F211" s="3"/>
      <c r="G211" s="3"/>
      <c r="H211" s="9"/>
    </row>
    <row r="212" spans="1:8" ht="30" customHeight="1" x14ac:dyDescent="0.3">
      <c r="A212" s="5"/>
      <c r="B212" s="3"/>
      <c r="C212" s="9"/>
      <c r="D212" s="6"/>
      <c r="E212" s="8"/>
      <c r="F212" s="3"/>
      <c r="G212" s="3"/>
      <c r="H212" s="9"/>
    </row>
    <row r="213" spans="1:8" ht="30" customHeight="1" x14ac:dyDescent="0.3">
      <c r="A213" s="5"/>
      <c r="B213" s="3"/>
      <c r="C213" s="9"/>
      <c r="D213" s="6"/>
      <c r="E213" s="8"/>
      <c r="F213" s="3"/>
      <c r="G213" s="3"/>
      <c r="H213" s="9"/>
    </row>
    <row r="214" spans="1:8" ht="30" customHeight="1" x14ac:dyDescent="0.3">
      <c r="A214" s="5"/>
      <c r="B214" s="3"/>
      <c r="C214" s="9"/>
      <c r="D214" s="6"/>
      <c r="E214" s="8"/>
      <c r="F214" s="3"/>
      <c r="G214" s="3"/>
      <c r="H214" s="9"/>
    </row>
    <row r="215" spans="1:8" ht="30" customHeight="1" x14ac:dyDescent="0.3">
      <c r="A215" s="5"/>
      <c r="B215" s="3"/>
      <c r="C215" s="9"/>
      <c r="D215" s="6"/>
      <c r="E215" s="8"/>
      <c r="F215" s="3"/>
      <c r="G215" s="3"/>
      <c r="H215" s="9"/>
    </row>
    <row r="216" spans="1:8" ht="30" customHeight="1" x14ac:dyDescent="0.3">
      <c r="A216" s="5"/>
      <c r="B216" s="3"/>
      <c r="C216" s="9"/>
      <c r="D216" s="6"/>
      <c r="E216" s="8"/>
      <c r="F216" s="3"/>
      <c r="G216" s="3"/>
      <c r="H216" s="9"/>
    </row>
    <row r="217" spans="1:8" ht="30" customHeight="1" x14ac:dyDescent="0.3">
      <c r="A217" s="5"/>
      <c r="B217" s="3"/>
      <c r="C217" s="9"/>
      <c r="D217" s="6"/>
      <c r="E217" s="8"/>
      <c r="F217" s="3"/>
      <c r="G217" s="3"/>
      <c r="H217" s="9"/>
    </row>
    <row r="218" spans="1:8" ht="30" customHeight="1" x14ac:dyDescent="0.3">
      <c r="A218" s="5"/>
      <c r="B218" s="3"/>
      <c r="C218" s="9"/>
      <c r="D218" s="6"/>
      <c r="E218" s="8"/>
      <c r="F218" s="3"/>
      <c r="G218" s="3"/>
      <c r="H218" s="9"/>
    </row>
    <row r="219" spans="1:8" ht="30" customHeight="1" x14ac:dyDescent="0.3">
      <c r="A219" s="5"/>
      <c r="B219" s="3"/>
      <c r="C219" s="9"/>
      <c r="D219" s="6"/>
      <c r="E219" s="8"/>
      <c r="F219" s="3"/>
      <c r="G219" s="3"/>
      <c r="H219" s="9"/>
    </row>
    <row r="220" spans="1:8" ht="30" customHeight="1" x14ac:dyDescent="0.3">
      <c r="A220" s="5"/>
      <c r="B220" s="3"/>
      <c r="C220" s="9"/>
      <c r="D220" s="6"/>
      <c r="E220" s="8"/>
      <c r="F220" s="3"/>
      <c r="G220" s="3"/>
      <c r="H220" s="9"/>
    </row>
    <row r="221" spans="1:8" ht="30" customHeight="1" x14ac:dyDescent="0.3">
      <c r="A221" s="5"/>
      <c r="B221" s="3"/>
      <c r="C221" s="9"/>
      <c r="D221" s="6"/>
      <c r="E221" s="8"/>
      <c r="F221" s="3"/>
      <c r="G221" s="3"/>
      <c r="H221" s="9"/>
    </row>
    <row r="222" spans="1:8" ht="30" customHeight="1" x14ac:dyDescent="0.3">
      <c r="A222" s="5"/>
      <c r="B222" s="3"/>
      <c r="C222" s="9"/>
      <c r="D222" s="6"/>
      <c r="E222" s="8"/>
      <c r="F222" s="3"/>
      <c r="G222" s="3"/>
      <c r="H222" s="9"/>
    </row>
    <row r="223" spans="1:8" ht="30" customHeight="1" x14ac:dyDescent="0.3">
      <c r="A223" s="5"/>
      <c r="B223" s="3"/>
      <c r="C223" s="9"/>
      <c r="D223" s="6"/>
      <c r="E223" s="8"/>
      <c r="F223" s="3"/>
      <c r="G223" s="3"/>
      <c r="H223" s="9"/>
    </row>
    <row r="224" spans="1:8" ht="30" customHeight="1" x14ac:dyDescent="0.3">
      <c r="A224" s="5"/>
      <c r="B224" s="3"/>
      <c r="C224" s="9"/>
      <c r="D224" s="6"/>
      <c r="E224" s="8"/>
      <c r="F224" s="3"/>
      <c r="G224" s="3"/>
      <c r="H224" s="9"/>
    </row>
    <row r="225" spans="1:8" ht="30" customHeight="1" x14ac:dyDescent="0.3">
      <c r="A225" s="5"/>
      <c r="B225" s="3"/>
      <c r="C225" s="9"/>
      <c r="D225" s="6"/>
      <c r="E225" s="8"/>
      <c r="F225" s="3"/>
      <c r="G225" s="3"/>
      <c r="H225" s="9"/>
    </row>
    <row r="226" spans="1:8" ht="30" customHeight="1" x14ac:dyDescent="0.3">
      <c r="A226" s="5"/>
      <c r="B226" s="3"/>
      <c r="C226" s="9"/>
      <c r="D226" s="6"/>
      <c r="E226" s="8"/>
      <c r="F226" s="3"/>
      <c r="G226" s="3"/>
      <c r="H226" s="9"/>
    </row>
    <row r="227" spans="1:8" ht="30" customHeight="1" x14ac:dyDescent="0.3">
      <c r="A227" s="5"/>
      <c r="B227" s="3"/>
      <c r="C227" s="9"/>
      <c r="D227" s="6"/>
      <c r="E227" s="8"/>
      <c r="F227" s="3"/>
      <c r="G227" s="3"/>
      <c r="H227" s="9"/>
    </row>
    <row r="228" spans="1:8" ht="30" customHeight="1" x14ac:dyDescent="0.3">
      <c r="A228" s="5"/>
      <c r="B228" s="3"/>
      <c r="C228" s="9"/>
      <c r="D228" s="6"/>
      <c r="E228" s="8"/>
      <c r="F228" s="3"/>
      <c r="G228" s="3"/>
      <c r="H228" s="9"/>
    </row>
    <row r="229" spans="1:8" ht="30" customHeight="1" x14ac:dyDescent="0.3">
      <c r="A229" s="5"/>
      <c r="B229" s="3"/>
      <c r="C229" s="9"/>
      <c r="D229" s="6"/>
      <c r="E229" s="8"/>
      <c r="F229" s="3"/>
      <c r="G229" s="3"/>
      <c r="H229" s="9"/>
    </row>
    <row r="230" spans="1:8" ht="30" customHeight="1" x14ac:dyDescent="0.3">
      <c r="A230" s="5"/>
      <c r="B230" s="3"/>
      <c r="C230" s="9"/>
      <c r="D230" s="6"/>
      <c r="E230" s="8"/>
      <c r="F230" s="3"/>
      <c r="G230" s="3"/>
      <c r="H230" s="9"/>
    </row>
    <row r="231" spans="1:8" ht="30" customHeight="1" x14ac:dyDescent="0.3">
      <c r="A231" s="5"/>
      <c r="B231" s="3"/>
      <c r="C231" s="9"/>
      <c r="D231" s="6"/>
      <c r="E231" s="8"/>
      <c r="F231" s="3"/>
      <c r="G231" s="3"/>
      <c r="H231" s="9"/>
    </row>
    <row r="232" spans="1:8" ht="30" customHeight="1" x14ac:dyDescent="0.3">
      <c r="A232" s="5"/>
      <c r="B232" s="3"/>
      <c r="C232" s="9"/>
      <c r="D232" s="6"/>
      <c r="E232" s="8"/>
      <c r="F232" s="3"/>
      <c r="G232" s="3"/>
      <c r="H232" s="9"/>
    </row>
    <row r="233" spans="1:8" ht="30" customHeight="1" x14ac:dyDescent="0.3">
      <c r="A233" s="5"/>
      <c r="B233" s="3"/>
      <c r="C233" s="9"/>
      <c r="D233" s="6"/>
      <c r="E233" s="8"/>
      <c r="F233" s="3"/>
      <c r="G233" s="3"/>
      <c r="H233" s="9"/>
    </row>
    <row r="234" spans="1:8" ht="30" customHeight="1" x14ac:dyDescent="0.3">
      <c r="A234" s="5"/>
      <c r="B234" s="3"/>
      <c r="C234" s="9"/>
      <c r="D234" s="6"/>
      <c r="E234" s="8"/>
      <c r="F234" s="3"/>
      <c r="G234" s="3"/>
      <c r="H234" s="9"/>
    </row>
    <row r="235" spans="1:8" ht="30" customHeight="1" x14ac:dyDescent="0.3">
      <c r="A235" s="5"/>
      <c r="B235" s="3"/>
      <c r="C235" s="9"/>
      <c r="D235" s="6"/>
      <c r="E235" s="8"/>
      <c r="F235" s="3"/>
      <c r="G235" s="3"/>
      <c r="H235" s="9"/>
    </row>
    <row r="236" spans="1:8" ht="30" customHeight="1" x14ac:dyDescent="0.3">
      <c r="A236" s="5"/>
      <c r="B236" s="3"/>
      <c r="C236" s="9"/>
      <c r="D236" s="6"/>
      <c r="E236" s="8"/>
      <c r="F236" s="3"/>
      <c r="G236" s="3"/>
      <c r="H236" s="9"/>
    </row>
    <row r="237" spans="1:8" ht="30" customHeight="1" x14ac:dyDescent="0.3">
      <c r="A237" s="5"/>
      <c r="B237" s="3"/>
      <c r="C237" s="9"/>
      <c r="D237" s="6"/>
      <c r="E237" s="8"/>
      <c r="F237" s="3"/>
      <c r="G237" s="3"/>
      <c r="H237" s="9"/>
    </row>
    <row r="238" spans="1:8" ht="30" customHeight="1" x14ac:dyDescent="0.3">
      <c r="A238" s="5"/>
      <c r="B238" s="3"/>
      <c r="C238" s="9"/>
      <c r="D238" s="6"/>
      <c r="E238" s="8"/>
      <c r="F238" s="3"/>
      <c r="G238" s="3"/>
      <c r="H238" s="9"/>
    </row>
    <row r="239" spans="1:8" ht="30" customHeight="1" x14ac:dyDescent="0.3">
      <c r="A239" s="5"/>
      <c r="B239" s="3"/>
      <c r="C239" s="9"/>
      <c r="D239" s="6"/>
      <c r="E239" s="8"/>
      <c r="F239" s="3"/>
      <c r="G239" s="3"/>
      <c r="H239" s="9"/>
    </row>
    <row r="240" spans="1:8" ht="30" customHeight="1" x14ac:dyDescent="0.3">
      <c r="A240" s="5"/>
      <c r="B240" s="3"/>
      <c r="C240" s="9"/>
      <c r="D240" s="6"/>
      <c r="E240" s="8"/>
      <c r="F240" s="3"/>
      <c r="G240" s="3"/>
      <c r="H240" s="9"/>
    </row>
    <row r="241" spans="1:8" ht="30" customHeight="1" x14ac:dyDescent="0.3">
      <c r="A241" s="5"/>
      <c r="B241" s="3"/>
      <c r="C241" s="9"/>
      <c r="D241" s="6"/>
      <c r="E241" s="8"/>
      <c r="F241" s="3"/>
      <c r="G241" s="3"/>
      <c r="H241" s="9"/>
    </row>
    <row r="242" spans="1:8" ht="30" customHeight="1" x14ac:dyDescent="0.3">
      <c r="A242" s="5"/>
      <c r="B242" s="3"/>
      <c r="C242" s="9"/>
      <c r="D242" s="6"/>
      <c r="E242" s="8"/>
      <c r="F242" s="3"/>
      <c r="G242" s="3"/>
      <c r="H242" s="9"/>
    </row>
    <row r="243" spans="1:8" ht="30" customHeight="1" x14ac:dyDescent="0.3">
      <c r="A243" s="5"/>
      <c r="B243" s="3"/>
      <c r="C243" s="9"/>
      <c r="D243" s="6"/>
      <c r="E243" s="8"/>
      <c r="F243" s="3"/>
      <c r="G243" s="3"/>
      <c r="H243" s="9"/>
    </row>
    <row r="244" spans="1:8" ht="30" customHeight="1" x14ac:dyDescent="0.3">
      <c r="A244" s="5"/>
      <c r="B244" s="3"/>
      <c r="C244" s="9"/>
      <c r="D244" s="6"/>
      <c r="E244" s="8"/>
      <c r="F244" s="3"/>
      <c r="G244" s="3"/>
      <c r="H244" s="9"/>
    </row>
    <row r="245" spans="1:8" ht="30" customHeight="1" x14ac:dyDescent="0.3">
      <c r="A245" s="5"/>
      <c r="B245" s="3"/>
      <c r="C245" s="9"/>
      <c r="D245" s="6"/>
      <c r="E245" s="8"/>
      <c r="F245" s="3"/>
      <c r="G245" s="3"/>
      <c r="H245" s="9"/>
    </row>
    <row r="246" spans="1:8" ht="30" customHeight="1" x14ac:dyDescent="0.3">
      <c r="A246" s="5"/>
      <c r="B246" s="3"/>
      <c r="C246" s="9"/>
      <c r="D246" s="6"/>
      <c r="E246" s="8"/>
      <c r="F246" s="3"/>
      <c r="G246" s="3"/>
      <c r="H246" s="9"/>
    </row>
    <row r="247" spans="1:8" ht="30" customHeight="1" x14ac:dyDescent="0.3">
      <c r="A247" s="5"/>
      <c r="B247" s="3"/>
      <c r="C247" s="9"/>
      <c r="D247" s="6"/>
      <c r="E247" s="8"/>
      <c r="F247" s="3"/>
      <c r="G247" s="3"/>
      <c r="H247" s="9"/>
    </row>
    <row r="248" spans="1:8" ht="30" customHeight="1" x14ac:dyDescent="0.3">
      <c r="A248" s="5"/>
      <c r="B248" s="3"/>
      <c r="C248" s="9"/>
      <c r="D248" s="6"/>
      <c r="E248" s="8"/>
      <c r="F248" s="3"/>
      <c r="G248" s="3"/>
      <c r="H248" s="9"/>
    </row>
    <row r="249" spans="1:8" ht="30" customHeight="1" x14ac:dyDescent="0.3">
      <c r="A249" s="5"/>
      <c r="B249" s="3"/>
      <c r="C249" s="9"/>
      <c r="D249" s="6"/>
      <c r="E249" s="8"/>
      <c r="F249" s="3"/>
      <c r="G249" s="3"/>
      <c r="H249" s="9"/>
    </row>
    <row r="250" spans="1:8" ht="30" customHeight="1" x14ac:dyDescent="0.3">
      <c r="A250" s="5"/>
      <c r="B250" s="3"/>
      <c r="C250" s="9"/>
      <c r="D250" s="6"/>
      <c r="E250" s="8"/>
      <c r="F250" s="3"/>
      <c r="G250" s="3"/>
      <c r="H250" s="9"/>
    </row>
    <row r="251" spans="1:8" ht="30" customHeight="1" x14ac:dyDescent="0.3">
      <c r="A251" s="5"/>
      <c r="B251" s="3"/>
      <c r="C251" s="9"/>
      <c r="D251" s="6"/>
      <c r="E251" s="8"/>
      <c r="F251" s="3"/>
      <c r="G251" s="3"/>
      <c r="H251" s="9"/>
    </row>
    <row r="252" spans="1:8" ht="30" customHeight="1" x14ac:dyDescent="0.3">
      <c r="A252" s="5"/>
      <c r="B252" s="3"/>
      <c r="C252" s="9"/>
      <c r="D252" s="6"/>
      <c r="E252" s="8"/>
      <c r="F252" s="3"/>
      <c r="G252" s="3"/>
      <c r="H252" s="9"/>
    </row>
    <row r="253" spans="1:8" ht="30" customHeight="1" x14ac:dyDescent="0.3">
      <c r="A253" s="5"/>
      <c r="B253" s="3"/>
      <c r="C253" s="9"/>
      <c r="D253" s="6"/>
      <c r="E253" s="8"/>
      <c r="F253" s="3"/>
      <c r="G253" s="3"/>
      <c r="H253" s="9"/>
    </row>
    <row r="254" spans="1:8" ht="30" customHeight="1" x14ac:dyDescent="0.3">
      <c r="A254" s="5"/>
      <c r="B254" s="3"/>
      <c r="C254" s="9"/>
      <c r="D254" s="6"/>
      <c r="E254" s="8"/>
      <c r="F254" s="3"/>
      <c r="G254" s="3"/>
      <c r="H254" s="9"/>
    </row>
    <row r="255" spans="1:8" ht="30" customHeight="1" x14ac:dyDescent="0.3">
      <c r="A255" s="5"/>
      <c r="B255" s="3"/>
      <c r="C255" s="9"/>
      <c r="D255" s="6"/>
      <c r="E255" s="8"/>
      <c r="F255" s="3"/>
      <c r="G255" s="3"/>
      <c r="H255" s="9"/>
    </row>
    <row r="256" spans="1:8" ht="30" customHeight="1" x14ac:dyDescent="0.3">
      <c r="A256" s="5"/>
      <c r="B256" s="3"/>
      <c r="C256" s="9"/>
      <c r="D256" s="6"/>
      <c r="E256" s="8"/>
      <c r="F256" s="3"/>
      <c r="G256" s="3"/>
      <c r="H256" s="9"/>
    </row>
    <row r="257" spans="1:8" ht="30" customHeight="1" x14ac:dyDescent="0.3">
      <c r="A257" s="5"/>
      <c r="B257" s="3"/>
      <c r="C257" s="9"/>
      <c r="D257" s="6"/>
      <c r="E257" s="8"/>
      <c r="F257" s="3"/>
      <c r="G257" s="3"/>
      <c r="H257" s="9"/>
    </row>
    <row r="258" spans="1:8" ht="30" customHeight="1" x14ac:dyDescent="0.3">
      <c r="A258" s="5"/>
      <c r="B258" s="3"/>
      <c r="C258" s="9"/>
      <c r="D258" s="6"/>
      <c r="E258" s="8"/>
      <c r="F258" s="3"/>
      <c r="G258" s="3"/>
      <c r="H258" s="9"/>
    </row>
    <row r="259" spans="1:8" ht="30" customHeight="1" x14ac:dyDescent="0.3">
      <c r="A259" s="5"/>
      <c r="B259" s="3"/>
      <c r="C259" s="9"/>
      <c r="D259" s="6"/>
      <c r="E259" s="8"/>
      <c r="F259" s="3"/>
      <c r="G259" s="3"/>
      <c r="H259" s="9"/>
    </row>
    <row r="260" spans="1:8" ht="30" customHeight="1" x14ac:dyDescent="0.3">
      <c r="A260" s="5"/>
      <c r="B260" s="3"/>
      <c r="C260" s="9"/>
      <c r="D260" s="6"/>
      <c r="E260" s="8"/>
      <c r="F260" s="3"/>
      <c r="G260" s="3"/>
      <c r="H260" s="9"/>
    </row>
    <row r="261" spans="1:8" ht="30" customHeight="1" x14ac:dyDescent="0.3">
      <c r="A261" s="5"/>
      <c r="B261" s="3"/>
      <c r="C261" s="9"/>
      <c r="D261" s="6"/>
      <c r="E261" s="8"/>
      <c r="F261" s="3"/>
      <c r="G261" s="3"/>
      <c r="H261" s="9"/>
    </row>
    <row r="262" spans="1:8" ht="30" customHeight="1" x14ac:dyDescent="0.3">
      <c r="A262" s="5"/>
      <c r="B262" s="3"/>
      <c r="C262" s="9"/>
      <c r="D262" s="6"/>
      <c r="E262" s="8"/>
      <c r="F262" s="3"/>
      <c r="G262" s="3"/>
      <c r="H262" s="9"/>
    </row>
    <row r="263" spans="1:8" ht="30" customHeight="1" x14ac:dyDescent="0.3">
      <c r="A263" s="5"/>
      <c r="B263" s="3"/>
      <c r="C263" s="9"/>
      <c r="D263" s="6"/>
      <c r="E263" s="8"/>
      <c r="F263" s="3"/>
      <c r="G263" s="3"/>
      <c r="H263" s="9"/>
    </row>
    <row r="264" spans="1:8" ht="30" customHeight="1" x14ac:dyDescent="0.3">
      <c r="A264" s="5"/>
      <c r="B264" s="3"/>
      <c r="C264" s="9"/>
      <c r="D264" s="6"/>
      <c r="E264" s="8"/>
      <c r="F264" s="3"/>
      <c r="G264" s="3"/>
      <c r="H264" s="9"/>
    </row>
    <row r="265" spans="1:8" ht="30" customHeight="1" x14ac:dyDescent="0.3">
      <c r="A265" s="5"/>
      <c r="B265" s="3"/>
      <c r="C265" s="9"/>
      <c r="D265" s="6"/>
      <c r="E265" s="8"/>
      <c r="F265" s="3"/>
      <c r="G265" s="3"/>
      <c r="H265" s="9"/>
    </row>
    <row r="266" spans="1:8" ht="30" customHeight="1" x14ac:dyDescent="0.3">
      <c r="A266" s="5"/>
      <c r="B266" s="3"/>
      <c r="C266" s="9"/>
      <c r="D266" s="6"/>
      <c r="E266" s="8"/>
      <c r="F266" s="3"/>
      <c r="G266" s="3"/>
      <c r="H266" s="9"/>
    </row>
    <row r="267" spans="1:8" ht="30" customHeight="1" x14ac:dyDescent="0.3">
      <c r="A267" s="5"/>
      <c r="B267" s="3"/>
      <c r="C267" s="9"/>
      <c r="D267" s="6"/>
      <c r="E267" s="8"/>
      <c r="F267" s="3"/>
      <c r="G267" s="3"/>
      <c r="H267" s="9"/>
    </row>
    <row r="268" spans="1:8" ht="30" customHeight="1" x14ac:dyDescent="0.3">
      <c r="A268" s="5"/>
      <c r="B268" s="3"/>
      <c r="C268" s="9"/>
      <c r="D268" s="6"/>
      <c r="E268" s="8"/>
      <c r="F268" s="3"/>
      <c r="G268" s="3"/>
      <c r="H268" s="9"/>
    </row>
    <row r="269" spans="1:8" ht="30" customHeight="1" x14ac:dyDescent="0.3">
      <c r="A269" s="5"/>
      <c r="B269" s="3"/>
      <c r="C269" s="9"/>
      <c r="D269" s="6"/>
      <c r="E269" s="8"/>
      <c r="F269" s="3"/>
      <c r="G269" s="3"/>
      <c r="H269" s="9"/>
    </row>
    <row r="270" spans="1:8" ht="30" customHeight="1" x14ac:dyDescent="0.3">
      <c r="A270" s="5"/>
      <c r="B270" s="3"/>
      <c r="C270" s="9"/>
      <c r="D270" s="6"/>
      <c r="E270" s="8"/>
      <c r="F270" s="3"/>
      <c r="G270" s="3"/>
      <c r="H270" s="9"/>
    </row>
    <row r="271" spans="1:8" ht="30" customHeight="1" x14ac:dyDescent="0.3">
      <c r="A271" s="5"/>
      <c r="B271" s="3"/>
      <c r="C271" s="9"/>
      <c r="D271" s="6"/>
      <c r="E271" s="8"/>
      <c r="F271" s="3"/>
      <c r="G271" s="3"/>
      <c r="H271" s="9"/>
    </row>
    <row r="272" spans="1:8" ht="30" customHeight="1" x14ac:dyDescent="0.3">
      <c r="A272" s="5"/>
      <c r="B272" s="3"/>
      <c r="C272" s="9"/>
      <c r="D272" s="6"/>
      <c r="E272" s="8"/>
      <c r="F272" s="3"/>
      <c r="G272" s="3"/>
      <c r="H272" s="9"/>
    </row>
    <row r="273" spans="1:8" ht="30" customHeight="1" x14ac:dyDescent="0.3">
      <c r="A273" s="5"/>
      <c r="B273" s="3"/>
      <c r="C273" s="9"/>
      <c r="D273" s="6"/>
      <c r="E273" s="8"/>
      <c r="F273" s="3"/>
      <c r="G273" s="3"/>
      <c r="H273" s="9"/>
    </row>
    <row r="274" spans="1:8" ht="30" customHeight="1" x14ac:dyDescent="0.3">
      <c r="A274" s="5"/>
      <c r="B274" s="3"/>
      <c r="C274" s="9"/>
      <c r="D274" s="6"/>
      <c r="E274" s="8"/>
      <c r="F274" s="3"/>
      <c r="G274" s="3"/>
      <c r="H274" s="9"/>
    </row>
    <row r="275" spans="1:8" ht="30" customHeight="1" x14ac:dyDescent="0.3">
      <c r="A275" s="2"/>
      <c r="B275" s="2"/>
      <c r="C275" s="9"/>
      <c r="D275" s="12"/>
      <c r="E275" s="10"/>
      <c r="F275" s="2"/>
      <c r="G275" s="2"/>
      <c r="H275" s="9"/>
    </row>
    <row r="276" spans="1:8" ht="30" customHeight="1" x14ac:dyDescent="0.3">
      <c r="A276" s="2"/>
      <c r="B276" s="2"/>
      <c r="C276" s="9"/>
      <c r="D276" s="12"/>
      <c r="E276" s="10"/>
      <c r="F276" s="2"/>
      <c r="G276" s="2"/>
      <c r="H276" s="9"/>
    </row>
    <row r="277" spans="1:8" ht="30" customHeight="1" x14ac:dyDescent="0.3">
      <c r="A277" s="2"/>
      <c r="B277" s="2"/>
      <c r="C277" s="9"/>
      <c r="D277" s="12"/>
      <c r="E277" s="10"/>
      <c r="F277" s="2"/>
      <c r="G277" s="2"/>
      <c r="H277" s="9"/>
    </row>
    <row r="278" spans="1:8" ht="30" customHeight="1" x14ac:dyDescent="0.3">
      <c r="A278" s="2"/>
      <c r="B278" s="2"/>
      <c r="C278" s="9"/>
      <c r="D278" s="12"/>
      <c r="E278" s="10"/>
      <c r="F278" s="2"/>
      <c r="G278" s="2"/>
      <c r="H278" s="9"/>
    </row>
    <row r="279" spans="1:8" ht="30" customHeight="1" x14ac:dyDescent="0.3">
      <c r="A279" s="2"/>
      <c r="B279" s="2"/>
      <c r="C279" s="9"/>
      <c r="D279" s="12"/>
      <c r="E279" s="10"/>
      <c r="F279" s="2"/>
      <c r="G279" s="2"/>
      <c r="H279" s="9"/>
    </row>
    <row r="280" spans="1:8" ht="30" customHeight="1" x14ac:dyDescent="0.3">
      <c r="A280" s="2"/>
      <c r="B280" s="2"/>
      <c r="C280" s="9"/>
      <c r="D280" s="12"/>
      <c r="E280" s="10"/>
      <c r="F280" s="2"/>
      <c r="G280" s="2"/>
      <c r="H280" s="9"/>
    </row>
    <row r="281" spans="1:8" ht="30" customHeight="1" x14ac:dyDescent="0.3">
      <c r="A281" s="2"/>
      <c r="B281" s="2"/>
      <c r="C281" s="9"/>
      <c r="D281" s="2"/>
      <c r="E281" s="10"/>
      <c r="F281" s="2"/>
      <c r="G281" s="2"/>
      <c r="H281" s="9"/>
    </row>
    <row r="282" spans="1:8" ht="30" customHeight="1" x14ac:dyDescent="0.3">
      <c r="A282" s="2"/>
      <c r="B282" s="2"/>
      <c r="C282" s="9"/>
      <c r="D282" s="2"/>
      <c r="E282" s="10"/>
      <c r="F282" s="2"/>
      <c r="G282" s="2"/>
      <c r="H282" s="9"/>
    </row>
    <row r="283" spans="1:8" x14ac:dyDescent="0.3">
      <c r="A283" s="9"/>
      <c r="B283" s="9"/>
      <c r="C283" s="9"/>
      <c r="D283" s="9"/>
      <c r="E283" s="9"/>
      <c r="F283" s="9"/>
      <c r="G283" s="9"/>
      <c r="H283" s="9"/>
    </row>
    <row r="284" spans="1:8" x14ac:dyDescent="0.3">
      <c r="A284" s="9"/>
      <c r="B284" s="9"/>
      <c r="C284" s="9"/>
      <c r="D284" s="9"/>
      <c r="E284" s="9"/>
      <c r="F284" s="9"/>
      <c r="G284" s="9"/>
      <c r="H284" s="9"/>
    </row>
    <row r="285" spans="1:8" x14ac:dyDescent="0.3">
      <c r="A285" s="9"/>
      <c r="B285" s="9"/>
      <c r="C285" s="9"/>
      <c r="D285" s="9"/>
      <c r="E285" s="9"/>
      <c r="F285" s="9"/>
      <c r="G285" s="9"/>
      <c r="H285" s="9"/>
    </row>
    <row r="286" spans="1:8" x14ac:dyDescent="0.3">
      <c r="A286" s="9"/>
      <c r="B286" s="9"/>
      <c r="C286" s="9"/>
      <c r="D286" s="9"/>
      <c r="E286" s="9"/>
      <c r="F286" s="9"/>
      <c r="G286" s="9"/>
      <c r="H286" s="9"/>
    </row>
    <row r="287" spans="1:8" x14ac:dyDescent="0.3">
      <c r="A287" s="9"/>
      <c r="B287" s="9"/>
      <c r="C287" s="9"/>
      <c r="D287" s="9"/>
      <c r="E287" s="9"/>
      <c r="F287" s="9"/>
      <c r="G287" s="9"/>
      <c r="H287" s="9"/>
    </row>
    <row r="288" spans="1:8" x14ac:dyDescent="0.3">
      <c r="A288" s="9"/>
      <c r="B288" s="9"/>
      <c r="C288" s="9"/>
      <c r="D288" s="9"/>
      <c r="E288" s="9"/>
      <c r="F288" s="9"/>
      <c r="G288" s="9"/>
      <c r="H288" s="9"/>
    </row>
    <row r="289" spans="1:8" x14ac:dyDescent="0.3">
      <c r="A289" s="9"/>
      <c r="B289" s="9"/>
      <c r="C289" s="9"/>
      <c r="D289" s="9"/>
      <c r="E289" s="9"/>
      <c r="F289" s="9"/>
      <c r="G289" s="9"/>
      <c r="H289" s="9"/>
    </row>
    <row r="290" spans="1:8" x14ac:dyDescent="0.3">
      <c r="A290" s="9"/>
      <c r="B290" s="9"/>
      <c r="C290" s="9"/>
      <c r="D290" s="9"/>
      <c r="E290" s="9"/>
      <c r="F290" s="9"/>
      <c r="G290" s="9"/>
      <c r="H290" s="9"/>
    </row>
    <row r="291" spans="1:8" x14ac:dyDescent="0.3">
      <c r="A291" s="9"/>
      <c r="B291" s="9"/>
      <c r="C291" s="9"/>
      <c r="D291" s="9"/>
      <c r="E291" s="9"/>
      <c r="F291" s="9"/>
      <c r="G291" s="9"/>
      <c r="H291" s="9"/>
    </row>
    <row r="292" spans="1:8" x14ac:dyDescent="0.3">
      <c r="A292" s="9"/>
      <c r="B292" s="9"/>
      <c r="C292" s="9"/>
      <c r="D292" s="9"/>
      <c r="E292" s="9"/>
      <c r="F292" s="9"/>
      <c r="G292" s="9"/>
      <c r="H292" s="9"/>
    </row>
    <row r="293" spans="1:8" x14ac:dyDescent="0.3">
      <c r="A293" s="9"/>
      <c r="B293" s="9"/>
      <c r="C293" s="9"/>
      <c r="D293" s="9"/>
      <c r="E293" s="9"/>
      <c r="F293" s="9"/>
      <c r="G293" s="9"/>
      <c r="H293" s="9"/>
    </row>
    <row r="294" spans="1:8" x14ac:dyDescent="0.3">
      <c r="A294" s="9"/>
      <c r="B294" s="9"/>
      <c r="C294" s="9"/>
      <c r="D294" s="9"/>
      <c r="E294" s="9"/>
      <c r="F294" s="9"/>
      <c r="G294" s="9"/>
      <c r="H294" s="9"/>
    </row>
    <row r="295" spans="1:8" x14ac:dyDescent="0.3">
      <c r="A295" s="9"/>
      <c r="B295" s="9"/>
      <c r="C295" s="9"/>
      <c r="D295" s="9"/>
      <c r="E295" s="9"/>
      <c r="F295" s="9"/>
      <c r="G295" s="9"/>
      <c r="H295" s="9"/>
    </row>
    <row r="296" spans="1:8" x14ac:dyDescent="0.3">
      <c r="A296" s="9"/>
      <c r="B296" s="9"/>
      <c r="C296" s="9"/>
      <c r="D296" s="9"/>
      <c r="E296" s="9"/>
      <c r="F296" s="9"/>
      <c r="G296" s="9"/>
      <c r="H296" s="9"/>
    </row>
    <row r="297" spans="1:8" x14ac:dyDescent="0.3">
      <c r="A297" s="9"/>
      <c r="B297" s="9"/>
      <c r="C297" s="9"/>
      <c r="D297" s="9"/>
      <c r="E297" s="9"/>
      <c r="F297" s="9"/>
      <c r="G297" s="9"/>
      <c r="H297" s="9"/>
    </row>
    <row r="298" spans="1:8" x14ac:dyDescent="0.3">
      <c r="A298" s="9"/>
      <c r="B298" s="9"/>
      <c r="C298" s="9"/>
      <c r="D298" s="9"/>
      <c r="E298" s="9"/>
      <c r="F298" s="9"/>
      <c r="G298" s="9"/>
      <c r="H298" s="9"/>
    </row>
    <row r="299" spans="1:8" x14ac:dyDescent="0.3">
      <c r="A299" s="9"/>
      <c r="B299" s="9"/>
      <c r="C299" s="9"/>
      <c r="D299" s="9"/>
      <c r="E299" s="9"/>
      <c r="F299" s="9"/>
      <c r="G299" s="9"/>
      <c r="H299" s="9"/>
    </row>
    <row r="300" spans="1:8" x14ac:dyDescent="0.3">
      <c r="A300" s="9"/>
      <c r="B300" s="9"/>
      <c r="C300" s="9"/>
      <c r="D300" s="9"/>
      <c r="E300" s="9"/>
      <c r="F300" s="9"/>
      <c r="G300" s="9"/>
      <c r="H300" s="9"/>
    </row>
    <row r="301" spans="1:8" x14ac:dyDescent="0.3">
      <c r="A301" s="9"/>
      <c r="B301" s="9"/>
      <c r="C301" s="9"/>
      <c r="D301" s="9"/>
      <c r="E301" s="9"/>
      <c r="F301" s="9"/>
      <c r="G301" s="9"/>
      <c r="H301" s="9"/>
    </row>
    <row r="302" spans="1:8" x14ac:dyDescent="0.3">
      <c r="A302" s="9"/>
      <c r="B302" s="9"/>
      <c r="C302" s="9"/>
      <c r="D302" s="9"/>
      <c r="E302" s="9"/>
      <c r="F302" s="9"/>
      <c r="G302" s="9"/>
      <c r="H302" s="9"/>
    </row>
    <row r="303" spans="1:8" x14ac:dyDescent="0.3">
      <c r="A303" s="9"/>
      <c r="B303" s="9"/>
      <c r="C303" s="9"/>
      <c r="D303" s="9"/>
      <c r="E303" s="9"/>
      <c r="F303" s="9"/>
      <c r="G303" s="9"/>
      <c r="H303" s="9"/>
    </row>
    <row r="304" spans="1:8" x14ac:dyDescent="0.3">
      <c r="A304" s="9"/>
      <c r="B304" s="9"/>
      <c r="C304" s="9"/>
      <c r="D304" s="9"/>
      <c r="E304" s="9"/>
      <c r="F304" s="9"/>
      <c r="G304" s="9"/>
      <c r="H304" s="9"/>
    </row>
    <row r="305" spans="1:8" x14ac:dyDescent="0.3">
      <c r="A305" s="9"/>
      <c r="B305" s="9"/>
      <c r="C305" s="9"/>
      <c r="D305" s="9"/>
      <c r="E305" s="9"/>
      <c r="F305" s="9"/>
      <c r="G305" s="9"/>
      <c r="H305" s="9"/>
    </row>
    <row r="306" spans="1:8" x14ac:dyDescent="0.3">
      <c r="A306" s="9"/>
      <c r="B306" s="9"/>
      <c r="C306" s="9"/>
      <c r="D306" s="9"/>
      <c r="E306" s="9"/>
      <c r="F306" s="9"/>
      <c r="G306" s="9"/>
      <c r="H306" s="9"/>
    </row>
    <row r="307" spans="1:8" x14ac:dyDescent="0.3">
      <c r="A307" s="9"/>
      <c r="B307" s="9"/>
      <c r="C307" s="9"/>
      <c r="D307" s="9"/>
      <c r="E307" s="9"/>
      <c r="F307" s="9"/>
      <c r="G307" s="9"/>
      <c r="H307" s="9"/>
    </row>
    <row r="308" spans="1:8" x14ac:dyDescent="0.3">
      <c r="A308" s="9"/>
      <c r="B308" s="9"/>
      <c r="C308" s="9"/>
      <c r="D308" s="9"/>
      <c r="E308" s="9"/>
      <c r="F308" s="9"/>
      <c r="G308" s="9"/>
      <c r="H308" s="9"/>
    </row>
    <row r="309" spans="1:8" x14ac:dyDescent="0.3">
      <c r="A309" s="9"/>
      <c r="B309" s="9"/>
      <c r="C309" s="9"/>
      <c r="D309" s="9"/>
      <c r="E309" s="9"/>
      <c r="F309" s="9"/>
      <c r="G309" s="9"/>
      <c r="H309" s="9"/>
    </row>
    <row r="310" spans="1:8" x14ac:dyDescent="0.3">
      <c r="A310" s="9"/>
      <c r="B310" s="9"/>
      <c r="C310" s="9"/>
      <c r="D310" s="9"/>
      <c r="E310" s="9"/>
      <c r="F310" s="9"/>
      <c r="G310" s="9"/>
      <c r="H310" s="9"/>
    </row>
    <row r="311" spans="1:8" x14ac:dyDescent="0.3">
      <c r="A311" s="9"/>
      <c r="B311" s="9"/>
      <c r="C311" s="9"/>
      <c r="D311" s="9"/>
      <c r="E311" s="9"/>
      <c r="F311" s="9"/>
      <c r="G311" s="9"/>
      <c r="H311" s="9"/>
    </row>
    <row r="312" spans="1:8" x14ac:dyDescent="0.3">
      <c r="A312" s="9"/>
      <c r="B312" s="9"/>
      <c r="C312" s="9"/>
      <c r="D312" s="9"/>
      <c r="E312" s="9"/>
      <c r="F312" s="9"/>
      <c r="G312" s="9"/>
      <c r="H312" s="9"/>
    </row>
    <row r="313" spans="1:8" x14ac:dyDescent="0.3">
      <c r="A313" s="9"/>
      <c r="B313" s="9"/>
      <c r="C313" s="9"/>
      <c r="D313" s="9"/>
      <c r="E313" s="9"/>
      <c r="F313" s="9"/>
      <c r="G313" s="9"/>
      <c r="H313" s="9"/>
    </row>
    <row r="314" spans="1:8" x14ac:dyDescent="0.3">
      <c r="A314" s="9"/>
      <c r="B314" s="9"/>
      <c r="C314" s="9"/>
      <c r="D314" s="9"/>
      <c r="E314" s="9"/>
      <c r="F314" s="9"/>
      <c r="G314" s="9"/>
      <c r="H314" s="9"/>
    </row>
    <row r="315" spans="1:8" x14ac:dyDescent="0.3">
      <c r="A315" s="9"/>
      <c r="B315" s="9"/>
      <c r="C315" s="9"/>
      <c r="D315" s="9"/>
      <c r="E315" s="9"/>
      <c r="F315" s="9"/>
      <c r="G315" s="9"/>
      <c r="H315" s="9"/>
    </row>
    <row r="316" spans="1:8" x14ac:dyDescent="0.3">
      <c r="A316" s="9"/>
      <c r="B316" s="9"/>
      <c r="C316" s="9"/>
      <c r="D316" s="9"/>
      <c r="E316" s="9"/>
      <c r="F316" s="9"/>
      <c r="G316" s="9"/>
      <c r="H316" s="9"/>
    </row>
    <row r="317" spans="1:8" x14ac:dyDescent="0.3">
      <c r="A317" s="9"/>
      <c r="B317" s="9"/>
      <c r="C317" s="9"/>
      <c r="D317" s="9"/>
      <c r="E317" s="9"/>
      <c r="F317" s="9"/>
      <c r="G317" s="9"/>
      <c r="H317" s="9"/>
    </row>
    <row r="318" spans="1:8" x14ac:dyDescent="0.3">
      <c r="A318" s="9"/>
      <c r="B318" s="9"/>
      <c r="C318" s="9"/>
      <c r="D318" s="9"/>
      <c r="E318" s="9"/>
      <c r="F318" s="9"/>
      <c r="G318" s="9"/>
      <c r="H318" s="9"/>
    </row>
    <row r="319" spans="1:8" x14ac:dyDescent="0.3">
      <c r="A319" s="9"/>
      <c r="B319" s="9"/>
      <c r="C319" s="9"/>
      <c r="D319" s="9"/>
      <c r="E319" s="9"/>
      <c r="F319" s="9"/>
      <c r="G319" s="9"/>
      <c r="H319" s="9"/>
    </row>
    <row r="320" spans="1:8" x14ac:dyDescent="0.3">
      <c r="A320" s="9"/>
      <c r="B320" s="9"/>
      <c r="C320" s="9"/>
      <c r="D320" s="9"/>
      <c r="E320" s="9"/>
      <c r="F320" s="9"/>
      <c r="G320" s="9"/>
      <c r="H320" s="9"/>
    </row>
    <row r="321" spans="1:8" x14ac:dyDescent="0.3">
      <c r="A321" s="9"/>
      <c r="B321" s="9"/>
      <c r="C321" s="9"/>
      <c r="D321" s="9"/>
      <c r="E321" s="9"/>
      <c r="F321" s="9"/>
      <c r="G321" s="9"/>
      <c r="H321" s="9"/>
    </row>
    <row r="322" spans="1:8" x14ac:dyDescent="0.3">
      <c r="A322" s="9"/>
      <c r="B322" s="9"/>
      <c r="C322" s="9"/>
      <c r="D322" s="9"/>
      <c r="E322" s="9"/>
      <c r="F322" s="9"/>
      <c r="G322" s="9"/>
      <c r="H322" s="9"/>
    </row>
    <row r="323" spans="1:8" x14ac:dyDescent="0.3">
      <c r="A323" s="9"/>
      <c r="B323" s="9"/>
      <c r="C323" s="9"/>
      <c r="D323" s="9"/>
      <c r="E323" s="9"/>
      <c r="F323" s="9"/>
      <c r="G323" s="9"/>
      <c r="H323" s="9"/>
    </row>
    <row r="324" spans="1:8" x14ac:dyDescent="0.3">
      <c r="A324" s="9"/>
      <c r="B324" s="9"/>
      <c r="C324" s="9"/>
      <c r="D324" s="9"/>
      <c r="E324" s="9"/>
      <c r="F324" s="9"/>
      <c r="G324" s="9"/>
      <c r="H324" s="9"/>
    </row>
    <row r="325" spans="1:8" x14ac:dyDescent="0.3">
      <c r="A325" s="9"/>
      <c r="B325" s="9"/>
      <c r="C325" s="9"/>
      <c r="D325" s="9"/>
      <c r="E325" s="9"/>
      <c r="F325" s="9"/>
      <c r="G325" s="9"/>
      <c r="H325" s="9"/>
    </row>
    <row r="326" spans="1:8" x14ac:dyDescent="0.3">
      <c r="A326" s="9"/>
      <c r="B326" s="9"/>
      <c r="C326" s="9"/>
      <c r="D326" s="9"/>
      <c r="E326" s="9"/>
      <c r="F326" s="9"/>
      <c r="G326" s="9"/>
      <c r="H326" s="9"/>
    </row>
    <row r="327" spans="1:8" x14ac:dyDescent="0.3">
      <c r="A327" s="9"/>
      <c r="B327" s="9"/>
      <c r="C327" s="9"/>
      <c r="D327" s="9"/>
      <c r="E327" s="9"/>
      <c r="F327" s="9"/>
      <c r="G327" s="9"/>
      <c r="H327" s="9"/>
    </row>
    <row r="328" spans="1:8" x14ac:dyDescent="0.3">
      <c r="A328" s="9"/>
      <c r="B328" s="9"/>
      <c r="C328" s="9"/>
      <c r="D328" s="9"/>
      <c r="E328" s="9"/>
      <c r="F328" s="9"/>
      <c r="G328" s="9"/>
      <c r="H328" s="9"/>
    </row>
    <row r="329" spans="1:8" x14ac:dyDescent="0.3">
      <c r="A329" s="9"/>
      <c r="B329" s="9"/>
      <c r="C329" s="9"/>
      <c r="D329" s="9"/>
      <c r="E329" s="9"/>
      <c r="F329" s="9"/>
      <c r="G329" s="9"/>
      <c r="H329" s="9"/>
    </row>
    <row r="330" spans="1:8" x14ac:dyDescent="0.3">
      <c r="A330" s="9"/>
      <c r="B330" s="9"/>
      <c r="C330" s="9"/>
      <c r="D330" s="9"/>
      <c r="E330" s="9"/>
      <c r="F330" s="9"/>
      <c r="G330" s="9"/>
      <c r="H330" s="9"/>
    </row>
    <row r="331" spans="1:8" x14ac:dyDescent="0.3">
      <c r="A331" s="9"/>
      <c r="B331" s="9"/>
      <c r="C331" s="9"/>
      <c r="D331" s="9"/>
      <c r="E331" s="9"/>
      <c r="F331" s="9"/>
      <c r="G331" s="9"/>
      <c r="H331" s="9"/>
    </row>
    <row r="332" spans="1:8" x14ac:dyDescent="0.3">
      <c r="A332" s="9"/>
      <c r="B332" s="9"/>
      <c r="C332" s="9"/>
      <c r="D332" s="9"/>
      <c r="E332" s="9"/>
      <c r="F332" s="9"/>
      <c r="G332" s="9"/>
      <c r="H332" s="9"/>
    </row>
    <row r="333" spans="1:8" x14ac:dyDescent="0.3">
      <c r="A333" s="9"/>
      <c r="B333" s="9"/>
      <c r="C333" s="9"/>
      <c r="D333" s="9"/>
      <c r="E333" s="9"/>
      <c r="F333" s="9"/>
      <c r="G333" s="9"/>
      <c r="H333" s="9"/>
    </row>
    <row r="334" spans="1:8" x14ac:dyDescent="0.3">
      <c r="A334" s="9"/>
      <c r="B334" s="9"/>
      <c r="C334" s="9"/>
      <c r="D334" s="9"/>
      <c r="E334" s="9"/>
      <c r="F334" s="9"/>
      <c r="G334" s="9"/>
      <c r="H334" s="9"/>
    </row>
    <row r="335" spans="1:8" x14ac:dyDescent="0.3">
      <c r="A335" s="9"/>
      <c r="B335" s="9"/>
      <c r="C335" s="9"/>
      <c r="D335" s="9"/>
      <c r="E335" s="9"/>
      <c r="F335" s="9"/>
      <c r="G335" s="9"/>
      <c r="H335" s="9"/>
    </row>
    <row r="336" spans="1:8" x14ac:dyDescent="0.3">
      <c r="A336" s="9"/>
      <c r="B336" s="9"/>
      <c r="C336" s="9"/>
      <c r="D336" s="9"/>
      <c r="E336" s="9"/>
      <c r="F336" s="9"/>
      <c r="G336" s="9"/>
      <c r="H336" s="9"/>
    </row>
    <row r="337" spans="1:8" x14ac:dyDescent="0.3">
      <c r="A337" s="9"/>
      <c r="B337" s="9"/>
      <c r="C337" s="9"/>
      <c r="D337" s="9"/>
      <c r="E337" s="9"/>
      <c r="F337" s="9"/>
      <c r="G337" s="9"/>
      <c r="H337" s="9"/>
    </row>
    <row r="338" spans="1:8" x14ac:dyDescent="0.3">
      <c r="A338" s="9"/>
      <c r="B338" s="9"/>
      <c r="C338" s="9"/>
      <c r="D338" s="9"/>
      <c r="E338" s="9"/>
      <c r="F338" s="9"/>
      <c r="G338" s="9"/>
      <c r="H338" s="9"/>
    </row>
    <row r="339" spans="1:8" x14ac:dyDescent="0.3">
      <c r="A339" s="9"/>
      <c r="B339" s="9"/>
      <c r="C339" s="9"/>
      <c r="D339" s="9"/>
      <c r="E339" s="9"/>
      <c r="F339" s="9"/>
      <c r="G339" s="9"/>
      <c r="H339" s="9"/>
    </row>
    <row r="340" spans="1:8" x14ac:dyDescent="0.3">
      <c r="A340" s="9"/>
      <c r="B340" s="9"/>
      <c r="C340" s="9"/>
      <c r="D340" s="9"/>
      <c r="E340" s="9"/>
      <c r="F340" s="9"/>
      <c r="G340" s="9"/>
      <c r="H340" s="9"/>
    </row>
    <row r="341" spans="1:8" x14ac:dyDescent="0.3">
      <c r="A341" s="9"/>
      <c r="B341" s="9"/>
      <c r="C341" s="9"/>
      <c r="D341" s="9"/>
      <c r="E341" s="9"/>
      <c r="F341" s="9"/>
      <c r="G341" s="9"/>
      <c r="H341" s="9"/>
    </row>
    <row r="342" spans="1:8" x14ac:dyDescent="0.3">
      <c r="A342" s="9"/>
      <c r="B342" s="9"/>
      <c r="C342" s="9"/>
      <c r="D342" s="9"/>
      <c r="E342" s="9"/>
      <c r="F342" s="9"/>
      <c r="G342" s="9"/>
      <c r="H342" s="9"/>
    </row>
    <row r="343" spans="1:8" x14ac:dyDescent="0.3">
      <c r="A343" s="9"/>
      <c r="B343" s="9"/>
      <c r="C343" s="9"/>
      <c r="D343" s="9"/>
      <c r="E343" s="9"/>
      <c r="F343" s="9"/>
      <c r="G343" s="9"/>
      <c r="H343" s="9"/>
    </row>
    <row r="344" spans="1:8" x14ac:dyDescent="0.3">
      <c r="A344" s="9"/>
      <c r="B344" s="9"/>
      <c r="C344" s="9"/>
      <c r="D344" s="9"/>
      <c r="E344" s="9"/>
      <c r="F344" s="9"/>
      <c r="G344" s="9"/>
      <c r="H344" s="9"/>
    </row>
    <row r="345" spans="1:8" x14ac:dyDescent="0.3">
      <c r="A345" s="9"/>
      <c r="B345" s="9"/>
      <c r="C345" s="9"/>
      <c r="D345" s="9"/>
      <c r="E345" s="9"/>
      <c r="F345" s="9"/>
      <c r="G345" s="9"/>
      <c r="H345" s="9"/>
    </row>
    <row r="346" spans="1:8" x14ac:dyDescent="0.3">
      <c r="A346" s="9"/>
      <c r="B346" s="9"/>
      <c r="C346" s="9"/>
      <c r="D346" s="9"/>
      <c r="E346" s="9"/>
      <c r="F346" s="9"/>
      <c r="G346" s="9"/>
      <c r="H346" s="9"/>
    </row>
    <row r="347" spans="1:8" x14ac:dyDescent="0.3">
      <c r="A347" s="9"/>
      <c r="B347" s="9"/>
      <c r="C347" s="9"/>
      <c r="D347" s="9"/>
      <c r="E347" s="9"/>
      <c r="F347" s="9"/>
      <c r="G347" s="9"/>
      <c r="H347" s="9"/>
    </row>
    <row r="348" spans="1:8" x14ac:dyDescent="0.3">
      <c r="A348" s="9"/>
      <c r="B348" s="9"/>
      <c r="C348" s="9"/>
      <c r="D348" s="9"/>
      <c r="E348" s="9"/>
      <c r="F348" s="9"/>
      <c r="G348" s="9"/>
      <c r="H348" s="9"/>
    </row>
    <row r="349" spans="1:8" x14ac:dyDescent="0.3">
      <c r="A349" s="9"/>
      <c r="B349" s="9"/>
      <c r="C349" s="9"/>
      <c r="D349" s="9"/>
      <c r="E349" s="9"/>
      <c r="F349" s="9"/>
      <c r="G349" s="9"/>
      <c r="H349" s="9"/>
    </row>
    <row r="350" spans="1:8" x14ac:dyDescent="0.3">
      <c r="A350" s="9"/>
      <c r="B350" s="9"/>
      <c r="C350" s="9"/>
      <c r="D350" s="9"/>
      <c r="E350" s="9"/>
      <c r="F350" s="9"/>
      <c r="G350" s="9"/>
      <c r="H350" s="9"/>
    </row>
    <row r="351" spans="1:8" x14ac:dyDescent="0.3">
      <c r="A351" s="9"/>
      <c r="B351" s="9"/>
      <c r="C351" s="9"/>
      <c r="D351" s="9"/>
      <c r="E351" s="9"/>
      <c r="F351" s="9"/>
      <c r="G351" s="9"/>
      <c r="H351" s="9"/>
    </row>
    <row r="352" spans="1:8" x14ac:dyDescent="0.3">
      <c r="A352" s="9"/>
      <c r="B352" s="9"/>
      <c r="C352" s="9"/>
      <c r="D352" s="9"/>
      <c r="E352" s="9"/>
      <c r="F352" s="9"/>
      <c r="G352" s="9"/>
      <c r="H352" s="9"/>
    </row>
    <row r="353" spans="1:8" x14ac:dyDescent="0.3">
      <c r="A353" s="9"/>
      <c r="B353" s="9"/>
      <c r="C353" s="9"/>
      <c r="D353" s="9"/>
      <c r="E353" s="9"/>
      <c r="F353" s="9"/>
      <c r="G353" s="9"/>
      <c r="H353" s="9"/>
    </row>
    <row r="354" spans="1:8" x14ac:dyDescent="0.3">
      <c r="A354" s="9"/>
      <c r="B354" s="9"/>
      <c r="C354" s="9"/>
      <c r="D354" s="9"/>
      <c r="E354" s="9"/>
      <c r="F354" s="9"/>
      <c r="G354" s="9"/>
      <c r="H354" s="9"/>
    </row>
    <row r="355" spans="1:8" x14ac:dyDescent="0.3">
      <c r="A355" s="9"/>
      <c r="B355" s="9"/>
      <c r="C355" s="9"/>
      <c r="D355" s="9"/>
      <c r="E355" s="9"/>
      <c r="F355" s="9"/>
      <c r="G355" s="9"/>
      <c r="H355" s="9"/>
    </row>
    <row r="356" spans="1:8" x14ac:dyDescent="0.3">
      <c r="A356" s="9"/>
      <c r="B356" s="9"/>
      <c r="C356" s="9"/>
      <c r="D356" s="9"/>
      <c r="E356" s="9"/>
      <c r="F356" s="9"/>
      <c r="G356" s="9"/>
      <c r="H356" s="9"/>
    </row>
    <row r="357" spans="1:8" x14ac:dyDescent="0.3">
      <c r="A357" s="9"/>
      <c r="B357" s="9"/>
      <c r="C357" s="9"/>
      <c r="D357" s="9"/>
      <c r="E357" s="9"/>
      <c r="F357" s="9"/>
      <c r="G357" s="9"/>
      <c r="H357" s="9"/>
    </row>
    <row r="358" spans="1:8" x14ac:dyDescent="0.3">
      <c r="A358" s="9"/>
      <c r="B358" s="9"/>
      <c r="C358" s="9"/>
      <c r="D358" s="9"/>
      <c r="E358" s="9"/>
      <c r="F358" s="9"/>
      <c r="G358" s="9"/>
      <c r="H358" s="9"/>
    </row>
    <row r="359" spans="1:8" x14ac:dyDescent="0.3">
      <c r="A359" s="9"/>
      <c r="B359" s="9"/>
      <c r="C359" s="9"/>
      <c r="D359" s="9"/>
      <c r="E359" s="9"/>
      <c r="F359" s="9"/>
      <c r="G359" s="9"/>
      <c r="H359" s="9"/>
    </row>
    <row r="360" spans="1:8" x14ac:dyDescent="0.3">
      <c r="A360" s="9"/>
      <c r="B360" s="9"/>
      <c r="C360" s="9"/>
      <c r="D360" s="9"/>
      <c r="E360" s="9"/>
      <c r="F360" s="9"/>
      <c r="G360" s="9"/>
      <c r="H360" s="9"/>
    </row>
    <row r="361" spans="1:8" x14ac:dyDescent="0.3">
      <c r="A361" s="9"/>
      <c r="B361" s="9"/>
      <c r="C361" s="9"/>
      <c r="D361" s="9"/>
      <c r="E361" s="9"/>
      <c r="F361" s="9"/>
      <c r="G361" s="9"/>
      <c r="H361" s="9"/>
    </row>
    <row r="362" spans="1:8" x14ac:dyDescent="0.3">
      <c r="A362" s="9"/>
      <c r="B362" s="9"/>
      <c r="C362" s="9"/>
      <c r="D362" s="9"/>
      <c r="E362" s="9"/>
      <c r="F362" s="9"/>
      <c r="G362" s="9"/>
      <c r="H362" s="9"/>
    </row>
    <row r="363" spans="1:8" x14ac:dyDescent="0.3">
      <c r="A363" s="9"/>
      <c r="B363" s="9"/>
      <c r="C363" s="9"/>
      <c r="D363" s="9"/>
      <c r="E363" s="9"/>
      <c r="F363" s="9"/>
      <c r="G363" s="9"/>
      <c r="H363" s="9"/>
    </row>
    <row r="364" spans="1:8" x14ac:dyDescent="0.3">
      <c r="A364" s="9"/>
      <c r="B364" s="9"/>
      <c r="C364" s="9"/>
      <c r="D364" s="9"/>
      <c r="E364" s="9"/>
      <c r="F364" s="9"/>
      <c r="G364" s="9"/>
      <c r="H364" s="9"/>
    </row>
    <row r="365" spans="1:8" x14ac:dyDescent="0.3">
      <c r="A365" s="9"/>
      <c r="B365" s="9"/>
      <c r="C365" s="9"/>
      <c r="D365" s="9"/>
      <c r="E365" s="9"/>
      <c r="F365" s="9"/>
      <c r="G365" s="9"/>
      <c r="H365" s="9"/>
    </row>
    <row r="366" spans="1:8" x14ac:dyDescent="0.3">
      <c r="A366" s="9"/>
      <c r="B366" s="9"/>
      <c r="C366" s="9"/>
      <c r="D366" s="9"/>
      <c r="E366" s="9"/>
      <c r="F366" s="9"/>
      <c r="G366" s="9"/>
      <c r="H366" s="9"/>
    </row>
    <row r="367" spans="1:8" x14ac:dyDescent="0.3">
      <c r="A367" s="9"/>
      <c r="B367" s="9"/>
      <c r="C367" s="9"/>
      <c r="D367" s="9"/>
      <c r="E367" s="9"/>
      <c r="F367" s="9"/>
      <c r="G367" s="9"/>
      <c r="H367" s="9"/>
    </row>
    <row r="368" spans="1:8" x14ac:dyDescent="0.3">
      <c r="A368" s="9"/>
      <c r="B368" s="9"/>
      <c r="C368" s="9"/>
      <c r="D368" s="9"/>
      <c r="E368" s="9"/>
      <c r="F368" s="9"/>
      <c r="G368" s="9"/>
      <c r="H368" s="9"/>
    </row>
    <row r="369" spans="1:8" x14ac:dyDescent="0.3">
      <c r="A369" s="9"/>
      <c r="B369" s="9"/>
      <c r="C369" s="9"/>
      <c r="D369" s="9"/>
      <c r="E369" s="9"/>
      <c r="F369" s="9"/>
      <c r="G369" s="9"/>
      <c r="H369" s="9"/>
    </row>
    <row r="370" spans="1:8" x14ac:dyDescent="0.3">
      <c r="A370" s="9"/>
      <c r="B370" s="9"/>
      <c r="C370" s="9"/>
      <c r="D370" s="9"/>
      <c r="E370" s="9"/>
      <c r="F370" s="9"/>
      <c r="G370" s="9"/>
      <c r="H370" s="9"/>
    </row>
    <row r="371" spans="1:8" x14ac:dyDescent="0.3">
      <c r="A371" s="9"/>
      <c r="B371" s="9"/>
      <c r="C371" s="9"/>
      <c r="D371" s="9"/>
      <c r="E371" s="9"/>
      <c r="F371" s="9"/>
      <c r="G371" s="9"/>
      <c r="H371" s="9"/>
    </row>
    <row r="372" spans="1:8" x14ac:dyDescent="0.3">
      <c r="A372" s="9"/>
      <c r="B372" s="9"/>
      <c r="C372" s="9"/>
      <c r="D372" s="9"/>
      <c r="E372" s="9"/>
      <c r="F372" s="9"/>
      <c r="G372" s="9"/>
      <c r="H372" s="9"/>
    </row>
    <row r="373" spans="1:8" x14ac:dyDescent="0.3">
      <c r="A373" s="9"/>
      <c r="B373" s="9"/>
      <c r="C373" s="9"/>
      <c r="D373" s="9"/>
      <c r="E373" s="9"/>
      <c r="F373" s="9"/>
      <c r="G373" s="9"/>
      <c r="H373" s="9"/>
    </row>
    <row r="374" spans="1:8" x14ac:dyDescent="0.3">
      <c r="A374" s="9"/>
      <c r="B374" s="9"/>
      <c r="C374" s="9"/>
      <c r="D374" s="9"/>
      <c r="E374" s="9"/>
      <c r="F374" s="9"/>
      <c r="G374" s="9"/>
      <c r="H374" s="9"/>
    </row>
    <row r="375" spans="1:8" x14ac:dyDescent="0.3">
      <c r="A375" s="9"/>
      <c r="B375" s="9"/>
      <c r="C375" s="9"/>
      <c r="D375" s="9"/>
      <c r="E375" s="9"/>
      <c r="F375" s="9"/>
      <c r="G375" s="9"/>
      <c r="H375" s="9"/>
    </row>
    <row r="376" spans="1:8" x14ac:dyDescent="0.3">
      <c r="A376" s="9"/>
      <c r="B376" s="9"/>
      <c r="C376" s="9"/>
      <c r="D376" s="9"/>
      <c r="E376" s="9"/>
      <c r="F376" s="9"/>
      <c r="G376" s="9"/>
      <c r="H376" s="9"/>
    </row>
    <row r="377" spans="1:8" x14ac:dyDescent="0.3">
      <c r="A377" s="9"/>
      <c r="B377" s="9"/>
      <c r="C377" s="9"/>
      <c r="D377" s="9"/>
      <c r="E377" s="9"/>
      <c r="F377" s="9"/>
      <c r="G377" s="9"/>
      <c r="H377" s="9"/>
    </row>
    <row r="378" spans="1:8" x14ac:dyDescent="0.3">
      <c r="A378" s="9"/>
      <c r="B378" s="9"/>
      <c r="C378" s="9"/>
      <c r="D378" s="9"/>
      <c r="E378" s="9"/>
      <c r="F378" s="9"/>
      <c r="G378" s="9"/>
      <c r="H378" s="9"/>
    </row>
    <row r="379" spans="1:8" x14ac:dyDescent="0.3">
      <c r="A379" s="9"/>
      <c r="B379" s="9"/>
      <c r="C379" s="9"/>
      <c r="D379" s="9"/>
      <c r="E379" s="9"/>
      <c r="F379" s="9"/>
      <c r="G379" s="9"/>
      <c r="H379" s="9"/>
    </row>
    <row r="380" spans="1:8" x14ac:dyDescent="0.3">
      <c r="A380" s="9"/>
      <c r="B380" s="9"/>
      <c r="C380" s="9"/>
      <c r="D380" s="9"/>
      <c r="E380" s="9"/>
      <c r="F380" s="9"/>
      <c r="G380" s="9"/>
      <c r="H380" s="9"/>
    </row>
    <row r="381" spans="1:8" x14ac:dyDescent="0.3">
      <c r="A381" s="9"/>
      <c r="B381" s="9"/>
      <c r="C381" s="9"/>
      <c r="D381" s="9"/>
      <c r="E381" s="9"/>
      <c r="F381" s="9"/>
      <c r="G381" s="9"/>
      <c r="H381" s="9"/>
    </row>
    <row r="382" spans="1:8" x14ac:dyDescent="0.3">
      <c r="A382" s="9"/>
      <c r="B382" s="9"/>
      <c r="C382" s="9"/>
      <c r="D382" s="9"/>
      <c r="E382" s="9"/>
      <c r="F382" s="9"/>
      <c r="G382" s="9"/>
      <c r="H382" s="9"/>
    </row>
    <row r="383" spans="1:8" x14ac:dyDescent="0.3">
      <c r="A383" s="9"/>
      <c r="B383" s="9"/>
      <c r="C383" s="9"/>
      <c r="D383" s="9"/>
      <c r="E383" s="9"/>
      <c r="F383" s="9"/>
      <c r="G383" s="9"/>
      <c r="H383" s="9"/>
    </row>
    <row r="384" spans="1:8" x14ac:dyDescent="0.3">
      <c r="A384" s="9"/>
      <c r="B384" s="9"/>
      <c r="C384" s="9"/>
      <c r="D384" s="9"/>
      <c r="E384" s="9"/>
      <c r="F384" s="9"/>
      <c r="G384" s="9"/>
      <c r="H384" s="9"/>
    </row>
    <row r="385" spans="1:8" x14ac:dyDescent="0.3">
      <c r="A385" s="9"/>
      <c r="B385" s="9"/>
      <c r="C385" s="9"/>
      <c r="D385" s="9"/>
      <c r="E385" s="9"/>
      <c r="F385" s="9"/>
      <c r="G385" s="9"/>
      <c r="H385" s="9"/>
    </row>
    <row r="386" spans="1:8" x14ac:dyDescent="0.3">
      <c r="A386" s="9"/>
      <c r="B386" s="9"/>
      <c r="C386" s="9"/>
      <c r="D386" s="9"/>
      <c r="E386" s="9"/>
      <c r="F386" s="9"/>
      <c r="G386" s="9"/>
      <c r="H386" s="9"/>
    </row>
    <row r="387" spans="1:8" x14ac:dyDescent="0.3">
      <c r="A387" s="9"/>
      <c r="B387" s="9"/>
      <c r="C387" s="9"/>
      <c r="D387" s="9"/>
      <c r="E387" s="9"/>
      <c r="F387" s="9"/>
      <c r="G387" s="9"/>
      <c r="H387" s="9"/>
    </row>
    <row r="388" spans="1:8" x14ac:dyDescent="0.3">
      <c r="A388" s="9"/>
      <c r="B388" s="9"/>
      <c r="C388" s="9"/>
      <c r="D388" s="9"/>
      <c r="E388" s="9"/>
      <c r="F388" s="9"/>
      <c r="G388" s="9"/>
      <c r="H388" s="9"/>
    </row>
    <row r="389" spans="1:8" x14ac:dyDescent="0.3">
      <c r="A389" s="9"/>
      <c r="B389" s="9"/>
      <c r="C389" s="9"/>
      <c r="D389" s="9"/>
      <c r="E389" s="9"/>
      <c r="F389" s="9"/>
      <c r="G389" s="9"/>
      <c r="H389" s="9"/>
    </row>
    <row r="390" spans="1:8" x14ac:dyDescent="0.3">
      <c r="A390" s="9"/>
      <c r="B390" s="9"/>
      <c r="C390" s="9"/>
      <c r="D390" s="9"/>
      <c r="E390" s="9"/>
      <c r="F390" s="9"/>
      <c r="G390" s="9"/>
      <c r="H390" s="9"/>
    </row>
    <row r="391" spans="1:8" x14ac:dyDescent="0.3">
      <c r="A391" s="9"/>
      <c r="B391" s="9"/>
      <c r="C391" s="9"/>
      <c r="D391" s="9"/>
      <c r="E391" s="9"/>
      <c r="F391" s="9"/>
      <c r="G391" s="9"/>
      <c r="H391" s="9"/>
    </row>
    <row r="392" spans="1:8" x14ac:dyDescent="0.3">
      <c r="A392" s="9"/>
      <c r="B392" s="9"/>
      <c r="C392" s="9"/>
      <c r="D392" s="9"/>
      <c r="E392" s="9"/>
      <c r="F392" s="9"/>
      <c r="G392" s="9"/>
      <c r="H392" s="9"/>
    </row>
    <row r="393" spans="1:8" x14ac:dyDescent="0.3">
      <c r="A393" s="9"/>
      <c r="B393" s="9"/>
      <c r="C393" s="9"/>
      <c r="D393" s="9"/>
      <c r="E393" s="9"/>
      <c r="F393" s="9"/>
      <c r="G393" s="9"/>
      <c r="H393" s="9"/>
    </row>
    <row r="394" spans="1:8" x14ac:dyDescent="0.3">
      <c r="A394" s="9"/>
      <c r="B394" s="9"/>
      <c r="C394" s="9"/>
      <c r="D394" s="9"/>
      <c r="E394" s="9"/>
      <c r="F394" s="9"/>
      <c r="G394" s="9"/>
      <c r="H394" s="9"/>
    </row>
    <row r="395" spans="1:8" x14ac:dyDescent="0.3">
      <c r="A395" s="9"/>
      <c r="B395" s="9"/>
      <c r="C395" s="9"/>
      <c r="D395" s="9"/>
      <c r="E395" s="9"/>
      <c r="F395" s="9"/>
      <c r="G395" s="9"/>
      <c r="H395" s="9"/>
    </row>
    <row r="396" spans="1:8" x14ac:dyDescent="0.3">
      <c r="A396" s="9"/>
      <c r="B396" s="9"/>
      <c r="C396" s="9"/>
      <c r="D396" s="9"/>
      <c r="E396" s="9"/>
      <c r="F396" s="9"/>
      <c r="G396" s="9"/>
      <c r="H396" s="9"/>
    </row>
    <row r="397" spans="1:8" x14ac:dyDescent="0.3">
      <c r="A397" s="9"/>
      <c r="B397" s="9"/>
      <c r="C397" s="9"/>
      <c r="D397" s="9"/>
      <c r="E397" s="9"/>
      <c r="F397" s="9"/>
      <c r="G397" s="9"/>
      <c r="H397" s="9"/>
    </row>
    <row r="398" spans="1:8" x14ac:dyDescent="0.3">
      <c r="A398" s="9"/>
      <c r="B398" s="9"/>
      <c r="C398" s="9"/>
      <c r="D398" s="9"/>
      <c r="E398" s="9"/>
      <c r="F398" s="9"/>
      <c r="G398" s="9"/>
      <c r="H398" s="9"/>
    </row>
    <row r="399" spans="1:8" x14ac:dyDescent="0.3">
      <c r="A399" s="9"/>
      <c r="B399" s="9"/>
      <c r="C399" s="9"/>
      <c r="D399" s="9"/>
      <c r="E399" s="9"/>
      <c r="F399" s="9"/>
      <c r="G399" s="9"/>
      <c r="H399" s="9"/>
    </row>
    <row r="400" spans="1:8" x14ac:dyDescent="0.3">
      <c r="A400" s="9"/>
      <c r="B400" s="9"/>
      <c r="C400" s="9"/>
      <c r="D400" s="9"/>
      <c r="E400" s="9"/>
      <c r="F400" s="9"/>
      <c r="G400" s="9"/>
      <c r="H400" s="9"/>
    </row>
    <row r="401" spans="1:8" x14ac:dyDescent="0.3">
      <c r="A401" s="9"/>
      <c r="B401" s="9"/>
      <c r="C401" s="9"/>
      <c r="D401" s="9"/>
      <c r="E401" s="9"/>
      <c r="F401" s="9"/>
      <c r="G401" s="9"/>
      <c r="H401" s="9"/>
    </row>
    <row r="402" spans="1:8" x14ac:dyDescent="0.3">
      <c r="A402" s="9"/>
      <c r="B402" s="9"/>
      <c r="C402" s="9"/>
      <c r="D402" s="9"/>
      <c r="E402" s="9"/>
      <c r="F402" s="9"/>
      <c r="G402" s="9"/>
      <c r="H402" s="9"/>
    </row>
    <row r="403" spans="1:8" x14ac:dyDescent="0.3">
      <c r="A403" s="9"/>
      <c r="B403" s="9"/>
      <c r="C403" s="9"/>
      <c r="D403" s="9"/>
      <c r="E403" s="9"/>
      <c r="F403" s="9"/>
      <c r="G403" s="9"/>
      <c r="H403" s="9"/>
    </row>
    <row r="404" spans="1:8" x14ac:dyDescent="0.3">
      <c r="A404" s="9"/>
      <c r="B404" s="9"/>
      <c r="C404" s="9"/>
      <c r="D404" s="9"/>
      <c r="E404" s="9"/>
      <c r="F404" s="9"/>
      <c r="G404" s="9"/>
      <c r="H404" s="9"/>
    </row>
    <row r="405" spans="1:8" x14ac:dyDescent="0.3">
      <c r="A405" s="9"/>
      <c r="B405" s="9"/>
      <c r="C405" s="9"/>
      <c r="D405" s="9"/>
      <c r="E405" s="9"/>
      <c r="F405" s="9"/>
      <c r="G405" s="9"/>
      <c r="H405" s="9"/>
    </row>
    <row r="406" spans="1:8" x14ac:dyDescent="0.3">
      <c r="A406" s="9"/>
      <c r="B406" s="9"/>
      <c r="C406" s="9"/>
      <c r="D406" s="9"/>
      <c r="E406" s="9"/>
      <c r="F406" s="9"/>
      <c r="G406" s="9"/>
      <c r="H406" s="9"/>
    </row>
    <row r="407" spans="1:8" x14ac:dyDescent="0.3">
      <c r="A407" s="9"/>
      <c r="B407" s="9"/>
      <c r="C407" s="9"/>
      <c r="D407" s="9"/>
      <c r="E407" s="9"/>
      <c r="F407" s="9"/>
      <c r="G407" s="9"/>
      <c r="H407" s="9"/>
    </row>
    <row r="408" spans="1:8" x14ac:dyDescent="0.3">
      <c r="A408" s="9"/>
      <c r="B408" s="9"/>
      <c r="C408" s="9"/>
      <c r="D408" s="9"/>
      <c r="E408" s="9"/>
      <c r="F408" s="9"/>
      <c r="G408" s="9"/>
      <c r="H408" s="9"/>
    </row>
    <row r="409" spans="1:8" x14ac:dyDescent="0.3">
      <c r="A409" s="9"/>
      <c r="B409" s="9"/>
      <c r="C409" s="9"/>
      <c r="D409" s="9"/>
      <c r="E409" s="9"/>
      <c r="F409" s="9"/>
      <c r="G409" s="9"/>
      <c r="H409" s="9"/>
    </row>
    <row r="410" spans="1:8" x14ac:dyDescent="0.3">
      <c r="A410" s="9"/>
      <c r="B410" s="9"/>
      <c r="C410" s="9"/>
      <c r="D410" s="9"/>
      <c r="E410" s="9"/>
      <c r="F410" s="9"/>
      <c r="G410" s="9"/>
      <c r="H410" s="9"/>
    </row>
    <row r="411" spans="1:8" x14ac:dyDescent="0.3">
      <c r="A411" s="9"/>
      <c r="B411" s="9"/>
      <c r="C411" s="9"/>
      <c r="D411" s="9"/>
      <c r="E411" s="9"/>
      <c r="F411" s="9"/>
      <c r="G411" s="9"/>
      <c r="H411" s="9"/>
    </row>
    <row r="412" spans="1:8" x14ac:dyDescent="0.3">
      <c r="A412" s="9"/>
      <c r="B412" s="9"/>
      <c r="C412" s="9"/>
      <c r="D412" s="9"/>
      <c r="E412" s="9"/>
      <c r="F412" s="9"/>
      <c r="G412" s="9"/>
      <c r="H412" s="9"/>
    </row>
  </sheetData>
  <mergeCells count="8">
    <mergeCell ref="A1:H1"/>
    <mergeCell ref="A3:B3"/>
    <mergeCell ref="C3:C4"/>
    <mergeCell ref="D3:D4"/>
    <mergeCell ref="E3:E4"/>
    <mergeCell ref="F3:F4"/>
    <mergeCell ref="G3:G4"/>
    <mergeCell ref="H3:H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7EDAB-6ED6-414F-8430-43F1D436F124}">
  <dimension ref="A1:K565"/>
  <sheetViews>
    <sheetView topLeftCell="D1" zoomScale="51" zoomScaleNormal="51" workbookViewId="0">
      <pane ySplit="4" topLeftCell="A503" activePane="bottomLeft" state="frozen"/>
      <selection activeCell="E1" sqref="E1"/>
      <selection pane="bottomLeft" activeCell="H524" sqref="H524"/>
    </sheetView>
  </sheetViews>
  <sheetFormatPr defaultRowHeight="20.25" x14ac:dyDescent="0.3"/>
  <cols>
    <col min="1" max="2" width="20.7109375" style="1" customWidth="1"/>
    <col min="3" max="3" width="15.7109375" style="1" customWidth="1"/>
    <col min="4" max="4" width="30.7109375" style="1" customWidth="1"/>
    <col min="5" max="5" width="80.7109375" style="1" customWidth="1"/>
    <col min="6" max="6" width="188" style="1" customWidth="1"/>
    <col min="7" max="7" width="65" style="1" customWidth="1"/>
    <col min="8" max="8" width="109.5703125" style="1" customWidth="1"/>
    <col min="9" max="9" width="45.7109375" style="1" customWidth="1"/>
    <col min="10" max="10" width="29.42578125" style="1" customWidth="1"/>
    <col min="11" max="16384" width="9.140625" style="1"/>
  </cols>
  <sheetData>
    <row r="1" spans="1:10" ht="30" x14ac:dyDescent="0.4">
      <c r="A1" s="109" t="s">
        <v>2739</v>
      </c>
      <c r="B1" s="109"/>
      <c r="C1" s="109"/>
      <c r="D1" s="109"/>
      <c r="E1" s="109"/>
      <c r="F1" s="109"/>
      <c r="G1" s="109"/>
      <c r="H1" s="109"/>
      <c r="I1" s="109"/>
    </row>
    <row r="3" spans="1:10" x14ac:dyDescent="0.3">
      <c r="A3" s="110" t="s">
        <v>1</v>
      </c>
      <c r="B3" s="110"/>
      <c r="C3" s="110" t="s">
        <v>4</v>
      </c>
      <c r="D3" s="114" t="s">
        <v>123</v>
      </c>
      <c r="E3" s="110" t="s">
        <v>125</v>
      </c>
      <c r="F3" s="110" t="s">
        <v>122</v>
      </c>
      <c r="G3" s="110" t="s">
        <v>131</v>
      </c>
      <c r="H3" s="110" t="s">
        <v>129</v>
      </c>
      <c r="I3" s="117" t="s">
        <v>11</v>
      </c>
      <c r="J3" s="110" t="s">
        <v>706</v>
      </c>
    </row>
    <row r="4" spans="1:10" x14ac:dyDescent="0.3">
      <c r="A4" s="4" t="s">
        <v>2</v>
      </c>
      <c r="B4" s="4" t="s">
        <v>3</v>
      </c>
      <c r="C4" s="110"/>
      <c r="D4" s="115"/>
      <c r="E4" s="110"/>
      <c r="F4" s="110"/>
      <c r="G4" s="110"/>
      <c r="H4" s="110"/>
      <c r="I4" s="117"/>
      <c r="J4" s="110"/>
    </row>
    <row r="5" spans="1:10" ht="30" customHeight="1" x14ac:dyDescent="0.3">
      <c r="A5" s="7" t="s">
        <v>97</v>
      </c>
      <c r="B5" s="8"/>
      <c r="C5" s="8"/>
      <c r="D5" s="28" t="s">
        <v>124</v>
      </c>
      <c r="E5" s="6" t="s">
        <v>126</v>
      </c>
      <c r="F5" s="7" t="s">
        <v>127</v>
      </c>
      <c r="G5" s="23" t="s">
        <v>128</v>
      </c>
      <c r="H5" s="23" t="s">
        <v>130</v>
      </c>
      <c r="I5" s="55"/>
      <c r="J5" s="9"/>
    </row>
    <row r="6" spans="1:10" ht="30" customHeight="1" x14ac:dyDescent="0.3">
      <c r="A6" s="7"/>
      <c r="B6" s="8"/>
      <c r="C6" s="8"/>
      <c r="D6" s="28" t="s">
        <v>132</v>
      </c>
      <c r="E6" s="6" t="s">
        <v>133</v>
      </c>
      <c r="F6" s="7" t="s">
        <v>134</v>
      </c>
      <c r="G6" s="29" t="s">
        <v>135</v>
      </c>
      <c r="H6" s="23" t="s">
        <v>136</v>
      </c>
      <c r="I6" s="55"/>
      <c r="J6" s="9"/>
    </row>
    <row r="7" spans="1:10" ht="30" customHeight="1" x14ac:dyDescent="0.3">
      <c r="A7" s="8"/>
      <c r="B7" s="8"/>
      <c r="C7" s="8"/>
      <c r="D7" s="27"/>
      <c r="E7" s="6"/>
      <c r="F7" s="7"/>
      <c r="G7" s="23"/>
      <c r="H7" s="23"/>
      <c r="I7" s="55"/>
      <c r="J7" s="9"/>
    </row>
    <row r="8" spans="1:10" ht="30" customHeight="1" x14ac:dyDescent="0.3">
      <c r="A8" s="8" t="s">
        <v>145</v>
      </c>
      <c r="B8" s="8"/>
      <c r="C8" s="8"/>
      <c r="D8" s="27" t="s">
        <v>244</v>
      </c>
      <c r="E8" s="6" t="s">
        <v>245</v>
      </c>
      <c r="F8" s="7" t="s">
        <v>246</v>
      </c>
      <c r="G8" s="23" t="s">
        <v>247</v>
      </c>
      <c r="H8" s="8" t="s">
        <v>248</v>
      </c>
      <c r="I8" s="55"/>
      <c r="J8" s="9"/>
    </row>
    <row r="9" spans="1:10" ht="30" customHeight="1" x14ac:dyDescent="0.3">
      <c r="A9" s="7"/>
      <c r="B9" s="8"/>
      <c r="C9" s="8"/>
      <c r="D9" s="27" t="s">
        <v>249</v>
      </c>
      <c r="E9" s="6" t="s">
        <v>250</v>
      </c>
      <c r="F9" s="6" t="s">
        <v>251</v>
      </c>
      <c r="G9" s="23" t="s">
        <v>135</v>
      </c>
      <c r="H9" s="23" t="s">
        <v>252</v>
      </c>
      <c r="I9" s="55"/>
      <c r="J9" s="9"/>
    </row>
    <row r="10" spans="1:10" s="26" customFormat="1" ht="30" customHeight="1" x14ac:dyDescent="0.3">
      <c r="A10" s="14"/>
      <c r="B10" s="15"/>
      <c r="C10" s="8"/>
      <c r="D10" s="27" t="s">
        <v>253</v>
      </c>
      <c r="E10" s="16" t="s">
        <v>254</v>
      </c>
      <c r="F10" s="34" t="s">
        <v>255</v>
      </c>
      <c r="G10" s="24" t="s">
        <v>145</v>
      </c>
      <c r="H10" s="24" t="s">
        <v>256</v>
      </c>
      <c r="I10" s="56"/>
      <c r="J10" s="20"/>
    </row>
    <row r="11" spans="1:10" ht="30" customHeight="1" x14ac:dyDescent="0.3">
      <c r="A11" s="8"/>
      <c r="B11" s="8"/>
      <c r="C11" s="8"/>
      <c r="D11" s="27" t="s">
        <v>264</v>
      </c>
      <c r="E11" s="6" t="s">
        <v>261</v>
      </c>
      <c r="F11" s="7" t="s">
        <v>262</v>
      </c>
      <c r="G11" s="23" t="s">
        <v>263</v>
      </c>
      <c r="H11" s="23"/>
      <c r="I11" s="55"/>
      <c r="J11" s="9"/>
    </row>
    <row r="12" spans="1:10" ht="30" customHeight="1" x14ac:dyDescent="0.3">
      <c r="A12" s="8"/>
      <c r="B12" s="8"/>
      <c r="C12" s="8"/>
      <c r="D12" s="28" t="s">
        <v>271</v>
      </c>
      <c r="E12" s="6" t="s">
        <v>272</v>
      </c>
      <c r="F12" s="32" t="s">
        <v>273</v>
      </c>
      <c r="G12" s="23"/>
      <c r="H12" s="23"/>
      <c r="I12" s="55"/>
      <c r="J12" s="9"/>
    </row>
    <row r="13" spans="1:10" ht="30" customHeight="1" x14ac:dyDescent="0.3">
      <c r="A13" s="8"/>
      <c r="B13" s="8"/>
      <c r="C13" s="8"/>
      <c r="D13" s="27"/>
      <c r="E13" s="6"/>
      <c r="F13" s="7"/>
      <c r="G13" s="23"/>
      <c r="H13" s="23"/>
      <c r="I13" s="55"/>
      <c r="J13" s="9"/>
    </row>
    <row r="14" spans="1:10" ht="30" customHeight="1" x14ac:dyDescent="0.3">
      <c r="A14" s="8" t="s">
        <v>263</v>
      </c>
      <c r="B14" s="8"/>
      <c r="C14" s="8"/>
      <c r="D14" s="27" t="s">
        <v>318</v>
      </c>
      <c r="E14" s="6" t="s">
        <v>319</v>
      </c>
      <c r="F14" s="7" t="s">
        <v>320</v>
      </c>
      <c r="G14" s="23"/>
      <c r="H14" s="23"/>
      <c r="I14" s="55"/>
      <c r="J14" s="9"/>
    </row>
    <row r="15" spans="1:10" ht="30" customHeight="1" x14ac:dyDescent="0.3">
      <c r="A15" s="8"/>
      <c r="B15" s="8"/>
      <c r="C15" s="8"/>
      <c r="D15" s="27" t="s">
        <v>321</v>
      </c>
      <c r="E15" s="6" t="s">
        <v>322</v>
      </c>
      <c r="F15" s="7" t="s">
        <v>323</v>
      </c>
      <c r="G15" s="23"/>
      <c r="H15" s="23"/>
      <c r="I15" s="55"/>
      <c r="J15" s="9"/>
    </row>
    <row r="16" spans="1:10" ht="30" customHeight="1" x14ac:dyDescent="0.3">
      <c r="A16" s="8"/>
      <c r="B16" s="8"/>
      <c r="C16" s="8"/>
      <c r="D16" s="27"/>
      <c r="E16" s="6"/>
      <c r="F16" s="7" t="s">
        <v>363</v>
      </c>
      <c r="G16" s="23" t="s">
        <v>364</v>
      </c>
      <c r="H16" s="23" t="s">
        <v>365</v>
      </c>
      <c r="I16" s="55"/>
      <c r="J16" s="9"/>
    </row>
    <row r="17" spans="1:10" ht="30" customHeight="1" x14ac:dyDescent="0.3">
      <c r="A17" s="8"/>
      <c r="B17" s="8"/>
      <c r="C17" s="8"/>
      <c r="D17" s="27" t="s">
        <v>366</v>
      </c>
      <c r="E17" s="6" t="s">
        <v>367</v>
      </c>
      <c r="F17" s="32" t="s">
        <v>368</v>
      </c>
      <c r="G17" s="23"/>
      <c r="H17" s="23"/>
      <c r="I17" s="55"/>
      <c r="J17" s="9"/>
    </row>
    <row r="18" spans="1:10" ht="30" customHeight="1" x14ac:dyDescent="0.3">
      <c r="A18" s="8"/>
      <c r="B18" s="8"/>
      <c r="C18" s="8"/>
      <c r="D18" s="27"/>
      <c r="E18" s="6"/>
      <c r="F18" s="7" t="s">
        <v>369</v>
      </c>
      <c r="G18" s="23"/>
      <c r="H18" s="23"/>
      <c r="I18" s="55"/>
      <c r="J18" s="9"/>
    </row>
    <row r="19" spans="1:10" ht="30" customHeight="1" x14ac:dyDescent="0.3">
      <c r="A19" s="8"/>
      <c r="B19" s="8"/>
      <c r="C19" s="8"/>
      <c r="D19" s="27" t="s">
        <v>372</v>
      </c>
      <c r="E19" s="6" t="s">
        <v>254</v>
      </c>
      <c r="F19" s="7" t="s">
        <v>370</v>
      </c>
      <c r="G19" s="23" t="s">
        <v>371</v>
      </c>
      <c r="H19" s="23" t="s">
        <v>373</v>
      </c>
      <c r="I19" s="55"/>
      <c r="J19" s="9"/>
    </row>
    <row r="20" spans="1:10" ht="30" customHeight="1" x14ac:dyDescent="0.3">
      <c r="A20" s="8"/>
      <c r="B20" s="8"/>
      <c r="C20" s="8"/>
      <c r="D20" s="27" t="s">
        <v>374</v>
      </c>
      <c r="E20" s="6" t="s">
        <v>375</v>
      </c>
      <c r="F20" s="7" t="s">
        <v>376</v>
      </c>
      <c r="G20" s="23" t="s">
        <v>377</v>
      </c>
      <c r="H20" s="23" t="s">
        <v>378</v>
      </c>
      <c r="I20" s="55"/>
      <c r="J20" s="9"/>
    </row>
    <row r="21" spans="1:10" ht="30" customHeight="1" x14ac:dyDescent="0.3">
      <c r="A21" s="8"/>
      <c r="B21" s="8"/>
      <c r="C21" s="8"/>
      <c r="D21" s="27" t="s">
        <v>379</v>
      </c>
      <c r="E21" s="6" t="s">
        <v>375</v>
      </c>
      <c r="F21" s="7" t="s">
        <v>380</v>
      </c>
      <c r="G21" s="23"/>
      <c r="H21" s="23"/>
      <c r="I21" s="55"/>
      <c r="J21" s="9"/>
    </row>
    <row r="22" spans="1:10" ht="30" customHeight="1" x14ac:dyDescent="0.3">
      <c r="A22" s="8"/>
      <c r="B22" s="8"/>
      <c r="C22" s="8"/>
      <c r="D22" s="27"/>
      <c r="E22" s="6"/>
      <c r="F22" s="7"/>
      <c r="G22" s="23"/>
      <c r="H22" s="23"/>
      <c r="I22" s="55"/>
      <c r="J22" s="9"/>
    </row>
    <row r="23" spans="1:10" ht="30" customHeight="1" x14ac:dyDescent="0.3">
      <c r="A23" s="8" t="s">
        <v>457</v>
      </c>
      <c r="B23" s="8"/>
      <c r="C23" s="8"/>
      <c r="D23" s="27" t="s">
        <v>472</v>
      </c>
      <c r="E23" s="6" t="s">
        <v>261</v>
      </c>
      <c r="F23" s="32" t="s">
        <v>473</v>
      </c>
      <c r="G23" s="23"/>
      <c r="H23" s="23"/>
      <c r="I23" s="55"/>
      <c r="J23" s="9"/>
    </row>
    <row r="24" spans="1:10" ht="30" customHeight="1" x14ac:dyDescent="0.3">
      <c r="A24" s="8"/>
      <c r="B24" s="8"/>
      <c r="C24" s="8"/>
      <c r="D24" s="27" t="s">
        <v>482</v>
      </c>
      <c r="E24" s="6" t="s">
        <v>483</v>
      </c>
      <c r="F24" s="7" t="s">
        <v>484</v>
      </c>
      <c r="G24" s="23"/>
      <c r="H24" s="23"/>
      <c r="I24" s="55"/>
      <c r="J24" s="9"/>
    </row>
    <row r="25" spans="1:10" ht="30" customHeight="1" x14ac:dyDescent="0.3">
      <c r="A25" s="8"/>
      <c r="B25" s="8"/>
      <c r="C25" s="8"/>
      <c r="D25" s="27" t="s">
        <v>501</v>
      </c>
      <c r="E25" s="6" t="s">
        <v>502</v>
      </c>
      <c r="F25" s="32" t="s">
        <v>503</v>
      </c>
      <c r="G25" s="23"/>
      <c r="H25" s="23"/>
      <c r="I25" s="55"/>
      <c r="J25" s="9"/>
    </row>
    <row r="26" spans="1:10" ht="30" customHeight="1" x14ac:dyDescent="0.3">
      <c r="A26" s="8"/>
      <c r="B26" s="8"/>
      <c r="C26" s="8"/>
      <c r="D26" s="27"/>
      <c r="E26" s="6"/>
      <c r="F26" s="7"/>
      <c r="G26" s="23"/>
      <c r="H26" s="23"/>
      <c r="I26" s="55"/>
      <c r="J26" s="9"/>
    </row>
    <row r="27" spans="1:10" ht="30" customHeight="1" x14ac:dyDescent="0.3">
      <c r="A27" s="8"/>
      <c r="B27" s="8"/>
      <c r="C27" s="27"/>
      <c r="D27" s="6"/>
      <c r="E27" s="7"/>
      <c r="F27" s="23"/>
      <c r="G27" s="23"/>
      <c r="H27" s="9"/>
      <c r="J27" s="9"/>
    </row>
    <row r="28" spans="1:10" ht="30" customHeight="1" x14ac:dyDescent="0.3">
      <c r="A28" s="8" t="s">
        <v>397</v>
      </c>
      <c r="B28" s="8"/>
      <c r="C28" s="8"/>
      <c r="D28" s="27" t="s">
        <v>507</v>
      </c>
      <c r="E28" s="6" t="s">
        <v>508</v>
      </c>
      <c r="F28" s="32" t="s">
        <v>509</v>
      </c>
      <c r="G28" s="23"/>
      <c r="H28" s="23"/>
      <c r="I28" s="55"/>
      <c r="J28" s="9"/>
    </row>
    <row r="29" spans="1:10" ht="30" customHeight="1" x14ac:dyDescent="0.3">
      <c r="A29" s="8"/>
      <c r="B29" s="8"/>
      <c r="C29" s="8"/>
      <c r="D29" s="27" t="s">
        <v>539</v>
      </c>
      <c r="E29" s="6" t="s">
        <v>261</v>
      </c>
      <c r="F29" s="32" t="s">
        <v>540</v>
      </c>
      <c r="G29" s="21"/>
      <c r="H29" s="21"/>
      <c r="I29" s="55"/>
      <c r="J29" s="9"/>
    </row>
    <row r="30" spans="1:10" ht="30" customHeight="1" x14ac:dyDescent="0.3">
      <c r="A30" s="8"/>
      <c r="B30" s="8"/>
      <c r="C30" s="8"/>
      <c r="D30" s="27"/>
      <c r="E30" s="6"/>
      <c r="F30" s="7"/>
      <c r="G30" s="21"/>
      <c r="H30" s="21"/>
      <c r="I30" s="55"/>
      <c r="J30" s="9"/>
    </row>
    <row r="31" spans="1:10" ht="30" customHeight="1" x14ac:dyDescent="0.3">
      <c r="A31" s="8" t="s">
        <v>519</v>
      </c>
      <c r="B31" s="8"/>
      <c r="C31" s="8"/>
      <c r="D31" s="27" t="s">
        <v>561</v>
      </c>
      <c r="E31" s="6" t="s">
        <v>560</v>
      </c>
      <c r="F31" s="8" t="s">
        <v>562</v>
      </c>
      <c r="G31" s="21" t="s">
        <v>563</v>
      </c>
      <c r="H31" s="21" t="s">
        <v>564</v>
      </c>
      <c r="I31" s="55"/>
      <c r="J31" s="9"/>
    </row>
    <row r="32" spans="1:10" ht="30" customHeight="1" x14ac:dyDescent="0.3">
      <c r="A32" s="8"/>
      <c r="B32" s="8"/>
      <c r="C32" s="8"/>
      <c r="D32" s="27" t="s">
        <v>565</v>
      </c>
      <c r="E32" s="6" t="s">
        <v>483</v>
      </c>
      <c r="F32" s="23" t="s">
        <v>566</v>
      </c>
      <c r="G32" s="21" t="s">
        <v>567</v>
      </c>
      <c r="H32" s="25" t="s">
        <v>568</v>
      </c>
      <c r="I32" s="55"/>
      <c r="J32" s="9"/>
    </row>
    <row r="33" spans="1:11" ht="30" customHeight="1" x14ac:dyDescent="0.3">
      <c r="A33" s="8"/>
      <c r="B33" s="8"/>
      <c r="C33" s="8"/>
      <c r="D33" s="27" t="s">
        <v>569</v>
      </c>
      <c r="E33" s="6" t="s">
        <v>570</v>
      </c>
      <c r="F33" s="23" t="s">
        <v>571</v>
      </c>
      <c r="G33" s="21" t="s">
        <v>572</v>
      </c>
      <c r="H33" s="21"/>
      <c r="I33" s="55"/>
      <c r="J33" s="9"/>
    </row>
    <row r="34" spans="1:11" ht="30" customHeight="1" x14ac:dyDescent="0.3">
      <c r="A34" s="8"/>
      <c r="B34" s="8"/>
      <c r="C34" s="8"/>
      <c r="D34" s="27" t="s">
        <v>573</v>
      </c>
      <c r="E34" s="6" t="s">
        <v>574</v>
      </c>
      <c r="F34" s="8" t="s">
        <v>575</v>
      </c>
      <c r="G34" s="21" t="s">
        <v>576</v>
      </c>
      <c r="H34" s="21" t="s">
        <v>577</v>
      </c>
      <c r="I34" s="55"/>
      <c r="J34" s="9"/>
    </row>
    <row r="35" spans="1:11" ht="30" customHeight="1" x14ac:dyDescent="0.3">
      <c r="A35" s="8"/>
      <c r="B35" s="8"/>
      <c r="C35" s="8"/>
      <c r="D35" s="27" t="s">
        <v>578</v>
      </c>
      <c r="E35" s="6" t="s">
        <v>579</v>
      </c>
      <c r="F35" s="8" t="s">
        <v>580</v>
      </c>
      <c r="G35" s="21" t="s">
        <v>581</v>
      </c>
      <c r="H35" s="21" t="s">
        <v>582</v>
      </c>
      <c r="I35" s="55"/>
      <c r="J35" s="9"/>
    </row>
    <row r="36" spans="1:11" ht="30" customHeight="1" x14ac:dyDescent="0.3">
      <c r="A36" s="8"/>
      <c r="B36" s="8"/>
      <c r="C36" s="8"/>
      <c r="D36" s="27" t="s">
        <v>592</v>
      </c>
      <c r="E36" s="6" t="s">
        <v>261</v>
      </c>
      <c r="F36" s="8" t="s">
        <v>593</v>
      </c>
      <c r="G36" s="21"/>
      <c r="H36" s="21"/>
      <c r="I36" s="55"/>
      <c r="J36" s="9"/>
    </row>
    <row r="37" spans="1:11" ht="30" customHeight="1" x14ac:dyDescent="0.3">
      <c r="A37" s="8"/>
      <c r="B37" s="8"/>
      <c r="C37" s="8"/>
      <c r="D37" s="27"/>
      <c r="E37" s="6"/>
      <c r="F37" s="8"/>
      <c r="G37" s="21"/>
      <c r="H37" s="21"/>
      <c r="I37" s="55"/>
      <c r="J37" s="9"/>
    </row>
    <row r="38" spans="1:11" ht="30" customHeight="1" x14ac:dyDescent="0.3">
      <c r="A38" s="8" t="s">
        <v>609</v>
      </c>
      <c r="B38" s="8"/>
      <c r="C38" s="8"/>
      <c r="D38" s="27" t="s">
        <v>653</v>
      </c>
      <c r="E38" s="6" t="s">
        <v>610</v>
      </c>
      <c r="F38" s="8" t="s">
        <v>611</v>
      </c>
      <c r="G38" s="21" t="s">
        <v>612</v>
      </c>
      <c r="H38" s="21" t="s">
        <v>613</v>
      </c>
      <c r="I38" s="55"/>
      <c r="J38" s="9"/>
    </row>
    <row r="39" spans="1:11" ht="30" customHeight="1" x14ac:dyDescent="0.3">
      <c r="A39" s="8"/>
      <c r="B39" s="8"/>
      <c r="C39" s="8"/>
      <c r="D39" s="27" t="s">
        <v>649</v>
      </c>
      <c r="E39" s="6"/>
      <c r="F39" s="23" t="s">
        <v>650</v>
      </c>
      <c r="G39" s="21" t="s">
        <v>651</v>
      </c>
      <c r="H39" s="21" t="s">
        <v>652</v>
      </c>
      <c r="I39" s="55"/>
      <c r="J39" s="9"/>
    </row>
    <row r="40" spans="1:11" ht="30" customHeight="1" x14ac:dyDescent="0.3">
      <c r="A40" s="8" t="s">
        <v>639</v>
      </c>
      <c r="B40" s="8" t="s">
        <v>654</v>
      </c>
      <c r="C40" s="8"/>
      <c r="D40" s="27" t="s">
        <v>665</v>
      </c>
      <c r="E40" s="6" t="s">
        <v>261</v>
      </c>
      <c r="F40" s="8" t="s">
        <v>666</v>
      </c>
      <c r="G40" s="21"/>
      <c r="H40" s="21"/>
      <c r="I40" s="55"/>
      <c r="J40" s="9"/>
    </row>
    <row r="41" spans="1:11" ht="30" customHeight="1" x14ac:dyDescent="0.3">
      <c r="A41" s="8"/>
      <c r="C41" s="8"/>
      <c r="D41" s="27" t="s">
        <v>667</v>
      </c>
      <c r="E41" s="6" t="s">
        <v>254</v>
      </c>
      <c r="F41" s="8" t="s">
        <v>668</v>
      </c>
      <c r="G41" s="21" t="s">
        <v>669</v>
      </c>
      <c r="H41" s="21" t="s">
        <v>670</v>
      </c>
      <c r="I41" s="55"/>
      <c r="J41" s="9"/>
    </row>
    <row r="42" spans="1:11" ht="30" customHeight="1" x14ac:dyDescent="0.3">
      <c r="A42" s="8"/>
      <c r="B42" s="8"/>
      <c r="C42" s="8"/>
      <c r="D42" s="27" t="s">
        <v>671</v>
      </c>
      <c r="E42" s="6" t="s">
        <v>483</v>
      </c>
      <c r="F42" s="23" t="s">
        <v>672</v>
      </c>
      <c r="G42" s="21"/>
      <c r="H42" s="21"/>
      <c r="I42" s="55"/>
      <c r="J42" s="9"/>
    </row>
    <row r="43" spans="1:11" ht="30" customHeight="1" x14ac:dyDescent="0.3">
      <c r="A43" s="8" t="s">
        <v>596</v>
      </c>
      <c r="B43" s="8"/>
      <c r="C43" s="8"/>
      <c r="D43" s="27" t="s">
        <v>693</v>
      </c>
      <c r="E43" s="6" t="s">
        <v>694</v>
      </c>
      <c r="F43" s="8" t="s">
        <v>695</v>
      </c>
      <c r="G43" s="21"/>
      <c r="H43" s="21" t="s">
        <v>696</v>
      </c>
      <c r="I43" s="55"/>
      <c r="J43" s="9"/>
    </row>
    <row r="44" spans="1:11" ht="30" customHeight="1" x14ac:dyDescent="0.35">
      <c r="A44" s="7">
        <v>46055</v>
      </c>
      <c r="B44" s="8"/>
      <c r="C44" s="8"/>
      <c r="D44" s="27" t="s">
        <v>714</v>
      </c>
      <c r="E44" s="6" t="s">
        <v>715</v>
      </c>
      <c r="F44" s="23" t="s">
        <v>716</v>
      </c>
      <c r="G44" s="21"/>
      <c r="H44" s="21" t="s">
        <v>717</v>
      </c>
      <c r="I44" s="55"/>
      <c r="J44" s="57" t="str">
        <f>HYPERLINK("https://drive.google.com/file/d/1o3vnXfjpU2tk2A5ZU8xXxfqLabIoicUU/view?usp=sharing", "COA")</f>
        <v>COA</v>
      </c>
    </row>
    <row r="45" spans="1:11" ht="30" customHeight="1" x14ac:dyDescent="0.35">
      <c r="A45" s="8"/>
      <c r="B45" s="8"/>
      <c r="C45" s="8"/>
      <c r="D45" s="27"/>
      <c r="E45" s="6" t="s">
        <v>718</v>
      </c>
      <c r="F45" s="8" t="s">
        <v>719</v>
      </c>
      <c r="G45" s="21" t="s">
        <v>720</v>
      </c>
      <c r="H45" s="21" t="s">
        <v>721</v>
      </c>
      <c r="I45" s="55"/>
      <c r="J45" s="57" t="str">
        <f>HYPERLINK("https://drive.google.com/file/d/1a9ii179IhNxPMyi6vOVUSR8He67Nom6r/view?usp=sharing", "LORRAINE")</f>
        <v>LORRAINE</v>
      </c>
    </row>
    <row r="46" spans="1:11" ht="30" customHeight="1" x14ac:dyDescent="0.35">
      <c r="A46" s="8"/>
      <c r="B46" s="8"/>
      <c r="C46" s="8"/>
      <c r="D46" s="27"/>
      <c r="E46" s="6"/>
      <c r="F46" s="8" t="s">
        <v>722</v>
      </c>
      <c r="G46" s="21" t="s">
        <v>723</v>
      </c>
      <c r="H46" s="21" t="s">
        <v>724</v>
      </c>
      <c r="I46" s="55"/>
      <c r="J46" s="57" t="str">
        <f>HYPERLINK("https://drive.google.com/file/d/1occwCkeg_sQkc0ofz6JRbCedWG74gR6-/view?usp=sharing", "GAD")</f>
        <v>GAD</v>
      </c>
      <c r="K46" s="59"/>
    </row>
    <row r="47" spans="1:11" ht="30" customHeight="1" x14ac:dyDescent="0.35">
      <c r="A47" s="7"/>
      <c r="B47" s="8"/>
      <c r="C47" s="8"/>
      <c r="D47" s="27"/>
      <c r="E47" s="6"/>
      <c r="F47" s="8" t="s">
        <v>748</v>
      </c>
      <c r="G47" s="21"/>
      <c r="H47" s="21"/>
      <c r="I47" s="55"/>
      <c r="J47" s="57" t="str">
        <f>HYPERLINK("https://drive.google.com/file/d/1F1_KN9XTBxkFIuQko-1vsxayCqCb7XM_/view?usp=sharing", "Office of the Governor")</f>
        <v>Office of the Governor</v>
      </c>
    </row>
    <row r="48" spans="1:11" ht="30" customHeight="1" x14ac:dyDescent="0.3">
      <c r="A48" s="7">
        <v>46267</v>
      </c>
      <c r="B48" s="8"/>
      <c r="C48" s="8"/>
      <c r="D48" s="27" t="s">
        <v>782</v>
      </c>
      <c r="E48" s="6" t="s">
        <v>783</v>
      </c>
      <c r="F48" s="23" t="s">
        <v>784</v>
      </c>
      <c r="G48" s="21" t="s">
        <v>785</v>
      </c>
      <c r="H48" s="21" t="s">
        <v>786</v>
      </c>
      <c r="I48" s="55"/>
      <c r="J48" s="54" t="str">
        <f>HYPERLINK("https://drive.google.com/file/d/1HoyUu-fHmg7g_I5022-SYkFfGs0Hl_rr/view?usp=sharing", "CITIZEN CHAPTER")</f>
        <v>CITIZEN CHAPTER</v>
      </c>
    </row>
    <row r="49" spans="1:10" ht="30" customHeight="1" x14ac:dyDescent="0.3">
      <c r="A49" s="8"/>
      <c r="B49" s="8"/>
      <c r="C49" s="8"/>
      <c r="D49" s="27" t="s">
        <v>787</v>
      </c>
      <c r="E49" s="6" t="s">
        <v>261</v>
      </c>
      <c r="F49" s="8" t="s">
        <v>788</v>
      </c>
      <c r="G49" s="21"/>
      <c r="H49" s="21"/>
      <c r="I49" s="55"/>
      <c r="J49" s="54" t="str">
        <f>HYPERLINK("https://drive.google.com/file/d/10nbVRVg7TTPJX6vqsB8g1z5EbXH1BSQn/view?usp=sharing", "COMMITTEE HEARING")</f>
        <v>COMMITTEE HEARING</v>
      </c>
    </row>
    <row r="50" spans="1:10" ht="30" customHeight="1" x14ac:dyDescent="0.3">
      <c r="A50" s="8"/>
      <c r="B50" s="8"/>
      <c r="C50" s="8"/>
      <c r="D50" s="27" t="s">
        <v>791</v>
      </c>
      <c r="E50" s="6" t="s">
        <v>792</v>
      </c>
      <c r="F50" s="23" t="s">
        <v>793</v>
      </c>
      <c r="G50" s="21"/>
      <c r="H50" s="21"/>
      <c r="I50" s="55"/>
      <c r="J50" s="9"/>
    </row>
    <row r="51" spans="1:10" ht="30" customHeight="1" x14ac:dyDescent="0.3">
      <c r="A51" s="8"/>
      <c r="B51" s="8"/>
      <c r="C51" s="8"/>
      <c r="D51" s="27" t="s">
        <v>801</v>
      </c>
      <c r="E51" s="6" t="s">
        <v>802</v>
      </c>
      <c r="F51" s="8" t="s">
        <v>803</v>
      </c>
      <c r="G51" s="21" t="s">
        <v>804</v>
      </c>
      <c r="H51" s="21" t="s">
        <v>818</v>
      </c>
      <c r="I51" s="55"/>
      <c r="J51" s="9"/>
    </row>
    <row r="52" spans="1:10" ht="30" customHeight="1" x14ac:dyDescent="0.3">
      <c r="A52" s="8"/>
      <c r="B52" s="8"/>
      <c r="C52" s="8"/>
      <c r="D52" s="27" t="s">
        <v>822</v>
      </c>
      <c r="E52" s="6" t="s">
        <v>823</v>
      </c>
      <c r="F52" s="8" t="s">
        <v>824</v>
      </c>
      <c r="G52" s="21" t="s">
        <v>825</v>
      </c>
      <c r="H52" s="6" t="s">
        <v>823</v>
      </c>
      <c r="I52" s="55"/>
      <c r="J52" s="9"/>
    </row>
    <row r="53" spans="1:10" ht="30" customHeight="1" x14ac:dyDescent="0.3">
      <c r="A53" s="8"/>
      <c r="B53" s="8"/>
      <c r="C53" s="8"/>
      <c r="D53" s="27" t="s">
        <v>844</v>
      </c>
      <c r="E53" s="6" t="s">
        <v>261</v>
      </c>
      <c r="F53" s="8" t="s">
        <v>407</v>
      </c>
      <c r="G53" s="21"/>
      <c r="H53" s="21"/>
      <c r="I53" s="55"/>
      <c r="J53" s="9"/>
    </row>
    <row r="54" spans="1:10" ht="30" customHeight="1" x14ac:dyDescent="0.3">
      <c r="A54" s="7">
        <v>46297</v>
      </c>
      <c r="B54" s="8"/>
      <c r="C54" s="8"/>
      <c r="D54" s="27" t="s">
        <v>845</v>
      </c>
      <c r="E54" s="6" t="s">
        <v>847</v>
      </c>
      <c r="F54" s="6" t="s">
        <v>846</v>
      </c>
      <c r="G54" s="21"/>
      <c r="H54" s="21"/>
      <c r="I54" s="55"/>
      <c r="J54" s="9"/>
    </row>
    <row r="55" spans="1:10" ht="30" customHeight="1" x14ac:dyDescent="0.3">
      <c r="A55" s="8"/>
      <c r="B55" s="8"/>
      <c r="C55" s="8"/>
      <c r="D55" s="27" t="s">
        <v>848</v>
      </c>
      <c r="E55" s="6" t="s">
        <v>849</v>
      </c>
      <c r="F55" s="23" t="s">
        <v>850</v>
      </c>
      <c r="G55" s="21"/>
      <c r="H55" s="21"/>
      <c r="I55" s="55"/>
      <c r="J55" s="9"/>
    </row>
    <row r="56" spans="1:10" ht="30" customHeight="1" x14ac:dyDescent="0.3">
      <c r="A56" s="8"/>
      <c r="B56" s="8"/>
      <c r="C56" s="8"/>
      <c r="D56" s="27" t="s">
        <v>862</v>
      </c>
      <c r="E56" s="6" t="s">
        <v>261</v>
      </c>
      <c r="F56" s="8"/>
      <c r="G56" s="21"/>
      <c r="H56" s="21"/>
      <c r="I56" s="55"/>
      <c r="J56" s="9"/>
    </row>
    <row r="57" spans="1:10" ht="30" customHeight="1" x14ac:dyDescent="0.3">
      <c r="A57" s="8"/>
      <c r="B57" s="8"/>
      <c r="C57" s="8"/>
      <c r="D57" s="27" t="s">
        <v>876</v>
      </c>
      <c r="E57" s="6" t="s">
        <v>261</v>
      </c>
      <c r="F57" s="23" t="s">
        <v>877</v>
      </c>
      <c r="G57" s="21" t="s">
        <v>884</v>
      </c>
      <c r="H57" s="21"/>
      <c r="I57" s="55"/>
      <c r="J57" s="9"/>
    </row>
    <row r="58" spans="1:10" ht="30" customHeight="1" x14ac:dyDescent="0.3">
      <c r="A58" s="8"/>
      <c r="B58" s="8"/>
      <c r="C58" s="8"/>
      <c r="D58" s="27" t="s">
        <v>878</v>
      </c>
      <c r="E58" s="6" t="s">
        <v>879</v>
      </c>
      <c r="F58" s="23" t="s">
        <v>880</v>
      </c>
      <c r="G58" s="21"/>
      <c r="H58" s="21"/>
      <c r="I58" s="55"/>
      <c r="J58" s="9"/>
    </row>
    <row r="59" spans="1:10" ht="30" customHeight="1" x14ac:dyDescent="0.3">
      <c r="A59" s="8"/>
      <c r="B59" s="8"/>
      <c r="C59" s="8"/>
      <c r="D59" s="27" t="s">
        <v>881</v>
      </c>
      <c r="E59" s="31" t="s">
        <v>883</v>
      </c>
      <c r="F59" s="31" t="s">
        <v>882</v>
      </c>
      <c r="G59" s="21" t="s">
        <v>884</v>
      </c>
      <c r="H59" s="21" t="s">
        <v>652</v>
      </c>
      <c r="I59" s="55"/>
      <c r="J59" s="9"/>
    </row>
    <row r="60" spans="1:10" ht="30" customHeight="1" x14ac:dyDescent="0.3">
      <c r="A60" s="7">
        <v>46358</v>
      </c>
      <c r="B60" s="8"/>
      <c r="C60" s="8"/>
      <c r="D60" s="27" t="s">
        <v>908</v>
      </c>
      <c r="E60" s="6" t="s">
        <v>579</v>
      </c>
      <c r="F60" s="8" t="s">
        <v>909</v>
      </c>
      <c r="G60" s="21" t="s">
        <v>910</v>
      </c>
      <c r="H60" s="21" t="s">
        <v>582</v>
      </c>
      <c r="I60" s="55"/>
      <c r="J60" s="9"/>
    </row>
    <row r="61" spans="1:10" ht="30" customHeight="1" x14ac:dyDescent="0.3">
      <c r="A61" s="8" t="s">
        <v>702</v>
      </c>
      <c r="B61" s="8"/>
      <c r="C61" s="8"/>
      <c r="D61" s="8" t="s">
        <v>407</v>
      </c>
      <c r="E61" s="6" t="s">
        <v>921</v>
      </c>
      <c r="F61" s="8" t="s">
        <v>922</v>
      </c>
      <c r="G61" s="21"/>
      <c r="H61" s="21"/>
      <c r="I61" s="55"/>
      <c r="J61" s="9"/>
    </row>
    <row r="62" spans="1:10" ht="30" customHeight="1" x14ac:dyDescent="0.3">
      <c r="A62" s="8" t="s">
        <v>1006</v>
      </c>
      <c r="B62" s="8"/>
      <c r="C62" s="8"/>
      <c r="D62" s="27" t="s">
        <v>1007</v>
      </c>
      <c r="E62" s="6" t="s">
        <v>921</v>
      </c>
      <c r="F62" s="8" t="s">
        <v>1008</v>
      </c>
      <c r="G62" s="25"/>
      <c r="H62" s="25"/>
      <c r="I62" s="55"/>
      <c r="J62" s="9"/>
    </row>
    <row r="63" spans="1:10" ht="30" customHeight="1" x14ac:dyDescent="0.3">
      <c r="A63" s="8"/>
      <c r="B63" s="8"/>
      <c r="C63" s="8"/>
      <c r="D63" s="27" t="s">
        <v>1009</v>
      </c>
      <c r="E63" s="6" t="s">
        <v>261</v>
      </c>
      <c r="F63" s="8" t="s">
        <v>1010</v>
      </c>
      <c r="G63" s="25"/>
      <c r="H63" s="25"/>
      <c r="I63" s="55"/>
      <c r="J63" s="9"/>
    </row>
    <row r="64" spans="1:10" ht="30" customHeight="1" x14ac:dyDescent="0.3">
      <c r="A64" s="8"/>
      <c r="B64" s="8"/>
      <c r="C64" s="8"/>
      <c r="D64" s="27" t="s">
        <v>1011</v>
      </c>
      <c r="E64" s="6" t="s">
        <v>1012</v>
      </c>
      <c r="F64" s="23" t="s">
        <v>1014</v>
      </c>
      <c r="G64" s="21" t="s">
        <v>872</v>
      </c>
      <c r="H64" s="21" t="s">
        <v>1013</v>
      </c>
      <c r="I64" s="55"/>
      <c r="J64" s="9"/>
    </row>
    <row r="65" spans="1:10" ht="30" customHeight="1" x14ac:dyDescent="0.3">
      <c r="A65" s="8"/>
      <c r="B65" s="8"/>
      <c r="C65" s="8"/>
      <c r="D65" s="27" t="s">
        <v>1026</v>
      </c>
      <c r="E65" s="6" t="s">
        <v>483</v>
      </c>
      <c r="F65" s="23" t="s">
        <v>1027</v>
      </c>
      <c r="G65" s="21" t="s">
        <v>407</v>
      </c>
      <c r="H65" s="21" t="s">
        <v>810</v>
      </c>
      <c r="I65" s="55"/>
      <c r="J65" s="9"/>
    </row>
    <row r="66" spans="1:10" ht="30" customHeight="1" x14ac:dyDescent="0.3">
      <c r="A66" s="8"/>
      <c r="B66" s="8"/>
      <c r="C66" s="8"/>
      <c r="D66" s="27" t="s">
        <v>1059</v>
      </c>
      <c r="E66" s="6" t="s">
        <v>1058</v>
      </c>
      <c r="F66" s="8" t="s">
        <v>1060</v>
      </c>
      <c r="G66" s="21" t="s">
        <v>1061</v>
      </c>
      <c r="H66" s="21" t="s">
        <v>1062</v>
      </c>
      <c r="I66" s="55"/>
      <c r="J66" s="9"/>
    </row>
    <row r="67" spans="1:10" ht="30" customHeight="1" x14ac:dyDescent="0.3">
      <c r="A67" s="8"/>
      <c r="B67" s="8"/>
      <c r="C67" s="8"/>
      <c r="D67" s="27" t="s">
        <v>1057</v>
      </c>
      <c r="E67" s="6" t="s">
        <v>1058</v>
      </c>
      <c r="F67" s="8" t="s">
        <v>1063</v>
      </c>
      <c r="G67" s="21" t="s">
        <v>1064</v>
      </c>
      <c r="H67" s="21" t="s">
        <v>1065</v>
      </c>
      <c r="I67" s="55"/>
      <c r="J67" s="9"/>
    </row>
    <row r="68" spans="1:10" ht="30" customHeight="1" x14ac:dyDescent="0.3">
      <c r="A68" s="8"/>
      <c r="B68" s="8"/>
      <c r="C68" s="8"/>
      <c r="D68" s="27" t="s">
        <v>1099</v>
      </c>
      <c r="E68" s="6" t="s">
        <v>483</v>
      </c>
      <c r="F68" s="8" t="s">
        <v>1100</v>
      </c>
      <c r="G68" s="21"/>
      <c r="H68" s="21"/>
      <c r="I68" s="55"/>
      <c r="J68" s="9"/>
    </row>
    <row r="69" spans="1:10" ht="30" customHeight="1" x14ac:dyDescent="0.3">
      <c r="A69" s="8"/>
      <c r="B69" s="8"/>
      <c r="C69" s="8"/>
      <c r="D69" s="27" t="s">
        <v>1101</v>
      </c>
      <c r="E69" s="6" t="s">
        <v>1102</v>
      </c>
      <c r="F69" s="23" t="s">
        <v>1103</v>
      </c>
      <c r="G69" s="21"/>
      <c r="H69" s="21"/>
      <c r="I69" s="55"/>
      <c r="J69" s="9"/>
    </row>
    <row r="70" spans="1:10" ht="30" customHeight="1" x14ac:dyDescent="0.3">
      <c r="A70" s="8"/>
      <c r="B70" s="8"/>
      <c r="C70" s="8"/>
      <c r="D70" s="27" t="s">
        <v>1104</v>
      </c>
      <c r="E70" s="6" t="s">
        <v>1105</v>
      </c>
      <c r="F70" s="8" t="s">
        <v>1106</v>
      </c>
      <c r="G70" s="21"/>
      <c r="H70" s="21"/>
      <c r="I70" s="55"/>
      <c r="J70" s="9"/>
    </row>
    <row r="71" spans="1:10" ht="30" customHeight="1" x14ac:dyDescent="0.3">
      <c r="A71" s="8"/>
      <c r="B71" s="8"/>
      <c r="C71" s="8"/>
      <c r="D71" s="27" t="s">
        <v>1108</v>
      </c>
      <c r="E71" s="6" t="s">
        <v>1109</v>
      </c>
      <c r="F71" s="8" t="s">
        <v>1110</v>
      </c>
      <c r="G71" s="21" t="s">
        <v>1111</v>
      </c>
      <c r="H71" s="21" t="s">
        <v>256</v>
      </c>
      <c r="I71" s="55"/>
      <c r="J71" s="9"/>
    </row>
    <row r="72" spans="1:10" ht="30" customHeight="1" x14ac:dyDescent="0.3">
      <c r="A72" s="8"/>
      <c r="B72" s="8"/>
      <c r="C72" s="8"/>
      <c r="D72" s="27" t="s">
        <v>1112</v>
      </c>
      <c r="E72" s="6" t="s">
        <v>1113</v>
      </c>
      <c r="F72" s="8" t="s">
        <v>1114</v>
      </c>
      <c r="G72" s="21"/>
      <c r="H72" s="21"/>
      <c r="I72" s="55"/>
      <c r="J72" s="9"/>
    </row>
    <row r="73" spans="1:10" ht="30" customHeight="1" x14ac:dyDescent="0.3">
      <c r="A73" s="8" t="s">
        <v>854</v>
      </c>
      <c r="B73" s="8"/>
      <c r="C73" s="8"/>
      <c r="D73" s="27" t="s">
        <v>1144</v>
      </c>
      <c r="E73" s="6" t="s">
        <v>579</v>
      </c>
      <c r="F73" s="8" t="s">
        <v>1145</v>
      </c>
      <c r="G73" s="25" t="s">
        <v>1146</v>
      </c>
      <c r="H73" s="25" t="s">
        <v>1147</v>
      </c>
      <c r="I73" s="55"/>
      <c r="J73" s="9"/>
    </row>
    <row r="74" spans="1:10" ht="30" customHeight="1" x14ac:dyDescent="0.3">
      <c r="A74" s="8"/>
      <c r="B74" s="8"/>
      <c r="C74" s="8"/>
      <c r="D74" s="27" t="s">
        <v>1148</v>
      </c>
      <c r="E74" s="6" t="s">
        <v>261</v>
      </c>
      <c r="F74" s="8" t="s">
        <v>1149</v>
      </c>
      <c r="G74" s="21" t="s">
        <v>1150</v>
      </c>
      <c r="H74" s="21"/>
      <c r="I74" s="55"/>
      <c r="J74" s="9"/>
    </row>
    <row r="75" spans="1:10" ht="30" customHeight="1" x14ac:dyDescent="0.3">
      <c r="A75" s="8"/>
      <c r="B75" s="8"/>
      <c r="C75" s="8"/>
      <c r="D75" s="27" t="s">
        <v>1151</v>
      </c>
      <c r="E75" s="6" t="s">
        <v>254</v>
      </c>
      <c r="F75" s="8" t="s">
        <v>1152</v>
      </c>
      <c r="G75" s="25"/>
      <c r="H75" s="25"/>
      <c r="I75" s="55"/>
      <c r="J75" s="9"/>
    </row>
    <row r="76" spans="1:10" ht="38.25" customHeight="1" x14ac:dyDescent="0.3">
      <c r="A76" s="8"/>
      <c r="B76" s="8"/>
      <c r="C76" s="8"/>
      <c r="D76" s="27" t="s">
        <v>1161</v>
      </c>
      <c r="E76" s="6" t="s">
        <v>847</v>
      </c>
      <c r="F76" s="8" t="s">
        <v>1162</v>
      </c>
      <c r="G76" s="21"/>
      <c r="H76" s="21"/>
      <c r="I76" s="55"/>
      <c r="J76" s="9"/>
    </row>
    <row r="77" spans="1:10" ht="30" customHeight="1" x14ac:dyDescent="0.3">
      <c r="A77" s="8"/>
      <c r="B77" s="8"/>
      <c r="C77" s="8"/>
      <c r="D77" s="27" t="s">
        <v>1176</v>
      </c>
      <c r="E77" s="6" t="s">
        <v>1177</v>
      </c>
      <c r="F77" s="8" t="s">
        <v>1178</v>
      </c>
      <c r="G77" s="21"/>
      <c r="H77" s="21"/>
      <c r="I77" s="55"/>
      <c r="J77" s="9"/>
    </row>
    <row r="78" spans="1:10" ht="30" customHeight="1" x14ac:dyDescent="0.3">
      <c r="A78" s="8" t="s">
        <v>1005</v>
      </c>
      <c r="B78" s="8"/>
      <c r="C78" s="8"/>
      <c r="D78" s="27" t="s">
        <v>1191</v>
      </c>
      <c r="E78" s="6" t="s">
        <v>1192</v>
      </c>
      <c r="F78" s="23" t="s">
        <v>1193</v>
      </c>
      <c r="G78" s="21"/>
      <c r="H78" s="21" t="s">
        <v>1194</v>
      </c>
      <c r="I78" s="55"/>
      <c r="J78" s="9"/>
    </row>
    <row r="79" spans="1:10" ht="30" customHeight="1" x14ac:dyDescent="0.3">
      <c r="A79" s="8"/>
      <c r="B79" s="8"/>
      <c r="C79" s="8"/>
      <c r="D79" s="27" t="s">
        <v>1211</v>
      </c>
      <c r="E79" s="6" t="s">
        <v>261</v>
      </c>
      <c r="F79" s="23" t="s">
        <v>1212</v>
      </c>
      <c r="G79" s="21"/>
      <c r="H79" s="21"/>
      <c r="I79" s="55"/>
      <c r="J79" s="9"/>
    </row>
    <row r="80" spans="1:10" ht="30" customHeight="1" x14ac:dyDescent="0.3">
      <c r="A80" s="8"/>
      <c r="B80" s="8"/>
      <c r="C80" s="8"/>
      <c r="D80" s="27" t="s">
        <v>1213</v>
      </c>
      <c r="E80" s="6" t="s">
        <v>1214</v>
      </c>
      <c r="F80" s="8" t="s">
        <v>1215</v>
      </c>
      <c r="G80" s="21" t="s">
        <v>1216</v>
      </c>
      <c r="H80" s="21" t="s">
        <v>1013</v>
      </c>
      <c r="I80" s="55"/>
      <c r="J80" s="9"/>
    </row>
    <row r="81" spans="1:10" ht="30" customHeight="1" x14ac:dyDescent="0.3">
      <c r="A81" s="7">
        <v>46056</v>
      </c>
      <c r="B81" s="8"/>
      <c r="C81" s="8"/>
      <c r="D81" s="27" t="s">
        <v>1251</v>
      </c>
      <c r="E81" s="6" t="s">
        <v>1252</v>
      </c>
      <c r="F81" s="8" t="s">
        <v>1253</v>
      </c>
      <c r="G81" s="21"/>
      <c r="H81" s="21">
        <v>4</v>
      </c>
      <c r="I81" s="55"/>
      <c r="J81" s="9"/>
    </row>
    <row r="82" spans="1:10" ht="30" customHeight="1" x14ac:dyDescent="0.3">
      <c r="A82" s="8"/>
      <c r="B82" s="8"/>
      <c r="C82" s="8"/>
      <c r="D82" s="27" t="s">
        <v>1254</v>
      </c>
      <c r="E82" s="6" t="s">
        <v>261</v>
      </c>
      <c r="F82" s="8" t="s">
        <v>1255</v>
      </c>
      <c r="G82" s="21"/>
      <c r="H82" s="21"/>
      <c r="I82" s="55"/>
      <c r="J82" s="9"/>
    </row>
    <row r="83" spans="1:10" ht="30" customHeight="1" x14ac:dyDescent="0.3">
      <c r="A83" s="8"/>
      <c r="B83" s="8"/>
      <c r="C83" s="8"/>
      <c r="D83" s="27" t="s">
        <v>1256</v>
      </c>
      <c r="E83" s="6" t="s">
        <v>921</v>
      </c>
      <c r="F83" s="23" t="s">
        <v>1257</v>
      </c>
      <c r="G83" s="21"/>
      <c r="H83" s="21"/>
      <c r="I83" s="55"/>
      <c r="J83" s="9"/>
    </row>
    <row r="84" spans="1:10" ht="30" customHeight="1" x14ac:dyDescent="0.3">
      <c r="A84" s="8"/>
      <c r="B84" s="8"/>
      <c r="C84" s="8"/>
      <c r="D84" s="27" t="s">
        <v>1258</v>
      </c>
      <c r="E84" s="6" t="s">
        <v>261</v>
      </c>
      <c r="F84" s="8" t="s">
        <v>1259</v>
      </c>
      <c r="G84" s="21"/>
      <c r="H84" s="21"/>
      <c r="I84" s="55"/>
      <c r="J84" s="9"/>
    </row>
    <row r="85" spans="1:10" ht="30" customHeight="1" x14ac:dyDescent="0.3">
      <c r="A85" s="8"/>
      <c r="B85" s="8"/>
      <c r="C85" s="8"/>
      <c r="D85" s="27" t="s">
        <v>1260</v>
      </c>
      <c r="E85" s="6" t="s">
        <v>261</v>
      </c>
      <c r="F85" s="23" t="s">
        <v>1261</v>
      </c>
      <c r="G85" s="21"/>
      <c r="H85" s="21"/>
      <c r="I85" s="55"/>
      <c r="J85" s="9"/>
    </row>
    <row r="86" spans="1:10" ht="30" customHeight="1" x14ac:dyDescent="0.3">
      <c r="A86" s="8"/>
      <c r="B86" s="8"/>
      <c r="C86" s="8"/>
      <c r="D86" s="27" t="s">
        <v>1262</v>
      </c>
      <c r="E86" s="6" t="s">
        <v>1263</v>
      </c>
      <c r="F86" s="23"/>
      <c r="G86" s="21"/>
      <c r="H86" s="21"/>
      <c r="I86" s="55"/>
      <c r="J86" s="9"/>
    </row>
    <row r="87" spans="1:10" ht="30" customHeight="1" x14ac:dyDescent="0.3">
      <c r="A87" s="8"/>
      <c r="B87" s="8"/>
      <c r="C87" s="8"/>
      <c r="D87" s="27" t="s">
        <v>1264</v>
      </c>
      <c r="E87" s="6" t="s">
        <v>1265</v>
      </c>
      <c r="F87" s="8" t="s">
        <v>1266</v>
      </c>
      <c r="G87" s="21"/>
      <c r="H87" s="21"/>
      <c r="I87" s="55"/>
      <c r="J87" s="9"/>
    </row>
    <row r="88" spans="1:10" ht="30" customHeight="1" x14ac:dyDescent="0.3">
      <c r="A88" s="8"/>
      <c r="B88" s="8"/>
      <c r="C88" s="8"/>
      <c r="D88" s="27" t="s">
        <v>1270</v>
      </c>
      <c r="E88" s="6" t="s">
        <v>1271</v>
      </c>
      <c r="F88" s="8" t="s">
        <v>1272</v>
      </c>
      <c r="G88" s="21"/>
      <c r="H88" s="21"/>
      <c r="I88" s="55"/>
      <c r="J88" s="9"/>
    </row>
    <row r="89" spans="1:10" ht="30" customHeight="1" x14ac:dyDescent="0.3">
      <c r="A89" s="8"/>
      <c r="B89" s="8"/>
      <c r="C89" s="8"/>
      <c r="D89" s="27" t="s">
        <v>1294</v>
      </c>
      <c r="E89" s="6"/>
      <c r="F89" s="8" t="s">
        <v>1285</v>
      </c>
      <c r="G89" s="21" t="s">
        <v>1286</v>
      </c>
      <c r="H89" s="21"/>
      <c r="I89" s="55"/>
      <c r="J89" s="9"/>
    </row>
    <row r="90" spans="1:10" ht="30" customHeight="1" x14ac:dyDescent="0.3">
      <c r="A90" s="8"/>
      <c r="B90" s="8"/>
      <c r="C90" s="8"/>
      <c r="D90" s="27" t="s">
        <v>1290</v>
      </c>
      <c r="E90" s="6" t="s">
        <v>1291</v>
      </c>
      <c r="F90" s="8" t="s">
        <v>1292</v>
      </c>
      <c r="G90" s="21" t="s">
        <v>1293</v>
      </c>
      <c r="H90" s="21" t="s">
        <v>654</v>
      </c>
      <c r="I90" s="55"/>
      <c r="J90" s="9"/>
    </row>
    <row r="91" spans="1:10" ht="30" customHeight="1" x14ac:dyDescent="0.3">
      <c r="A91" s="8"/>
      <c r="B91" s="8"/>
      <c r="C91" s="8"/>
      <c r="D91" s="27" t="s">
        <v>1295</v>
      </c>
      <c r="E91" s="6" t="s">
        <v>574</v>
      </c>
      <c r="F91" s="8" t="s">
        <v>1296</v>
      </c>
      <c r="G91" s="21" t="s">
        <v>1297</v>
      </c>
      <c r="H91" s="21" t="s">
        <v>1298</v>
      </c>
      <c r="I91" s="55"/>
      <c r="J91" s="9"/>
    </row>
    <row r="92" spans="1:10" ht="30" customHeight="1" x14ac:dyDescent="0.3">
      <c r="A92" s="7">
        <v>46084</v>
      </c>
      <c r="B92" s="8"/>
      <c r="C92" s="8"/>
      <c r="D92" s="27" t="s">
        <v>1335</v>
      </c>
      <c r="E92" s="6" t="s">
        <v>1336</v>
      </c>
      <c r="F92" s="8" t="s">
        <v>1337</v>
      </c>
      <c r="G92" s="21"/>
      <c r="H92" s="21"/>
      <c r="I92" s="55"/>
      <c r="J92" s="9"/>
    </row>
    <row r="93" spans="1:10" ht="30" customHeight="1" x14ac:dyDescent="0.3">
      <c r="A93" s="8"/>
      <c r="B93" s="8"/>
      <c r="C93" s="8"/>
      <c r="D93" s="27" t="s">
        <v>1340</v>
      </c>
      <c r="E93" s="6" t="s">
        <v>261</v>
      </c>
      <c r="F93" s="23" t="s">
        <v>1341</v>
      </c>
      <c r="G93" s="21"/>
      <c r="H93" s="21"/>
      <c r="I93" s="55"/>
      <c r="J93" s="9"/>
    </row>
    <row r="94" spans="1:10" ht="30" customHeight="1" x14ac:dyDescent="0.3">
      <c r="A94" s="8"/>
      <c r="B94" s="8"/>
      <c r="C94" s="8"/>
      <c r="D94" s="27" t="s">
        <v>1342</v>
      </c>
      <c r="E94" s="6" t="s">
        <v>261</v>
      </c>
      <c r="F94" s="23" t="s">
        <v>1343</v>
      </c>
      <c r="G94" s="21"/>
      <c r="H94" s="21"/>
      <c r="I94" s="55"/>
      <c r="J94" s="9"/>
    </row>
    <row r="95" spans="1:10" ht="30" customHeight="1" x14ac:dyDescent="0.3">
      <c r="A95" s="8"/>
      <c r="B95" s="8"/>
      <c r="C95" s="8"/>
      <c r="D95" s="27" t="s">
        <v>1344</v>
      </c>
      <c r="E95" s="6" t="s">
        <v>261</v>
      </c>
      <c r="F95" s="8" t="s">
        <v>1345</v>
      </c>
      <c r="G95" s="21"/>
      <c r="H95" s="21"/>
      <c r="I95" s="55"/>
      <c r="J95" s="9"/>
    </row>
    <row r="96" spans="1:10" ht="30" customHeight="1" x14ac:dyDescent="0.3">
      <c r="A96" s="8"/>
      <c r="B96" s="8"/>
      <c r="C96" s="8"/>
      <c r="D96" s="27" t="s">
        <v>1346</v>
      </c>
      <c r="E96" s="6" t="s">
        <v>261</v>
      </c>
      <c r="F96" s="23" t="s">
        <v>1347</v>
      </c>
      <c r="G96" s="21" t="s">
        <v>1348</v>
      </c>
      <c r="H96" s="21"/>
      <c r="I96" s="55"/>
      <c r="J96" s="9"/>
    </row>
    <row r="97" spans="1:10" ht="30" customHeight="1" x14ac:dyDescent="0.3">
      <c r="A97" s="8"/>
      <c r="B97" s="8"/>
      <c r="C97" s="8"/>
      <c r="D97" s="27" t="s">
        <v>1354</v>
      </c>
      <c r="E97" s="6" t="s">
        <v>1355</v>
      </c>
      <c r="F97" s="8" t="s">
        <v>1356</v>
      </c>
      <c r="G97" s="21"/>
      <c r="H97" s="21"/>
      <c r="I97" s="55"/>
      <c r="J97" s="9"/>
    </row>
    <row r="98" spans="1:10" ht="30" customHeight="1" x14ac:dyDescent="0.3">
      <c r="A98" s="8"/>
      <c r="B98" s="7">
        <v>46145</v>
      </c>
      <c r="C98" s="8"/>
      <c r="D98" s="27" t="s">
        <v>1377</v>
      </c>
      <c r="E98" s="6" t="s">
        <v>1058</v>
      </c>
      <c r="F98" s="23" t="s">
        <v>1379</v>
      </c>
      <c r="G98" s="21" t="s">
        <v>1380</v>
      </c>
      <c r="H98" s="21" t="s">
        <v>1381</v>
      </c>
      <c r="I98" s="55"/>
      <c r="J98" s="9"/>
    </row>
    <row r="99" spans="1:10" ht="30" customHeight="1" x14ac:dyDescent="0.3">
      <c r="A99" s="5"/>
      <c r="B99" s="3"/>
      <c r="C99" s="8"/>
      <c r="D99" s="27" t="s">
        <v>1378</v>
      </c>
      <c r="E99" s="6" t="s">
        <v>1382</v>
      </c>
      <c r="F99" s="23" t="s">
        <v>1383</v>
      </c>
      <c r="G99" s="21" t="s">
        <v>1384</v>
      </c>
      <c r="H99" s="21" t="s">
        <v>1385</v>
      </c>
      <c r="I99" s="55"/>
      <c r="J99" s="9"/>
    </row>
    <row r="100" spans="1:10" ht="30" customHeight="1" x14ac:dyDescent="0.3">
      <c r="A100" s="5"/>
      <c r="B100" s="3"/>
      <c r="C100" s="8"/>
      <c r="D100" s="27" t="s">
        <v>1386</v>
      </c>
      <c r="E100" s="31" t="s">
        <v>1387</v>
      </c>
      <c r="F100" s="8" t="s">
        <v>1388</v>
      </c>
      <c r="G100" s="21"/>
      <c r="H100" s="21"/>
      <c r="I100" s="55"/>
      <c r="J100" s="9"/>
    </row>
    <row r="101" spans="1:10" ht="30" customHeight="1" x14ac:dyDescent="0.3">
      <c r="A101" s="5"/>
      <c r="B101" s="3"/>
      <c r="C101" s="8"/>
      <c r="D101" s="27" t="s">
        <v>1389</v>
      </c>
      <c r="E101" s="6" t="s">
        <v>1390</v>
      </c>
      <c r="F101" s="8" t="s">
        <v>1391</v>
      </c>
      <c r="G101" s="21" t="s">
        <v>1315</v>
      </c>
      <c r="H101" s="21"/>
      <c r="I101" s="55"/>
      <c r="J101" s="9"/>
    </row>
    <row r="102" spans="1:10" ht="30" customHeight="1" x14ac:dyDescent="0.3">
      <c r="A102" s="5"/>
      <c r="B102" s="3"/>
      <c r="C102" s="8"/>
      <c r="D102" s="27" t="s">
        <v>1392</v>
      </c>
      <c r="E102" s="6" t="s">
        <v>1393</v>
      </c>
      <c r="F102" s="23" t="s">
        <v>1394</v>
      </c>
      <c r="G102" s="21"/>
      <c r="H102" s="21"/>
      <c r="I102" s="55"/>
      <c r="J102" s="9"/>
    </row>
    <row r="103" spans="1:10" ht="30" customHeight="1" x14ac:dyDescent="0.3">
      <c r="A103" s="5"/>
      <c r="B103" s="3"/>
      <c r="C103" s="8"/>
      <c r="D103" s="27" t="s">
        <v>1395</v>
      </c>
      <c r="E103" s="6" t="s">
        <v>1396</v>
      </c>
      <c r="F103" s="8" t="s">
        <v>1397</v>
      </c>
      <c r="G103" s="21" t="s">
        <v>1398</v>
      </c>
      <c r="H103" s="21"/>
      <c r="I103" s="55"/>
      <c r="J103" s="9"/>
    </row>
    <row r="104" spans="1:10" ht="30" customHeight="1" x14ac:dyDescent="0.3">
      <c r="A104" s="5"/>
      <c r="B104" s="3"/>
      <c r="C104" s="8"/>
      <c r="D104" s="27" t="s">
        <v>1399</v>
      </c>
      <c r="E104" s="6" t="s">
        <v>261</v>
      </c>
      <c r="F104" s="8" t="s">
        <v>1400</v>
      </c>
      <c r="G104" s="21" t="s">
        <v>1401</v>
      </c>
      <c r="H104" s="21" t="s">
        <v>670</v>
      </c>
      <c r="I104" s="55"/>
      <c r="J104" s="9"/>
    </row>
    <row r="105" spans="1:10" ht="30" customHeight="1" x14ac:dyDescent="0.3">
      <c r="A105" s="5"/>
      <c r="B105" s="3"/>
      <c r="C105" s="8"/>
      <c r="D105" s="27" t="s">
        <v>1402</v>
      </c>
      <c r="E105" s="6" t="s">
        <v>1058</v>
      </c>
      <c r="F105" s="23" t="s">
        <v>1403</v>
      </c>
      <c r="G105" s="21" t="s">
        <v>1404</v>
      </c>
      <c r="H105" s="21"/>
      <c r="I105" s="55"/>
      <c r="J105" s="9"/>
    </row>
    <row r="106" spans="1:10" ht="30" customHeight="1" x14ac:dyDescent="0.3">
      <c r="A106" s="5"/>
      <c r="B106" s="3"/>
      <c r="C106" s="8"/>
      <c r="D106" s="27" t="s">
        <v>1408</v>
      </c>
      <c r="E106" s="6" t="s">
        <v>1109</v>
      </c>
      <c r="F106" s="8" t="s">
        <v>1409</v>
      </c>
      <c r="G106" s="21"/>
      <c r="H106" s="21"/>
      <c r="I106" s="55"/>
      <c r="J106" s="9"/>
    </row>
    <row r="107" spans="1:10" ht="30" customHeight="1" x14ac:dyDescent="0.3">
      <c r="A107" s="5"/>
      <c r="B107" s="3"/>
      <c r="C107" s="8"/>
      <c r="D107" s="27" t="s">
        <v>1410</v>
      </c>
      <c r="E107" s="6" t="s">
        <v>1109</v>
      </c>
      <c r="F107" s="8" t="s">
        <v>1411</v>
      </c>
      <c r="G107" s="21"/>
      <c r="H107" s="21"/>
      <c r="I107" s="55"/>
      <c r="J107" s="9"/>
    </row>
    <row r="108" spans="1:10" ht="30" customHeight="1" x14ac:dyDescent="0.3">
      <c r="A108" s="64">
        <v>46268</v>
      </c>
      <c r="B108" s="3"/>
      <c r="C108" s="8"/>
      <c r="D108" s="27" t="s">
        <v>1414</v>
      </c>
      <c r="E108" s="6" t="s">
        <v>1415</v>
      </c>
      <c r="F108" s="23" t="s">
        <v>1416</v>
      </c>
      <c r="G108" s="21" t="s">
        <v>1417</v>
      </c>
      <c r="H108" s="21" t="s">
        <v>1418</v>
      </c>
      <c r="I108" s="55"/>
      <c r="J108" s="9"/>
    </row>
    <row r="109" spans="1:10" ht="30" customHeight="1" x14ac:dyDescent="0.3">
      <c r="A109" s="5"/>
      <c r="B109" s="3"/>
      <c r="C109" s="8"/>
      <c r="D109" s="27" t="s">
        <v>1419</v>
      </c>
      <c r="E109" s="6" t="s">
        <v>1420</v>
      </c>
      <c r="F109" s="23" t="s">
        <v>1421</v>
      </c>
      <c r="G109" s="21" t="s">
        <v>1422</v>
      </c>
      <c r="H109" s="21" t="s">
        <v>1423</v>
      </c>
      <c r="I109" s="55"/>
      <c r="J109" s="9"/>
    </row>
    <row r="110" spans="1:10" ht="30" customHeight="1" x14ac:dyDescent="0.3">
      <c r="A110" s="5"/>
      <c r="B110" s="3"/>
      <c r="C110" s="8"/>
      <c r="D110" s="27" t="s">
        <v>1424</v>
      </c>
      <c r="E110" s="6" t="s">
        <v>261</v>
      </c>
      <c r="F110" s="8" t="s">
        <v>407</v>
      </c>
      <c r="G110" s="21"/>
      <c r="H110" s="21"/>
      <c r="I110" s="55"/>
      <c r="J110" s="9"/>
    </row>
    <row r="111" spans="1:10" ht="30" customHeight="1" x14ac:dyDescent="0.3">
      <c r="A111" s="5"/>
      <c r="B111" s="3"/>
      <c r="C111" s="8"/>
      <c r="D111" s="27" t="s">
        <v>1425</v>
      </c>
      <c r="E111" s="6" t="s">
        <v>1426</v>
      </c>
      <c r="F111" s="8" t="s">
        <v>1427</v>
      </c>
      <c r="G111" s="21" t="s">
        <v>1428</v>
      </c>
      <c r="H111" s="21" t="s">
        <v>670</v>
      </c>
      <c r="I111" s="55"/>
      <c r="J111" s="9"/>
    </row>
    <row r="112" spans="1:10" ht="30" customHeight="1" x14ac:dyDescent="0.3">
      <c r="A112" s="5" t="s">
        <v>654</v>
      </c>
      <c r="B112" s="3"/>
      <c r="C112" s="8"/>
      <c r="D112" s="27" t="s">
        <v>1429</v>
      </c>
      <c r="E112" s="6" t="s">
        <v>1430</v>
      </c>
      <c r="F112" s="8" t="s">
        <v>1431</v>
      </c>
      <c r="G112" s="21" t="s">
        <v>1432</v>
      </c>
      <c r="H112" s="21" t="s">
        <v>1433</v>
      </c>
      <c r="I112" s="55"/>
      <c r="J112" s="9"/>
    </row>
    <row r="113" spans="1:10" ht="30" customHeight="1" x14ac:dyDescent="0.3">
      <c r="A113" s="5"/>
      <c r="B113" s="3"/>
      <c r="C113" s="8"/>
      <c r="D113" s="27" t="s">
        <v>1434</v>
      </c>
      <c r="E113" s="6" t="s">
        <v>261</v>
      </c>
      <c r="F113" s="8" t="s">
        <v>1435</v>
      </c>
      <c r="G113" s="21"/>
      <c r="H113" s="21"/>
      <c r="I113" s="55"/>
      <c r="J113" s="9"/>
    </row>
    <row r="114" spans="1:10" ht="30" customHeight="1" x14ac:dyDescent="0.3">
      <c r="A114" s="5"/>
      <c r="B114" s="3"/>
      <c r="C114" s="8"/>
      <c r="D114" s="27" t="s">
        <v>1469</v>
      </c>
      <c r="E114" s="6"/>
      <c r="F114" s="8"/>
      <c r="G114" s="21"/>
      <c r="H114" s="21"/>
      <c r="I114" s="55"/>
      <c r="J114" s="9"/>
    </row>
    <row r="115" spans="1:10" ht="30" customHeight="1" x14ac:dyDescent="0.3">
      <c r="A115" s="5"/>
      <c r="B115" s="3"/>
      <c r="C115" s="8"/>
      <c r="D115" s="27" t="s">
        <v>1470</v>
      </c>
      <c r="E115" s="6"/>
      <c r="F115" s="8"/>
      <c r="G115" s="21"/>
      <c r="H115" s="21"/>
      <c r="I115" s="55"/>
      <c r="J115" s="9"/>
    </row>
    <row r="116" spans="1:10" ht="30" customHeight="1" x14ac:dyDescent="0.3">
      <c r="A116" s="5"/>
      <c r="B116" s="3"/>
      <c r="C116" s="8"/>
      <c r="D116" s="27" t="s">
        <v>1491</v>
      </c>
      <c r="E116" s="6" t="s">
        <v>261</v>
      </c>
      <c r="F116" s="8" t="s">
        <v>1492</v>
      </c>
      <c r="G116" s="21" t="s">
        <v>407</v>
      </c>
      <c r="H116" s="21"/>
      <c r="I116" s="55"/>
      <c r="J116" s="9"/>
    </row>
    <row r="117" spans="1:10" ht="30" customHeight="1" x14ac:dyDescent="0.3">
      <c r="A117" s="5"/>
      <c r="B117" s="3"/>
      <c r="C117" s="8"/>
      <c r="D117" s="27" t="s">
        <v>1499</v>
      </c>
      <c r="E117" s="6" t="s">
        <v>1147</v>
      </c>
      <c r="F117" s="8" t="s">
        <v>1500</v>
      </c>
      <c r="G117" s="21" t="s">
        <v>1501</v>
      </c>
      <c r="H117" s="21" t="s">
        <v>582</v>
      </c>
      <c r="I117" s="55"/>
      <c r="J117" s="9"/>
    </row>
    <row r="118" spans="1:10" ht="30" customHeight="1" x14ac:dyDescent="0.3">
      <c r="A118" s="5"/>
      <c r="B118" s="3"/>
      <c r="C118" s="8"/>
      <c r="D118" s="27" t="s">
        <v>1510</v>
      </c>
      <c r="E118" s="6" t="s">
        <v>715</v>
      </c>
      <c r="F118" s="8" t="s">
        <v>1512</v>
      </c>
      <c r="G118" s="21"/>
      <c r="H118" s="21"/>
      <c r="I118" s="55"/>
      <c r="J118" s="9"/>
    </row>
    <row r="119" spans="1:10" ht="30" customHeight="1" x14ac:dyDescent="0.3">
      <c r="A119" s="5"/>
      <c r="B119" s="3"/>
      <c r="C119" s="8"/>
      <c r="D119" s="27" t="s">
        <v>1511</v>
      </c>
      <c r="E119" s="6" t="s">
        <v>1513</v>
      </c>
      <c r="F119" s="23" t="s">
        <v>1514</v>
      </c>
      <c r="G119" s="21" t="s">
        <v>1515</v>
      </c>
      <c r="H119" s="21" t="s">
        <v>1013</v>
      </c>
      <c r="I119" s="55"/>
      <c r="J119" s="9"/>
    </row>
    <row r="120" spans="1:10" ht="30" customHeight="1" x14ac:dyDescent="0.3">
      <c r="A120" s="5"/>
      <c r="B120" s="3"/>
      <c r="C120" s="8"/>
      <c r="D120" s="27" t="s">
        <v>1516</v>
      </c>
      <c r="E120" s="6" t="s">
        <v>1517</v>
      </c>
      <c r="F120" s="8" t="s">
        <v>1518</v>
      </c>
      <c r="G120" s="21" t="s">
        <v>1519</v>
      </c>
      <c r="H120" s="21" t="s">
        <v>1520</v>
      </c>
      <c r="I120" s="55"/>
      <c r="J120" s="9"/>
    </row>
    <row r="121" spans="1:10" ht="30" customHeight="1" x14ac:dyDescent="0.3">
      <c r="A121" s="5"/>
      <c r="B121" s="3"/>
      <c r="C121" s="8"/>
      <c r="D121" s="27" t="s">
        <v>1551</v>
      </c>
      <c r="E121" s="6"/>
      <c r="F121" s="8" t="s">
        <v>1535</v>
      </c>
      <c r="G121" s="21" t="s">
        <v>1538</v>
      </c>
      <c r="H121" s="21" t="s">
        <v>1536</v>
      </c>
      <c r="I121" s="55"/>
      <c r="J121" s="9"/>
    </row>
    <row r="122" spans="1:10" ht="30" customHeight="1" x14ac:dyDescent="0.3">
      <c r="A122" s="5"/>
      <c r="B122" s="3"/>
      <c r="C122" s="8"/>
      <c r="D122" s="27" t="s">
        <v>1552</v>
      </c>
      <c r="E122" s="6" t="s">
        <v>1271</v>
      </c>
      <c r="F122" s="8" t="s">
        <v>1537</v>
      </c>
      <c r="G122" s="21" t="s">
        <v>1539</v>
      </c>
      <c r="H122" s="21" t="s">
        <v>1540</v>
      </c>
      <c r="I122" s="55"/>
      <c r="J122" s="9"/>
    </row>
    <row r="123" spans="1:10" ht="30" customHeight="1" x14ac:dyDescent="0.3">
      <c r="A123" s="5"/>
      <c r="B123" s="3"/>
      <c r="C123" s="8"/>
      <c r="D123" s="27" t="s">
        <v>1553</v>
      </c>
      <c r="E123" s="6" t="s">
        <v>1568</v>
      </c>
      <c r="F123" s="8" t="s">
        <v>1543</v>
      </c>
      <c r="G123" s="21" t="s">
        <v>1544</v>
      </c>
      <c r="H123" s="21" t="s">
        <v>1545</v>
      </c>
      <c r="I123" s="55"/>
      <c r="J123" s="9"/>
    </row>
    <row r="124" spans="1:10" ht="30" customHeight="1" x14ac:dyDescent="0.3">
      <c r="A124" s="5"/>
      <c r="B124" s="3"/>
      <c r="C124" s="8"/>
      <c r="D124" s="27" t="s">
        <v>654</v>
      </c>
      <c r="E124" s="6" t="s">
        <v>1568</v>
      </c>
      <c r="F124" s="23" t="s">
        <v>1546</v>
      </c>
      <c r="G124" s="25"/>
      <c r="H124" s="21"/>
      <c r="I124" s="55"/>
      <c r="J124" s="9"/>
    </row>
    <row r="125" spans="1:10" ht="30" customHeight="1" x14ac:dyDescent="0.3">
      <c r="A125" s="5"/>
      <c r="B125" s="3"/>
      <c r="C125" s="8"/>
      <c r="D125" s="27" t="s">
        <v>1554</v>
      </c>
      <c r="E125" s="6" t="s">
        <v>1560</v>
      </c>
      <c r="F125" s="23" t="s">
        <v>1561</v>
      </c>
      <c r="G125" s="21" t="s">
        <v>1562</v>
      </c>
      <c r="H125" s="21" t="s">
        <v>1298</v>
      </c>
      <c r="I125" s="55"/>
      <c r="J125" s="9"/>
    </row>
    <row r="126" spans="1:10" ht="30" customHeight="1" x14ac:dyDescent="0.3">
      <c r="A126" s="5"/>
      <c r="B126" s="3"/>
      <c r="C126" s="8"/>
      <c r="D126" s="27" t="s">
        <v>1555</v>
      </c>
      <c r="E126" s="8" t="s">
        <v>1556</v>
      </c>
      <c r="F126" s="8" t="s">
        <v>1557</v>
      </c>
      <c r="G126" s="21" t="s">
        <v>1558</v>
      </c>
      <c r="H126" s="21" t="s">
        <v>1559</v>
      </c>
      <c r="I126" s="55"/>
      <c r="J126" s="9"/>
    </row>
    <row r="127" spans="1:10" ht="30" customHeight="1" x14ac:dyDescent="0.3">
      <c r="A127" s="5"/>
      <c r="B127" s="3"/>
      <c r="C127" s="8"/>
      <c r="D127" s="27" t="s">
        <v>1564</v>
      </c>
      <c r="E127" s="6" t="s">
        <v>1565</v>
      </c>
      <c r="F127" s="8" t="s">
        <v>1566</v>
      </c>
      <c r="G127" s="21" t="s">
        <v>1417</v>
      </c>
      <c r="H127" s="21" t="s">
        <v>1433</v>
      </c>
      <c r="I127" s="55"/>
      <c r="J127" s="9"/>
    </row>
    <row r="128" spans="1:10" ht="30" customHeight="1" x14ac:dyDescent="0.3">
      <c r="A128" s="5"/>
      <c r="B128" s="3"/>
      <c r="C128" s="8"/>
      <c r="D128" s="27" t="s">
        <v>1567</v>
      </c>
      <c r="E128" s="6" t="s">
        <v>1568</v>
      </c>
      <c r="F128" s="8" t="s">
        <v>1569</v>
      </c>
      <c r="G128" s="21" t="s">
        <v>1538</v>
      </c>
      <c r="H128" s="21"/>
      <c r="I128" s="55"/>
      <c r="J128" s="9"/>
    </row>
    <row r="129" spans="1:10" ht="30" customHeight="1" x14ac:dyDescent="0.3">
      <c r="A129" s="5" t="s">
        <v>1582</v>
      </c>
      <c r="B129" s="3"/>
      <c r="C129" s="8"/>
      <c r="D129" s="27" t="s">
        <v>1587</v>
      </c>
      <c r="E129" s="6" t="s">
        <v>783</v>
      </c>
      <c r="F129" s="23" t="s">
        <v>654</v>
      </c>
      <c r="G129" s="21" t="s">
        <v>1589</v>
      </c>
      <c r="H129" s="21" t="s">
        <v>1013</v>
      </c>
      <c r="I129" s="55"/>
      <c r="J129" s="9"/>
    </row>
    <row r="130" spans="1:10" ht="30" customHeight="1" x14ac:dyDescent="0.3">
      <c r="A130" s="5"/>
      <c r="B130" s="3"/>
      <c r="C130" s="8"/>
      <c r="D130" s="27" t="s">
        <v>1588</v>
      </c>
      <c r="E130" s="6" t="s">
        <v>1590</v>
      </c>
      <c r="F130" s="8" t="s">
        <v>1591</v>
      </c>
      <c r="G130" s="21" t="s">
        <v>1592</v>
      </c>
      <c r="H130" s="21" t="s">
        <v>1593</v>
      </c>
      <c r="I130" s="55"/>
      <c r="J130" s="9"/>
    </row>
    <row r="131" spans="1:10" ht="30" customHeight="1" x14ac:dyDescent="0.3">
      <c r="A131" s="5"/>
      <c r="B131" s="3"/>
      <c r="C131" s="8"/>
      <c r="D131" s="27" t="s">
        <v>1605</v>
      </c>
      <c r="E131" s="27" t="s">
        <v>1615</v>
      </c>
      <c r="F131" s="8" t="s">
        <v>1616</v>
      </c>
      <c r="G131" s="21" t="s">
        <v>1562</v>
      </c>
      <c r="H131" s="21" t="s">
        <v>1617</v>
      </c>
      <c r="I131" s="55"/>
      <c r="J131" s="9"/>
    </row>
    <row r="132" spans="1:10" ht="30" customHeight="1" x14ac:dyDescent="0.3">
      <c r="A132" s="5"/>
      <c r="B132" s="3"/>
      <c r="C132" s="8"/>
      <c r="D132" s="27" t="s">
        <v>1606</v>
      </c>
      <c r="E132" s="6" t="s">
        <v>261</v>
      </c>
      <c r="F132" s="8" t="s">
        <v>1608</v>
      </c>
      <c r="G132" s="21"/>
      <c r="H132" s="21"/>
      <c r="I132" s="55"/>
      <c r="J132" s="9"/>
    </row>
    <row r="133" spans="1:10" ht="30" customHeight="1" x14ac:dyDescent="0.3">
      <c r="A133" s="5"/>
      <c r="B133" s="3"/>
      <c r="C133" s="8"/>
      <c r="D133" s="27" t="s">
        <v>1607</v>
      </c>
      <c r="E133" s="6" t="s">
        <v>261</v>
      </c>
      <c r="F133" s="8" t="s">
        <v>1609</v>
      </c>
      <c r="G133" s="21"/>
      <c r="H133" s="21"/>
      <c r="I133" s="55"/>
      <c r="J133" s="9"/>
    </row>
    <row r="134" spans="1:10" ht="30" customHeight="1" x14ac:dyDescent="0.3">
      <c r="A134" s="5"/>
      <c r="B134" s="3"/>
      <c r="C134" s="8"/>
      <c r="D134" s="27" t="s">
        <v>1610</v>
      </c>
      <c r="E134" s="6" t="s">
        <v>1611</v>
      </c>
      <c r="F134" s="8" t="s">
        <v>1612</v>
      </c>
      <c r="G134" s="21" t="s">
        <v>1613</v>
      </c>
      <c r="H134" s="21" t="s">
        <v>1614</v>
      </c>
      <c r="I134" s="55"/>
      <c r="J134" s="9"/>
    </row>
    <row r="135" spans="1:10" ht="30" customHeight="1" x14ac:dyDescent="0.3">
      <c r="A135" s="5"/>
      <c r="B135" s="3"/>
      <c r="C135" s="8"/>
      <c r="D135" s="27" t="s">
        <v>1649</v>
      </c>
      <c r="E135" s="6" t="s">
        <v>783</v>
      </c>
      <c r="F135" s="23" t="s">
        <v>1650</v>
      </c>
      <c r="G135" s="21" t="s">
        <v>1651</v>
      </c>
      <c r="H135" s="21" t="s">
        <v>1013</v>
      </c>
      <c r="I135" s="55"/>
      <c r="J135" s="9"/>
    </row>
    <row r="136" spans="1:10" ht="30" customHeight="1" x14ac:dyDescent="0.3">
      <c r="A136" s="5"/>
      <c r="B136" s="3"/>
      <c r="C136" s="8"/>
      <c r="D136" s="27" t="s">
        <v>1652</v>
      </c>
      <c r="E136" s="6" t="s">
        <v>783</v>
      </c>
      <c r="F136" s="8" t="s">
        <v>1653</v>
      </c>
      <c r="G136" s="21" t="s">
        <v>1654</v>
      </c>
      <c r="H136" s="21" t="s">
        <v>786</v>
      </c>
      <c r="I136" s="55"/>
      <c r="J136" s="9"/>
    </row>
    <row r="137" spans="1:10" ht="30" customHeight="1" x14ac:dyDescent="0.3">
      <c r="A137" s="5"/>
      <c r="B137" s="3"/>
      <c r="C137" s="8"/>
      <c r="D137" s="27" t="s">
        <v>1660</v>
      </c>
      <c r="E137" s="6" t="s">
        <v>783</v>
      </c>
      <c r="F137" s="8" t="s">
        <v>1661</v>
      </c>
      <c r="G137" s="21" t="s">
        <v>1662</v>
      </c>
      <c r="H137" s="21" t="s">
        <v>1663</v>
      </c>
      <c r="I137" s="55"/>
      <c r="J137" s="9"/>
    </row>
    <row r="138" spans="1:10" ht="30" customHeight="1" x14ac:dyDescent="0.3">
      <c r="A138" s="5" t="s">
        <v>1664</v>
      </c>
      <c r="B138" s="3"/>
      <c r="C138" s="8"/>
      <c r="D138" s="27" t="s">
        <v>1670</v>
      </c>
      <c r="E138" s="6" t="s">
        <v>261</v>
      </c>
      <c r="F138" s="8" t="s">
        <v>1671</v>
      </c>
      <c r="G138" s="21" t="s">
        <v>1672</v>
      </c>
      <c r="H138" s="21" t="s">
        <v>1673</v>
      </c>
      <c r="I138" s="55"/>
      <c r="J138" s="9"/>
    </row>
    <row r="139" spans="1:10" ht="30" customHeight="1" x14ac:dyDescent="0.3">
      <c r="A139" s="5"/>
      <c r="B139" s="3"/>
      <c r="C139" s="8"/>
      <c r="D139" s="27" t="s">
        <v>1677</v>
      </c>
      <c r="E139" s="6" t="s">
        <v>783</v>
      </c>
      <c r="F139" s="23" t="s">
        <v>1680</v>
      </c>
      <c r="G139" s="21" t="s">
        <v>1678</v>
      </c>
      <c r="H139" s="21" t="s">
        <v>1013</v>
      </c>
      <c r="I139" s="55"/>
      <c r="J139" s="9"/>
    </row>
    <row r="140" spans="1:10" ht="30" customHeight="1" x14ac:dyDescent="0.3">
      <c r="A140" s="5"/>
      <c r="B140" s="3"/>
      <c r="C140" s="8"/>
      <c r="D140" s="27" t="s">
        <v>1679</v>
      </c>
      <c r="E140" s="6" t="s">
        <v>783</v>
      </c>
      <c r="F140" s="23" t="s">
        <v>1681</v>
      </c>
      <c r="G140" s="21" t="s">
        <v>1682</v>
      </c>
      <c r="H140" s="21" t="s">
        <v>786</v>
      </c>
      <c r="I140" s="55"/>
      <c r="J140" s="9"/>
    </row>
    <row r="141" spans="1:10" ht="30" customHeight="1" x14ac:dyDescent="0.3">
      <c r="A141" s="5"/>
      <c r="B141" s="3"/>
      <c r="C141" s="8"/>
      <c r="D141" s="27" t="s">
        <v>1691</v>
      </c>
      <c r="E141" s="6" t="s">
        <v>1611</v>
      </c>
      <c r="F141" s="8" t="s">
        <v>1693</v>
      </c>
      <c r="G141" s="21" t="s">
        <v>1694</v>
      </c>
      <c r="H141" s="21" t="s">
        <v>1695</v>
      </c>
      <c r="I141" s="55"/>
      <c r="J141" s="9"/>
    </row>
    <row r="142" spans="1:10" ht="30" customHeight="1" x14ac:dyDescent="0.3">
      <c r="A142" s="5"/>
      <c r="B142" s="3"/>
      <c r="C142" s="8"/>
      <c r="D142" s="27" t="s">
        <v>1692</v>
      </c>
      <c r="E142" s="6"/>
      <c r="F142" s="8"/>
      <c r="G142" s="21"/>
      <c r="H142" s="21"/>
      <c r="I142" s="55"/>
      <c r="J142" s="9"/>
    </row>
    <row r="143" spans="1:10" ht="30" customHeight="1" x14ac:dyDescent="0.3">
      <c r="A143" s="5"/>
      <c r="B143" s="3"/>
      <c r="C143" s="8"/>
      <c r="D143" s="27" t="s">
        <v>1696</v>
      </c>
      <c r="E143" s="6" t="s">
        <v>574</v>
      </c>
      <c r="F143" s="8" t="s">
        <v>1697</v>
      </c>
      <c r="G143" s="21" t="s">
        <v>1701</v>
      </c>
      <c r="H143" s="21" t="s">
        <v>1298</v>
      </c>
      <c r="I143" s="55"/>
      <c r="J143" s="9"/>
    </row>
    <row r="144" spans="1:10" ht="30" customHeight="1" x14ac:dyDescent="0.3">
      <c r="A144" s="5"/>
      <c r="B144" s="3"/>
      <c r="C144" s="8"/>
      <c r="D144" s="27" t="s">
        <v>1698</v>
      </c>
      <c r="E144" s="6" t="s">
        <v>574</v>
      </c>
      <c r="F144" s="8" t="s">
        <v>1699</v>
      </c>
      <c r="G144" s="21" t="s">
        <v>1700</v>
      </c>
      <c r="H144" s="21" t="s">
        <v>1298</v>
      </c>
      <c r="I144" s="55" t="s">
        <v>407</v>
      </c>
      <c r="J144" s="9"/>
    </row>
    <row r="145" spans="1:10" ht="30" customHeight="1" x14ac:dyDescent="0.3">
      <c r="A145" s="5"/>
      <c r="B145" s="3"/>
      <c r="C145" s="8"/>
      <c r="D145" s="27" t="s">
        <v>1702</v>
      </c>
      <c r="E145" s="6" t="s">
        <v>579</v>
      </c>
      <c r="F145" s="8" t="s">
        <v>1703</v>
      </c>
      <c r="G145" s="21" t="s">
        <v>1704</v>
      </c>
      <c r="H145" s="21" t="s">
        <v>1705</v>
      </c>
      <c r="I145" s="55"/>
      <c r="J145" s="9"/>
    </row>
    <row r="146" spans="1:10" ht="30" customHeight="1" x14ac:dyDescent="0.3">
      <c r="A146" s="5"/>
      <c r="B146" s="3"/>
      <c r="C146" s="8"/>
      <c r="D146" s="27" t="s">
        <v>1707</v>
      </c>
      <c r="E146" s="6" t="s">
        <v>261</v>
      </c>
      <c r="F146" s="8" t="s">
        <v>1709</v>
      </c>
      <c r="G146" s="21" t="s">
        <v>1713</v>
      </c>
      <c r="H146" s="21" t="s">
        <v>1710</v>
      </c>
      <c r="I146" s="55"/>
      <c r="J146" s="9"/>
    </row>
    <row r="147" spans="1:10" ht="30" customHeight="1" x14ac:dyDescent="0.3">
      <c r="A147" s="5"/>
      <c r="B147" s="3"/>
      <c r="C147" s="8"/>
      <c r="D147" s="27" t="s">
        <v>1708</v>
      </c>
      <c r="E147" s="6" t="s">
        <v>261</v>
      </c>
      <c r="F147" s="8" t="s">
        <v>1711</v>
      </c>
      <c r="G147" s="21" t="s">
        <v>1712</v>
      </c>
      <c r="H147" s="21" t="s">
        <v>1710</v>
      </c>
      <c r="I147" s="55"/>
      <c r="J147" s="9"/>
    </row>
    <row r="148" spans="1:10" ht="30" customHeight="1" x14ac:dyDescent="0.3">
      <c r="A148" s="5"/>
      <c r="B148" s="3"/>
      <c r="C148" s="8"/>
      <c r="D148" s="27" t="s">
        <v>1720</v>
      </c>
      <c r="E148" s="6" t="s">
        <v>1721</v>
      </c>
      <c r="F148" s="6" t="s">
        <v>1722</v>
      </c>
      <c r="G148" s="21"/>
      <c r="H148" s="21" t="s">
        <v>1433</v>
      </c>
      <c r="I148" s="55"/>
      <c r="J148" s="9"/>
    </row>
    <row r="149" spans="1:10" ht="30" customHeight="1" x14ac:dyDescent="0.3">
      <c r="A149" s="5" t="s">
        <v>1731</v>
      </c>
      <c r="B149" s="3"/>
      <c r="C149" s="8"/>
      <c r="D149" s="27" t="s">
        <v>1732</v>
      </c>
      <c r="E149" s="6" t="s">
        <v>1733</v>
      </c>
      <c r="F149" s="8" t="s">
        <v>1734</v>
      </c>
      <c r="G149" s="21" t="s">
        <v>1735</v>
      </c>
      <c r="H149" s="21" t="s">
        <v>1736</v>
      </c>
      <c r="I149" s="55"/>
      <c r="J149" s="9"/>
    </row>
    <row r="150" spans="1:10" ht="30" customHeight="1" x14ac:dyDescent="0.3">
      <c r="A150" s="5"/>
      <c r="B150" s="3"/>
      <c r="C150" s="8"/>
      <c r="D150" s="27" t="s">
        <v>1737</v>
      </c>
      <c r="E150" s="6" t="s">
        <v>261</v>
      </c>
      <c r="F150" s="8" t="s">
        <v>1738</v>
      </c>
      <c r="G150" s="21" t="s">
        <v>1743</v>
      </c>
      <c r="H150" s="21" t="s">
        <v>1710</v>
      </c>
      <c r="I150" s="55"/>
      <c r="J150" s="9"/>
    </row>
    <row r="151" spans="1:10" ht="30" customHeight="1" x14ac:dyDescent="0.3">
      <c r="A151" s="5"/>
      <c r="B151" s="3"/>
      <c r="C151" s="8"/>
      <c r="D151" s="27" t="s">
        <v>1740</v>
      </c>
      <c r="E151" s="6" t="s">
        <v>261</v>
      </c>
      <c r="F151" s="8" t="s">
        <v>1741</v>
      </c>
      <c r="G151" s="21" t="s">
        <v>1742</v>
      </c>
      <c r="H151" s="21" t="s">
        <v>1710</v>
      </c>
      <c r="I151" s="55"/>
      <c r="J151" s="9"/>
    </row>
    <row r="152" spans="1:10" ht="30" customHeight="1" x14ac:dyDescent="0.3">
      <c r="A152" s="5"/>
      <c r="B152" s="3"/>
      <c r="C152" s="8"/>
      <c r="D152" s="27" t="s">
        <v>1755</v>
      </c>
      <c r="E152" s="6" t="s">
        <v>261</v>
      </c>
      <c r="F152" s="8" t="s">
        <v>1756</v>
      </c>
      <c r="G152" s="3"/>
      <c r="H152" s="3"/>
      <c r="I152" s="55"/>
      <c r="J152" s="9"/>
    </row>
    <row r="153" spans="1:10" ht="30" customHeight="1" x14ac:dyDescent="0.3">
      <c r="A153" s="5" t="s">
        <v>1795</v>
      </c>
      <c r="B153" s="3"/>
      <c r="C153" s="8"/>
      <c r="D153" s="27" t="s">
        <v>1797</v>
      </c>
      <c r="E153" s="6" t="s">
        <v>1798</v>
      </c>
      <c r="F153" s="8" t="s">
        <v>1799</v>
      </c>
      <c r="G153" s="3"/>
      <c r="H153" s="3"/>
      <c r="I153" s="55"/>
      <c r="J153" s="9"/>
    </row>
    <row r="154" spans="1:10" ht="30" customHeight="1" x14ac:dyDescent="0.3">
      <c r="A154" s="5"/>
      <c r="B154" s="3"/>
      <c r="C154" s="8"/>
      <c r="D154" s="27" t="s">
        <v>1811</v>
      </c>
      <c r="E154" s="6" t="s">
        <v>1813</v>
      </c>
      <c r="F154" s="23" t="s">
        <v>1814</v>
      </c>
      <c r="G154" s="3"/>
      <c r="H154" s="3"/>
      <c r="I154" s="55"/>
      <c r="J154" s="9"/>
    </row>
    <row r="155" spans="1:10" ht="30" customHeight="1" x14ac:dyDescent="0.3">
      <c r="A155" s="5"/>
      <c r="B155" s="3"/>
      <c r="C155" s="8"/>
      <c r="D155" s="27" t="s">
        <v>1812</v>
      </c>
      <c r="E155" s="6" t="s">
        <v>1105</v>
      </c>
      <c r="F155" s="23" t="s">
        <v>1815</v>
      </c>
      <c r="G155" s="21" t="s">
        <v>1816</v>
      </c>
      <c r="H155" s="25" t="s">
        <v>235</v>
      </c>
      <c r="I155" s="55"/>
      <c r="J155" s="9"/>
    </row>
    <row r="156" spans="1:10" ht="30" customHeight="1" x14ac:dyDescent="0.3">
      <c r="A156" s="5" t="s">
        <v>1847</v>
      </c>
      <c r="B156" s="3"/>
      <c r="C156" s="8"/>
      <c r="D156" s="27" t="s">
        <v>1853</v>
      </c>
      <c r="E156" s="6"/>
      <c r="F156" s="8" t="s">
        <v>1841</v>
      </c>
      <c r="G156" s="3"/>
      <c r="H156" s="3" t="s">
        <v>407</v>
      </c>
      <c r="I156" s="55"/>
      <c r="J156" s="9"/>
    </row>
    <row r="157" spans="1:10" ht="30" customHeight="1" x14ac:dyDescent="0.3">
      <c r="A157" s="5"/>
      <c r="B157" s="3"/>
      <c r="C157" s="8"/>
      <c r="D157" s="27" t="s">
        <v>1854</v>
      </c>
      <c r="E157" s="6"/>
      <c r="F157" s="8"/>
      <c r="G157" s="3"/>
      <c r="H157" s="3"/>
      <c r="I157" s="55"/>
      <c r="J157" s="9"/>
    </row>
    <row r="158" spans="1:10" ht="30" customHeight="1" x14ac:dyDescent="0.3">
      <c r="A158" s="5"/>
      <c r="B158" s="3"/>
      <c r="C158" s="8"/>
      <c r="D158" s="27" t="s">
        <v>1855</v>
      </c>
      <c r="E158" s="6"/>
      <c r="F158" s="8"/>
      <c r="G158" s="3"/>
      <c r="H158" s="3"/>
      <c r="I158" s="55"/>
      <c r="J158" s="9"/>
    </row>
    <row r="159" spans="1:10" ht="30" customHeight="1" x14ac:dyDescent="0.3">
      <c r="A159" s="5"/>
      <c r="B159" s="3"/>
      <c r="C159" s="8"/>
      <c r="D159" s="27" t="s">
        <v>1856</v>
      </c>
      <c r="E159" s="6"/>
      <c r="F159" s="8"/>
      <c r="G159" s="3"/>
      <c r="H159" s="3"/>
      <c r="I159" s="55"/>
      <c r="J159" s="9"/>
    </row>
    <row r="160" spans="1:10" ht="30" customHeight="1" x14ac:dyDescent="0.3">
      <c r="A160" s="5"/>
      <c r="B160" s="3"/>
      <c r="C160" s="8"/>
      <c r="D160" s="27" t="s">
        <v>1857</v>
      </c>
      <c r="E160" s="6"/>
      <c r="F160" s="8"/>
      <c r="G160" s="3"/>
      <c r="H160" s="3"/>
      <c r="I160" s="55"/>
      <c r="J160" s="9"/>
    </row>
    <row r="161" spans="1:10" ht="30" customHeight="1" x14ac:dyDescent="0.3">
      <c r="A161" s="5"/>
      <c r="B161" s="3"/>
      <c r="C161" s="8"/>
      <c r="D161" s="27" t="s">
        <v>1858</v>
      </c>
      <c r="E161" s="6" t="s">
        <v>261</v>
      </c>
      <c r="F161" s="8" t="s">
        <v>1859</v>
      </c>
      <c r="G161" s="3"/>
      <c r="H161" s="3"/>
      <c r="I161" s="55"/>
      <c r="J161" s="9"/>
    </row>
    <row r="162" spans="1:10" ht="30" customHeight="1" x14ac:dyDescent="0.3">
      <c r="A162" s="5"/>
      <c r="B162" s="3"/>
      <c r="C162" s="8"/>
      <c r="D162" s="27" t="s">
        <v>1892</v>
      </c>
      <c r="E162" s="6"/>
      <c r="F162" s="8"/>
      <c r="G162" s="3"/>
      <c r="H162" s="3"/>
      <c r="I162" s="55"/>
      <c r="J162" s="9"/>
    </row>
    <row r="163" spans="1:10" ht="30" customHeight="1" x14ac:dyDescent="0.3">
      <c r="A163" s="5"/>
      <c r="B163" s="3"/>
      <c r="C163" s="8"/>
      <c r="D163" s="27" t="s">
        <v>1893</v>
      </c>
      <c r="E163" s="6"/>
      <c r="F163" s="8"/>
      <c r="G163" s="3"/>
      <c r="H163" s="3"/>
      <c r="I163" s="55"/>
      <c r="J163" s="9"/>
    </row>
    <row r="164" spans="1:10" ht="30" customHeight="1" x14ac:dyDescent="0.3">
      <c r="A164" s="5"/>
      <c r="B164" s="3"/>
      <c r="C164" s="8"/>
      <c r="D164" s="27" t="s">
        <v>1894</v>
      </c>
      <c r="E164" s="6"/>
      <c r="F164" s="8"/>
      <c r="G164" s="3"/>
      <c r="H164" s="3"/>
      <c r="I164" s="9"/>
    </row>
    <row r="165" spans="1:10" ht="30" customHeight="1" x14ac:dyDescent="0.3">
      <c r="A165" s="5"/>
      <c r="B165" s="3"/>
      <c r="C165" s="8"/>
      <c r="D165" s="27" t="s">
        <v>1895</v>
      </c>
      <c r="E165" s="6"/>
      <c r="F165" s="8"/>
      <c r="G165" s="3"/>
      <c r="H165" s="3"/>
      <c r="I165" s="9"/>
    </row>
    <row r="166" spans="1:10" ht="30" customHeight="1" x14ac:dyDescent="0.3">
      <c r="A166" s="5"/>
      <c r="B166" s="3"/>
      <c r="C166" s="8"/>
      <c r="D166" s="27" t="s">
        <v>1896</v>
      </c>
      <c r="E166" s="6"/>
      <c r="F166" s="8"/>
      <c r="G166" s="3"/>
      <c r="H166" s="3"/>
      <c r="I166" s="9"/>
    </row>
    <row r="167" spans="1:10" ht="30" customHeight="1" x14ac:dyDescent="0.3">
      <c r="A167" s="5"/>
      <c r="B167" s="3"/>
      <c r="C167" s="8"/>
      <c r="D167" s="27" t="s">
        <v>1897</v>
      </c>
      <c r="E167" s="6"/>
      <c r="F167" s="8"/>
      <c r="G167" s="3"/>
      <c r="H167" s="3"/>
      <c r="I167" s="9"/>
    </row>
    <row r="168" spans="1:10" ht="30" customHeight="1" x14ac:dyDescent="0.3">
      <c r="A168" s="5"/>
      <c r="B168" s="3"/>
      <c r="C168" s="8"/>
      <c r="D168" s="27" t="s">
        <v>1898</v>
      </c>
      <c r="E168" s="6"/>
      <c r="F168" s="8"/>
      <c r="G168" s="3"/>
      <c r="H168" s="3"/>
      <c r="I168" s="9"/>
    </row>
    <row r="169" spans="1:10" ht="30" customHeight="1" x14ac:dyDescent="0.3">
      <c r="A169" s="5"/>
      <c r="B169" s="3"/>
      <c r="C169" s="8"/>
      <c r="D169" s="27" t="s">
        <v>1899</v>
      </c>
      <c r="E169" s="6"/>
      <c r="F169" s="8"/>
      <c r="G169" s="3"/>
      <c r="H169" s="3"/>
      <c r="I169" s="9"/>
    </row>
    <row r="170" spans="1:10" ht="30" customHeight="1" x14ac:dyDescent="0.3">
      <c r="A170" s="5"/>
      <c r="B170" s="3"/>
      <c r="C170" s="8"/>
      <c r="D170" s="27" t="s">
        <v>1900</v>
      </c>
      <c r="E170" s="6"/>
      <c r="F170" s="8"/>
      <c r="G170" s="3"/>
      <c r="H170" s="3"/>
      <c r="I170" s="9"/>
    </row>
    <row r="171" spans="1:10" ht="30" customHeight="1" x14ac:dyDescent="0.3">
      <c r="A171" s="5"/>
      <c r="B171" s="3"/>
      <c r="C171" s="8"/>
      <c r="D171" s="27" t="s">
        <v>1901</v>
      </c>
      <c r="E171" s="6"/>
      <c r="F171" s="8"/>
      <c r="G171" s="3"/>
      <c r="H171" s="3"/>
      <c r="I171" s="9"/>
    </row>
    <row r="172" spans="1:10" ht="30" customHeight="1" x14ac:dyDescent="0.3">
      <c r="A172" s="5"/>
      <c r="B172" s="3"/>
      <c r="C172" s="8"/>
      <c r="D172" s="27" t="s">
        <v>1902</v>
      </c>
      <c r="E172" s="6" t="s">
        <v>1390</v>
      </c>
      <c r="F172" s="8" t="s">
        <v>1975</v>
      </c>
      <c r="G172" s="3" t="s">
        <v>1976</v>
      </c>
      <c r="H172" s="3" t="s">
        <v>1977</v>
      </c>
      <c r="I172" s="9"/>
    </row>
    <row r="173" spans="1:10" ht="30" customHeight="1" x14ac:dyDescent="0.3">
      <c r="A173" s="5"/>
      <c r="B173" s="3"/>
      <c r="C173" s="10"/>
      <c r="D173" s="27" t="s">
        <v>1903</v>
      </c>
      <c r="E173" s="6"/>
      <c r="F173" s="8"/>
      <c r="G173" s="3"/>
      <c r="H173" s="3"/>
      <c r="I173" s="9"/>
    </row>
    <row r="174" spans="1:10" ht="30" customHeight="1" x14ac:dyDescent="0.3">
      <c r="A174" s="5"/>
      <c r="B174" s="3"/>
      <c r="C174" s="10"/>
      <c r="D174" s="27" t="s">
        <v>1904</v>
      </c>
      <c r="E174" s="6"/>
      <c r="F174" s="8"/>
      <c r="G174" s="3"/>
      <c r="H174" s="3"/>
      <c r="I174" s="9"/>
    </row>
    <row r="175" spans="1:10" ht="30" customHeight="1" x14ac:dyDescent="0.3">
      <c r="A175" s="5"/>
      <c r="B175" s="3"/>
      <c r="C175" s="10"/>
      <c r="D175" s="27" t="s">
        <v>1905</v>
      </c>
      <c r="E175" s="6" t="s">
        <v>1914</v>
      </c>
      <c r="F175" s="8"/>
      <c r="G175" s="3"/>
      <c r="H175" s="3"/>
      <c r="I175" s="9"/>
    </row>
    <row r="176" spans="1:10" ht="30" customHeight="1" x14ac:dyDescent="0.3">
      <c r="A176" s="5"/>
      <c r="B176" s="3"/>
      <c r="C176" s="10"/>
      <c r="D176" s="27" t="s">
        <v>1906</v>
      </c>
      <c r="E176" s="6" t="s">
        <v>1611</v>
      </c>
      <c r="F176" s="8" t="s">
        <v>1969</v>
      </c>
      <c r="G176" s="3" t="s">
        <v>1970</v>
      </c>
      <c r="H176" s="3" t="s">
        <v>1971</v>
      </c>
      <c r="I176" s="9"/>
    </row>
    <row r="177" spans="1:9" ht="30" customHeight="1" x14ac:dyDescent="0.3">
      <c r="A177" s="5"/>
      <c r="B177" s="3"/>
      <c r="C177" s="10"/>
      <c r="D177" s="27" t="s">
        <v>1880</v>
      </c>
      <c r="E177" s="6" t="s">
        <v>783</v>
      </c>
      <c r="F177" s="8" t="s">
        <v>1881</v>
      </c>
      <c r="G177" s="3" t="s">
        <v>1882</v>
      </c>
      <c r="H177" s="3"/>
      <c r="I177" s="9"/>
    </row>
    <row r="178" spans="1:9" ht="30" customHeight="1" x14ac:dyDescent="0.3">
      <c r="A178" s="5"/>
      <c r="B178" s="3"/>
      <c r="C178" s="10"/>
      <c r="D178" s="27" t="s">
        <v>1907</v>
      </c>
      <c r="E178" s="6"/>
      <c r="F178" s="8"/>
      <c r="G178" s="3"/>
      <c r="H178" s="3"/>
      <c r="I178" s="9"/>
    </row>
    <row r="179" spans="1:9" ht="30" customHeight="1" x14ac:dyDescent="0.3">
      <c r="A179" s="5"/>
      <c r="B179" s="3"/>
      <c r="C179" s="10"/>
      <c r="D179" s="27" t="s">
        <v>1908</v>
      </c>
      <c r="E179" s="6" t="s">
        <v>261</v>
      </c>
      <c r="F179" s="8" t="s">
        <v>1909</v>
      </c>
      <c r="G179" s="3"/>
      <c r="H179" s="3"/>
      <c r="I179" s="9"/>
    </row>
    <row r="180" spans="1:9" ht="30" customHeight="1" x14ac:dyDescent="0.3">
      <c r="A180" s="5"/>
      <c r="B180" s="3"/>
      <c r="C180" s="10"/>
      <c r="D180" s="27" t="s">
        <v>1910</v>
      </c>
      <c r="E180" s="6" t="s">
        <v>1390</v>
      </c>
      <c r="F180" s="23" t="s">
        <v>1911</v>
      </c>
      <c r="G180" s="3"/>
      <c r="H180" s="3"/>
      <c r="I180" s="9"/>
    </row>
    <row r="181" spans="1:9" ht="30" customHeight="1" x14ac:dyDescent="0.3">
      <c r="A181" s="5"/>
      <c r="B181" s="3"/>
      <c r="C181" s="9"/>
      <c r="D181" s="27" t="s">
        <v>1930</v>
      </c>
      <c r="F181" s="75" t="s">
        <v>1931</v>
      </c>
      <c r="G181" s="3" t="s">
        <v>1932</v>
      </c>
      <c r="H181" s="3"/>
      <c r="I181" s="9"/>
    </row>
    <row r="182" spans="1:9" ht="30" customHeight="1" x14ac:dyDescent="0.3">
      <c r="A182" s="5"/>
      <c r="B182" s="3"/>
      <c r="C182" s="9"/>
      <c r="D182" s="27" t="s">
        <v>1933</v>
      </c>
      <c r="E182" s="6"/>
      <c r="F182" s="8"/>
      <c r="G182" s="3"/>
      <c r="H182" s="3"/>
      <c r="I182" s="9"/>
    </row>
    <row r="183" spans="1:9" ht="30" customHeight="1" x14ac:dyDescent="0.3">
      <c r="A183" s="5"/>
      <c r="B183" s="3"/>
      <c r="C183" s="9"/>
      <c r="D183" s="27" t="s">
        <v>1934</v>
      </c>
      <c r="E183" s="6" t="s">
        <v>1390</v>
      </c>
      <c r="F183" s="23" t="s">
        <v>1941</v>
      </c>
      <c r="G183" s="3"/>
      <c r="H183" s="3"/>
      <c r="I183" s="9"/>
    </row>
    <row r="184" spans="1:9" ht="132" customHeight="1" x14ac:dyDescent="0.3">
      <c r="A184" s="5"/>
      <c r="B184" s="3"/>
      <c r="C184" s="9"/>
      <c r="D184" s="27" t="s">
        <v>1935</v>
      </c>
      <c r="E184" s="6" t="s">
        <v>1393</v>
      </c>
      <c r="F184" s="8" t="s">
        <v>1942</v>
      </c>
      <c r="G184" s="3" t="s">
        <v>1943</v>
      </c>
      <c r="H184" s="3" t="s">
        <v>1944</v>
      </c>
      <c r="I184" s="9"/>
    </row>
    <row r="185" spans="1:9" x14ac:dyDescent="0.3">
      <c r="D185" s="27" t="s">
        <v>1936</v>
      </c>
      <c r="E185" s="6" t="s">
        <v>1937</v>
      </c>
      <c r="F185" s="8" t="s">
        <v>1938</v>
      </c>
    </row>
    <row r="186" spans="1:9" ht="30" customHeight="1" x14ac:dyDescent="0.3">
      <c r="A186" s="5"/>
      <c r="B186" s="3"/>
      <c r="C186" s="9"/>
      <c r="D186" s="27" t="s">
        <v>1945</v>
      </c>
      <c r="E186" s="6" t="s">
        <v>1813</v>
      </c>
      <c r="F186" s="23" t="s">
        <v>1946</v>
      </c>
      <c r="G186" s="3"/>
      <c r="H186" s="3"/>
      <c r="I186" s="9"/>
    </row>
    <row r="187" spans="1:9" ht="30" customHeight="1" x14ac:dyDescent="0.3">
      <c r="A187" s="5"/>
      <c r="B187" s="3"/>
      <c r="C187" s="9"/>
      <c r="D187" s="27" t="s">
        <v>1947</v>
      </c>
      <c r="E187" s="6" t="s">
        <v>1948</v>
      </c>
      <c r="F187" s="8" t="s">
        <v>1958</v>
      </c>
      <c r="G187" s="3"/>
      <c r="H187" s="3"/>
      <c r="I187" s="9"/>
    </row>
    <row r="188" spans="1:9" ht="30" customHeight="1" x14ac:dyDescent="0.3">
      <c r="A188" s="5"/>
      <c r="B188" s="3"/>
      <c r="C188" s="9"/>
      <c r="D188" s="27" t="s">
        <v>1949</v>
      </c>
      <c r="E188" s="6" t="s">
        <v>261</v>
      </c>
      <c r="F188" s="8" t="s">
        <v>1950</v>
      </c>
      <c r="G188" s="3" t="s">
        <v>407</v>
      </c>
      <c r="H188" s="3"/>
      <c r="I188" s="9"/>
    </row>
    <row r="189" spans="1:9" ht="30" customHeight="1" x14ac:dyDescent="0.3">
      <c r="A189" s="5"/>
      <c r="B189" s="3"/>
      <c r="C189" s="9"/>
      <c r="D189" s="27" t="s">
        <v>1951</v>
      </c>
      <c r="E189" s="6" t="s">
        <v>261</v>
      </c>
      <c r="F189" s="23" t="s">
        <v>1972</v>
      </c>
      <c r="G189" s="3" t="s">
        <v>1973</v>
      </c>
      <c r="H189" s="3" t="s">
        <v>1974</v>
      </c>
      <c r="I189" s="9"/>
    </row>
    <row r="190" spans="1:9" ht="30" customHeight="1" x14ac:dyDescent="0.3">
      <c r="A190" s="5"/>
      <c r="B190" s="3"/>
      <c r="C190" s="9"/>
      <c r="D190" s="27" t="s">
        <v>1952</v>
      </c>
      <c r="E190" s="6" t="s">
        <v>1914</v>
      </c>
      <c r="F190" s="8" t="s">
        <v>1954</v>
      </c>
      <c r="G190" s="3" t="s">
        <v>1955</v>
      </c>
      <c r="H190" s="3" t="s">
        <v>407</v>
      </c>
      <c r="I190" s="9"/>
    </row>
    <row r="191" spans="1:9" ht="30" customHeight="1" x14ac:dyDescent="0.3">
      <c r="A191" s="5"/>
      <c r="B191" s="3"/>
      <c r="C191" s="9"/>
      <c r="D191" s="27" t="s">
        <v>1953</v>
      </c>
      <c r="E191" s="6" t="s">
        <v>1914</v>
      </c>
      <c r="F191" s="23" t="s">
        <v>1956</v>
      </c>
      <c r="G191" s="3" t="s">
        <v>1957</v>
      </c>
      <c r="H191" s="3" t="s">
        <v>1663</v>
      </c>
      <c r="I191" s="9"/>
    </row>
    <row r="192" spans="1:9" ht="30" customHeight="1" x14ac:dyDescent="0.3">
      <c r="A192" s="5"/>
      <c r="B192" s="3"/>
      <c r="C192" s="9"/>
      <c r="D192" s="27" t="s">
        <v>1991</v>
      </c>
      <c r="E192" s="6"/>
      <c r="F192" s="8"/>
      <c r="G192" s="3"/>
      <c r="H192" s="3"/>
      <c r="I192" s="9"/>
    </row>
    <row r="193" spans="1:9" ht="30" customHeight="1" x14ac:dyDescent="0.3">
      <c r="A193" s="5"/>
      <c r="B193" s="3"/>
      <c r="C193" s="9"/>
      <c r="D193" s="27" t="s">
        <v>1992</v>
      </c>
      <c r="E193" s="6"/>
      <c r="F193" s="8"/>
      <c r="G193" s="3"/>
      <c r="H193" s="3"/>
      <c r="I193" s="9"/>
    </row>
    <row r="194" spans="1:9" ht="30" customHeight="1" x14ac:dyDescent="0.3">
      <c r="A194" s="5" t="s">
        <v>2046</v>
      </c>
      <c r="B194" s="3"/>
      <c r="C194" s="9"/>
      <c r="D194" s="27" t="s">
        <v>1993</v>
      </c>
      <c r="E194" s="6" t="s">
        <v>1147</v>
      </c>
      <c r="F194" s="8" t="s">
        <v>1994</v>
      </c>
      <c r="G194" s="3"/>
      <c r="H194" s="3"/>
      <c r="I194" s="9"/>
    </row>
    <row r="195" spans="1:9" ht="30" customHeight="1" x14ac:dyDescent="0.3">
      <c r="A195" s="5"/>
      <c r="B195" s="3"/>
      <c r="C195" s="9"/>
      <c r="D195" s="27" t="s">
        <v>2040</v>
      </c>
      <c r="E195" s="6" t="s">
        <v>1615</v>
      </c>
      <c r="F195" s="23" t="s">
        <v>2041</v>
      </c>
      <c r="G195" s="3"/>
      <c r="H195" s="3"/>
      <c r="I195" s="9"/>
    </row>
    <row r="196" spans="1:9" ht="30" customHeight="1" x14ac:dyDescent="0.3">
      <c r="A196" s="5"/>
      <c r="B196" s="3"/>
      <c r="C196" s="9"/>
      <c r="D196" s="27" t="s">
        <v>2042</v>
      </c>
      <c r="E196" s="6" t="s">
        <v>2043</v>
      </c>
      <c r="F196" s="8" t="s">
        <v>2044</v>
      </c>
      <c r="G196" s="3" t="s">
        <v>2045</v>
      </c>
      <c r="H196" s="3" t="s">
        <v>235</v>
      </c>
      <c r="I196" s="9"/>
    </row>
    <row r="197" spans="1:9" ht="30" customHeight="1" x14ac:dyDescent="0.3">
      <c r="A197" s="5"/>
      <c r="B197" s="3"/>
      <c r="C197" s="9"/>
      <c r="D197" s="27" t="s">
        <v>2047</v>
      </c>
      <c r="E197" s="6" t="s">
        <v>783</v>
      </c>
      <c r="F197" s="8" t="s">
        <v>2053</v>
      </c>
      <c r="G197" s="3" t="s">
        <v>2054</v>
      </c>
      <c r="H197" s="3" t="s">
        <v>1013</v>
      </c>
      <c r="I197" s="9"/>
    </row>
    <row r="198" spans="1:9" ht="30" customHeight="1" x14ac:dyDescent="0.3">
      <c r="A198" s="5"/>
      <c r="B198" s="3"/>
      <c r="C198" s="9"/>
      <c r="D198" s="27" t="s">
        <v>2048</v>
      </c>
      <c r="E198" s="6" t="s">
        <v>783</v>
      </c>
      <c r="F198" s="23" t="s">
        <v>2055</v>
      </c>
      <c r="G198" s="3" t="s">
        <v>2056</v>
      </c>
      <c r="H198" s="3" t="s">
        <v>1013</v>
      </c>
      <c r="I198" s="9"/>
    </row>
    <row r="199" spans="1:9" ht="30" customHeight="1" x14ac:dyDescent="0.3">
      <c r="A199" s="5"/>
      <c r="B199" s="3"/>
      <c r="C199" s="9"/>
      <c r="D199" s="27" t="s">
        <v>2049</v>
      </c>
      <c r="E199" s="6" t="s">
        <v>783</v>
      </c>
      <c r="F199" s="8" t="s">
        <v>2057</v>
      </c>
      <c r="G199" s="3" t="s">
        <v>2058</v>
      </c>
      <c r="H199" s="3" t="s">
        <v>1013</v>
      </c>
      <c r="I199" s="9"/>
    </row>
    <row r="200" spans="1:9" ht="30" customHeight="1" x14ac:dyDescent="0.3">
      <c r="A200" s="5"/>
      <c r="B200" s="3"/>
      <c r="C200" s="9"/>
      <c r="D200" s="27" t="s">
        <v>2050</v>
      </c>
      <c r="E200" s="6"/>
      <c r="F200" s="8"/>
      <c r="G200" s="3"/>
      <c r="H200" s="3"/>
      <c r="I200" s="9"/>
    </row>
    <row r="201" spans="1:9" ht="30" customHeight="1" x14ac:dyDescent="0.3">
      <c r="A201" s="5"/>
      <c r="B201" s="3"/>
      <c r="C201" s="9"/>
      <c r="D201" s="27" t="s">
        <v>2051</v>
      </c>
      <c r="E201" s="6" t="s">
        <v>783</v>
      </c>
      <c r="F201" s="8" t="s">
        <v>2059</v>
      </c>
      <c r="G201" s="3" t="s">
        <v>2060</v>
      </c>
      <c r="H201" s="3" t="s">
        <v>1013</v>
      </c>
      <c r="I201" s="9"/>
    </row>
    <row r="202" spans="1:9" ht="30" customHeight="1" x14ac:dyDescent="0.3">
      <c r="A202" s="5"/>
      <c r="B202" s="3"/>
      <c r="C202" s="9"/>
      <c r="D202" s="27" t="s">
        <v>2052</v>
      </c>
      <c r="E202" s="3" t="s">
        <v>783</v>
      </c>
      <c r="F202" s="23" t="s">
        <v>2061</v>
      </c>
      <c r="G202" s="3" t="s">
        <v>2060</v>
      </c>
      <c r="H202" s="3" t="s">
        <v>1013</v>
      </c>
      <c r="I202" s="9"/>
    </row>
    <row r="203" spans="1:9" ht="30" customHeight="1" x14ac:dyDescent="0.3">
      <c r="A203" s="5" t="s">
        <v>2062</v>
      </c>
      <c r="B203" s="3"/>
      <c r="C203" s="9"/>
      <c r="D203" s="27" t="s">
        <v>2070</v>
      </c>
      <c r="E203" s="3" t="s">
        <v>783</v>
      </c>
      <c r="F203" s="23" t="s">
        <v>2071</v>
      </c>
      <c r="G203" s="3" t="s">
        <v>2072</v>
      </c>
      <c r="H203" s="3" t="s">
        <v>1013</v>
      </c>
      <c r="I203" s="9"/>
    </row>
    <row r="204" spans="1:9" ht="30" customHeight="1" x14ac:dyDescent="0.3">
      <c r="A204" s="5"/>
      <c r="B204" s="3"/>
      <c r="C204" s="9"/>
      <c r="D204" s="27" t="s">
        <v>2078</v>
      </c>
      <c r="E204" s="6" t="s">
        <v>2079</v>
      </c>
      <c r="F204" s="23" t="s">
        <v>2080</v>
      </c>
      <c r="G204" s="3" t="s">
        <v>2081</v>
      </c>
      <c r="H204" s="3" t="s">
        <v>2082</v>
      </c>
      <c r="I204" s="9"/>
    </row>
    <row r="205" spans="1:9" ht="30" customHeight="1" x14ac:dyDescent="0.3">
      <c r="A205" s="5"/>
      <c r="B205" s="3"/>
      <c r="C205" s="9"/>
      <c r="D205" s="27" t="s">
        <v>2090</v>
      </c>
      <c r="E205" s="6" t="s">
        <v>574</v>
      </c>
      <c r="F205" s="8" t="s">
        <v>2084</v>
      </c>
      <c r="G205" s="3" t="s">
        <v>2085</v>
      </c>
      <c r="H205" s="3" t="s">
        <v>2086</v>
      </c>
      <c r="I205" s="9"/>
    </row>
    <row r="206" spans="1:9" ht="30" customHeight="1" x14ac:dyDescent="0.3">
      <c r="A206" s="5"/>
      <c r="B206" s="3"/>
      <c r="C206" s="9"/>
      <c r="D206" s="27" t="s">
        <v>2090</v>
      </c>
      <c r="E206" s="6" t="s">
        <v>574</v>
      </c>
      <c r="F206" s="8" t="s">
        <v>2087</v>
      </c>
      <c r="G206" s="3" t="s">
        <v>2088</v>
      </c>
      <c r="H206" s="3" t="s">
        <v>2089</v>
      </c>
      <c r="I206" s="9"/>
    </row>
    <row r="207" spans="1:9" ht="30" customHeight="1" x14ac:dyDescent="0.3">
      <c r="A207" s="5"/>
      <c r="B207" s="3"/>
      <c r="C207" s="9"/>
      <c r="D207" s="27" t="s">
        <v>2092</v>
      </c>
      <c r="E207" s="6" t="s">
        <v>2094</v>
      </c>
      <c r="F207" s="23" t="s">
        <v>2095</v>
      </c>
      <c r="G207" s="3" t="s">
        <v>2096</v>
      </c>
      <c r="H207" s="3"/>
      <c r="I207" s="9"/>
    </row>
    <row r="208" spans="1:9" ht="30" customHeight="1" x14ac:dyDescent="0.3">
      <c r="A208" s="5"/>
      <c r="B208" s="3"/>
      <c r="C208" s="9"/>
      <c r="D208" s="27" t="s">
        <v>2093</v>
      </c>
      <c r="E208" s="6" t="s">
        <v>1390</v>
      </c>
      <c r="F208" s="23" t="s">
        <v>2098</v>
      </c>
      <c r="G208" s="3" t="s">
        <v>2069</v>
      </c>
      <c r="H208" s="3" t="s">
        <v>654</v>
      </c>
      <c r="I208" s="9"/>
    </row>
    <row r="209" spans="1:9" ht="30" customHeight="1" x14ac:dyDescent="0.3">
      <c r="A209" s="5"/>
      <c r="B209" s="3"/>
      <c r="C209" s="9"/>
      <c r="D209" s="27" t="s">
        <v>2101</v>
      </c>
      <c r="E209" s="6" t="s">
        <v>261</v>
      </c>
      <c r="F209" s="23" t="s">
        <v>2102</v>
      </c>
      <c r="G209" s="3"/>
      <c r="H209" s="3"/>
      <c r="I209" s="9"/>
    </row>
    <row r="210" spans="1:9" ht="30" customHeight="1" x14ac:dyDescent="0.3">
      <c r="A210" s="5" t="s">
        <v>2118</v>
      </c>
      <c r="B210" s="3"/>
      <c r="C210" s="9"/>
      <c r="D210" s="27" t="s">
        <v>2123</v>
      </c>
      <c r="E210" s="6"/>
      <c r="F210" s="8"/>
      <c r="G210" s="3"/>
      <c r="H210" s="3"/>
      <c r="I210" s="9"/>
    </row>
    <row r="211" spans="1:9" ht="30" customHeight="1" x14ac:dyDescent="0.3">
      <c r="A211" s="5"/>
      <c r="B211" s="3"/>
      <c r="C211" s="9"/>
      <c r="D211" s="27" t="s">
        <v>2124</v>
      </c>
      <c r="E211" s="6" t="s">
        <v>783</v>
      </c>
      <c r="F211" s="8" t="s">
        <v>2128</v>
      </c>
      <c r="G211" s="3" t="s">
        <v>2129</v>
      </c>
      <c r="H211" s="3" t="s">
        <v>1013</v>
      </c>
      <c r="I211" s="9"/>
    </row>
    <row r="212" spans="1:9" ht="30" customHeight="1" x14ac:dyDescent="0.3">
      <c r="A212" s="5"/>
      <c r="B212" s="3"/>
      <c r="C212" s="9"/>
      <c r="D212" s="27" t="s">
        <v>2125</v>
      </c>
      <c r="E212" s="6" t="s">
        <v>783</v>
      </c>
      <c r="F212" s="23" t="s">
        <v>2055</v>
      </c>
      <c r="G212" s="3" t="s">
        <v>2130</v>
      </c>
      <c r="H212" s="3" t="s">
        <v>1013</v>
      </c>
      <c r="I212" s="9"/>
    </row>
    <row r="213" spans="1:9" ht="30" customHeight="1" x14ac:dyDescent="0.3">
      <c r="A213" s="5"/>
      <c r="B213" s="3"/>
      <c r="C213" s="9"/>
      <c r="D213" s="27" t="s">
        <v>2126</v>
      </c>
      <c r="E213" s="6" t="s">
        <v>783</v>
      </c>
      <c r="F213" s="8" t="s">
        <v>2057</v>
      </c>
      <c r="G213" s="3" t="s">
        <v>2131</v>
      </c>
      <c r="H213" s="3" t="s">
        <v>1013</v>
      </c>
      <c r="I213" s="9"/>
    </row>
    <row r="214" spans="1:9" ht="30" customHeight="1" x14ac:dyDescent="0.3">
      <c r="A214" s="5"/>
      <c r="B214" s="3"/>
      <c r="C214" s="9"/>
      <c r="D214" s="27" t="s">
        <v>2127</v>
      </c>
      <c r="E214" s="6" t="s">
        <v>783</v>
      </c>
      <c r="F214" s="23" t="s">
        <v>2061</v>
      </c>
      <c r="G214" s="3" t="s">
        <v>2132</v>
      </c>
      <c r="H214" s="3" t="s">
        <v>1013</v>
      </c>
      <c r="I214" s="9"/>
    </row>
    <row r="215" spans="1:9" ht="30" customHeight="1" x14ac:dyDescent="0.3">
      <c r="A215" s="5"/>
      <c r="B215" s="3"/>
      <c r="C215" s="9"/>
      <c r="D215" s="27" t="s">
        <v>2134</v>
      </c>
      <c r="E215" s="6" t="s">
        <v>783</v>
      </c>
      <c r="F215" s="23" t="s">
        <v>2137</v>
      </c>
      <c r="G215" s="3"/>
      <c r="H215" s="3"/>
      <c r="I215" s="9"/>
    </row>
    <row r="216" spans="1:9" ht="30" customHeight="1" x14ac:dyDescent="0.3">
      <c r="A216" s="5"/>
      <c r="B216" s="3"/>
      <c r="C216" s="9"/>
      <c r="D216" s="27" t="s">
        <v>2135</v>
      </c>
      <c r="E216" s="6" t="s">
        <v>2138</v>
      </c>
      <c r="F216" s="8" t="s">
        <v>2139</v>
      </c>
      <c r="G216" s="3" t="s">
        <v>2140</v>
      </c>
      <c r="H216" s="3" t="s">
        <v>1494</v>
      </c>
      <c r="I216" s="9"/>
    </row>
    <row r="217" spans="1:9" ht="30" customHeight="1" x14ac:dyDescent="0.3">
      <c r="A217" s="5"/>
      <c r="B217" s="3"/>
      <c r="C217" s="9"/>
      <c r="D217" s="27" t="s">
        <v>2136</v>
      </c>
      <c r="E217" s="6" t="s">
        <v>1611</v>
      </c>
      <c r="F217" s="8" t="s">
        <v>2170</v>
      </c>
      <c r="G217" s="3"/>
      <c r="H217" s="3"/>
      <c r="I217" s="9"/>
    </row>
    <row r="218" spans="1:9" ht="30" customHeight="1" x14ac:dyDescent="0.3">
      <c r="A218" s="5" t="s">
        <v>2168</v>
      </c>
      <c r="B218" s="3"/>
      <c r="C218" s="9"/>
      <c r="D218" s="27" t="s">
        <v>2169</v>
      </c>
      <c r="E218" s="6" t="s">
        <v>921</v>
      </c>
      <c r="F218" s="8" t="s">
        <v>2171</v>
      </c>
      <c r="G218" s="3"/>
      <c r="H218" s="3"/>
      <c r="I218" s="9"/>
    </row>
    <row r="219" spans="1:9" ht="30" customHeight="1" x14ac:dyDescent="0.3">
      <c r="A219" s="5"/>
      <c r="B219" s="3"/>
      <c r="C219" s="9"/>
      <c r="D219" s="27" t="s">
        <v>2172</v>
      </c>
      <c r="E219" s="6" t="s">
        <v>1355</v>
      </c>
      <c r="F219" s="8" t="s">
        <v>2173</v>
      </c>
      <c r="G219" s="3" t="s">
        <v>2174</v>
      </c>
      <c r="H219" s="3" t="s">
        <v>2175</v>
      </c>
      <c r="I219" s="9"/>
    </row>
    <row r="220" spans="1:9" ht="30" customHeight="1" x14ac:dyDescent="0.3">
      <c r="A220" s="5"/>
      <c r="B220" s="3"/>
      <c r="C220" s="9"/>
      <c r="D220" s="27" t="s">
        <v>2179</v>
      </c>
      <c r="E220" s="6" t="s">
        <v>2180</v>
      </c>
      <c r="F220" s="6" t="s">
        <v>2181</v>
      </c>
      <c r="G220" s="3" t="s">
        <v>2182</v>
      </c>
      <c r="H220" s="3" t="s">
        <v>2183</v>
      </c>
      <c r="I220" s="9"/>
    </row>
    <row r="221" spans="1:9" ht="30" customHeight="1" x14ac:dyDescent="0.3">
      <c r="A221" s="5"/>
      <c r="B221" s="3"/>
      <c r="C221" s="9"/>
      <c r="D221" s="27" t="s">
        <v>2197</v>
      </c>
      <c r="E221" s="6" t="s">
        <v>1611</v>
      </c>
      <c r="F221" s="8" t="s">
        <v>2198</v>
      </c>
      <c r="G221" s="3" t="s">
        <v>2199</v>
      </c>
      <c r="H221" s="3" t="s">
        <v>235</v>
      </c>
      <c r="I221" s="9"/>
    </row>
    <row r="222" spans="1:9" ht="30" customHeight="1" x14ac:dyDescent="0.3">
      <c r="A222" s="5"/>
      <c r="B222" s="3"/>
      <c r="C222" s="9"/>
      <c r="D222" s="27" t="s">
        <v>2200</v>
      </c>
      <c r="E222" s="6" t="s">
        <v>2201</v>
      </c>
      <c r="F222" s="8" t="s">
        <v>2202</v>
      </c>
      <c r="G222" s="3" t="s">
        <v>2203</v>
      </c>
      <c r="H222" s="3" t="s">
        <v>2204</v>
      </c>
      <c r="I222" s="9"/>
    </row>
    <row r="223" spans="1:9" ht="30" customHeight="1" x14ac:dyDescent="0.3">
      <c r="A223" s="5" t="s">
        <v>2210</v>
      </c>
      <c r="B223" s="3"/>
      <c r="C223" s="9"/>
      <c r="D223" s="27" t="s">
        <v>2212</v>
      </c>
      <c r="E223" s="6" t="s">
        <v>1390</v>
      </c>
      <c r="F223" s="23" t="s">
        <v>2213</v>
      </c>
      <c r="G223" s="3" t="s">
        <v>2108</v>
      </c>
      <c r="H223" s="3" t="s">
        <v>1169</v>
      </c>
      <c r="I223" s="9"/>
    </row>
    <row r="224" spans="1:9" ht="30" customHeight="1" x14ac:dyDescent="0.3">
      <c r="A224" s="5"/>
      <c r="B224" s="3"/>
      <c r="C224" s="9"/>
      <c r="D224" s="27" t="s">
        <v>2233</v>
      </c>
      <c r="E224" s="6" t="s">
        <v>574</v>
      </c>
      <c r="F224" s="8" t="s">
        <v>2234</v>
      </c>
      <c r="G224" s="3" t="s">
        <v>2006</v>
      </c>
      <c r="H224" s="3" t="s">
        <v>2235</v>
      </c>
      <c r="I224" s="9"/>
    </row>
    <row r="225" spans="1:9" ht="30" customHeight="1" x14ac:dyDescent="0.3">
      <c r="A225" s="5" t="s">
        <v>2238</v>
      </c>
      <c r="B225" s="3"/>
      <c r="C225" s="9"/>
      <c r="D225" s="27" t="s">
        <v>2240</v>
      </c>
      <c r="E225" s="6" t="s">
        <v>2242</v>
      </c>
      <c r="F225" s="8" t="s">
        <v>2243</v>
      </c>
      <c r="G225" s="3" t="s">
        <v>2244</v>
      </c>
      <c r="H225" s="3" t="s">
        <v>1433</v>
      </c>
      <c r="I225" s="9"/>
    </row>
    <row r="226" spans="1:9" ht="30" customHeight="1" x14ac:dyDescent="0.3">
      <c r="A226" s="5"/>
      <c r="B226" s="3"/>
      <c r="C226" s="9"/>
      <c r="D226" s="27" t="s">
        <v>2123</v>
      </c>
      <c r="E226" s="6" t="s">
        <v>2094</v>
      </c>
      <c r="F226" s="8" t="s">
        <v>2245</v>
      </c>
      <c r="G226" s="3" t="s">
        <v>2096</v>
      </c>
      <c r="H226" s="3" t="s">
        <v>2246</v>
      </c>
      <c r="I226" s="9"/>
    </row>
    <row r="227" spans="1:9" ht="30" customHeight="1" x14ac:dyDescent="0.3">
      <c r="A227" s="5"/>
      <c r="B227" s="3"/>
      <c r="C227" s="9"/>
      <c r="D227" s="27" t="s">
        <v>2241</v>
      </c>
      <c r="E227" s="6" t="s">
        <v>261</v>
      </c>
      <c r="F227" s="8" t="s">
        <v>2248</v>
      </c>
      <c r="G227" s="3"/>
      <c r="H227" s="3"/>
      <c r="I227" s="9"/>
    </row>
    <row r="228" spans="1:9" ht="30" customHeight="1" x14ac:dyDescent="0.3">
      <c r="A228" s="5"/>
      <c r="B228" s="3"/>
      <c r="C228" s="9"/>
      <c r="D228" s="27" t="s">
        <v>2247</v>
      </c>
      <c r="E228" s="6" t="s">
        <v>783</v>
      </c>
      <c r="F228" s="8" t="s">
        <v>2249</v>
      </c>
      <c r="G228" s="3"/>
      <c r="H228" s="3"/>
      <c r="I228" s="9"/>
    </row>
    <row r="229" spans="1:9" ht="30" customHeight="1" x14ac:dyDescent="0.3">
      <c r="A229" s="5" t="s">
        <v>2254</v>
      </c>
      <c r="B229" s="3"/>
      <c r="C229" s="9"/>
      <c r="D229" s="27" t="s">
        <v>2255</v>
      </c>
      <c r="E229" s="6" t="s">
        <v>261</v>
      </c>
      <c r="F229" s="8" t="s">
        <v>1950</v>
      </c>
      <c r="G229" s="3" t="s">
        <v>2221</v>
      </c>
      <c r="H229" s="3" t="s">
        <v>235</v>
      </c>
      <c r="I229" s="9"/>
    </row>
    <row r="230" spans="1:9" ht="30" customHeight="1" x14ac:dyDescent="0.3">
      <c r="A230" s="5"/>
      <c r="B230" s="3"/>
      <c r="C230" s="9"/>
      <c r="D230" s="27" t="s">
        <v>2256</v>
      </c>
      <c r="E230" s="6" t="s">
        <v>783</v>
      </c>
      <c r="F230" s="8" t="s">
        <v>2128</v>
      </c>
      <c r="G230" s="3" t="s">
        <v>2267</v>
      </c>
      <c r="H230" s="3" t="s">
        <v>1013</v>
      </c>
      <c r="I230" s="9"/>
    </row>
    <row r="231" spans="1:9" ht="30" customHeight="1" x14ac:dyDescent="0.3">
      <c r="A231" s="5"/>
      <c r="B231" s="3"/>
      <c r="C231" s="9"/>
      <c r="D231" s="27" t="s">
        <v>2257</v>
      </c>
      <c r="E231" s="6" t="s">
        <v>783</v>
      </c>
      <c r="F231" s="23" t="s">
        <v>2055</v>
      </c>
      <c r="G231" s="3" t="s">
        <v>2268</v>
      </c>
      <c r="H231" s="3" t="s">
        <v>1013</v>
      </c>
      <c r="I231" s="9"/>
    </row>
    <row r="232" spans="1:9" ht="30" customHeight="1" x14ac:dyDescent="0.3">
      <c r="A232" s="5"/>
      <c r="B232" s="3"/>
      <c r="C232" s="9"/>
      <c r="D232" s="27" t="s">
        <v>2258</v>
      </c>
      <c r="E232" s="6" t="s">
        <v>783</v>
      </c>
      <c r="F232" s="8" t="s">
        <v>2057</v>
      </c>
      <c r="G232" s="3" t="s">
        <v>2269</v>
      </c>
      <c r="H232" s="3" t="s">
        <v>1013</v>
      </c>
      <c r="I232" s="9"/>
    </row>
    <row r="233" spans="1:9" ht="30" customHeight="1" x14ac:dyDescent="0.3">
      <c r="A233" s="5"/>
      <c r="B233" s="3"/>
      <c r="C233" s="9"/>
      <c r="D233" s="27" t="s">
        <v>2259</v>
      </c>
      <c r="E233" s="6" t="s">
        <v>783</v>
      </c>
      <c r="F233" s="23" t="s">
        <v>2270</v>
      </c>
      <c r="G233" s="3" t="s">
        <v>2271</v>
      </c>
      <c r="H233" s="3" t="s">
        <v>1013</v>
      </c>
      <c r="I233" s="9"/>
    </row>
    <row r="234" spans="1:9" ht="30" customHeight="1" x14ac:dyDescent="0.3">
      <c r="A234" s="5"/>
      <c r="B234" s="3"/>
      <c r="C234" s="9"/>
      <c r="D234" s="27" t="s">
        <v>2260</v>
      </c>
      <c r="E234" s="6" t="s">
        <v>783</v>
      </c>
      <c r="F234" s="23" t="s">
        <v>2061</v>
      </c>
      <c r="G234" s="3" t="s">
        <v>2272</v>
      </c>
      <c r="H234" s="3" t="s">
        <v>1013</v>
      </c>
      <c r="I234" s="9"/>
    </row>
    <row r="235" spans="1:9" ht="30" customHeight="1" x14ac:dyDescent="0.3">
      <c r="A235" s="5"/>
      <c r="B235" s="3"/>
      <c r="C235" s="9"/>
      <c r="D235" s="27" t="s">
        <v>2261</v>
      </c>
      <c r="E235" s="6" t="s">
        <v>2273</v>
      </c>
      <c r="F235" s="8" t="s">
        <v>2274</v>
      </c>
      <c r="G235" s="3"/>
      <c r="H235" s="3"/>
      <c r="I235" s="9"/>
    </row>
    <row r="236" spans="1:9" ht="30" customHeight="1" x14ac:dyDescent="0.3">
      <c r="A236" s="5"/>
      <c r="B236" s="3"/>
      <c r="C236" s="9"/>
      <c r="D236" s="27" t="s">
        <v>2262</v>
      </c>
      <c r="E236" s="6" t="s">
        <v>2275</v>
      </c>
      <c r="F236" s="23" t="s">
        <v>2276</v>
      </c>
      <c r="G236" s="3" t="s">
        <v>2277</v>
      </c>
      <c r="H236" s="3"/>
      <c r="I236" s="9"/>
    </row>
    <row r="237" spans="1:9" ht="30" customHeight="1" x14ac:dyDescent="0.3">
      <c r="A237" s="5"/>
      <c r="B237" s="3"/>
      <c r="C237" s="9"/>
      <c r="D237" s="27" t="s">
        <v>2263</v>
      </c>
      <c r="E237" s="6" t="s">
        <v>2278</v>
      </c>
      <c r="F237" s="8" t="s">
        <v>2279</v>
      </c>
      <c r="G237" s="3"/>
      <c r="H237" s="3"/>
      <c r="I237" s="9"/>
    </row>
    <row r="238" spans="1:9" ht="30" customHeight="1" x14ac:dyDescent="0.3">
      <c r="A238" s="5"/>
      <c r="B238" s="3"/>
      <c r="C238" s="9"/>
      <c r="D238" s="27" t="s">
        <v>2264</v>
      </c>
      <c r="E238" s="31" t="s">
        <v>783</v>
      </c>
      <c r="F238" s="31" t="s">
        <v>2305</v>
      </c>
      <c r="G238" s="3"/>
      <c r="H238" s="3"/>
      <c r="I238" s="9"/>
    </row>
    <row r="239" spans="1:9" ht="30" customHeight="1" x14ac:dyDescent="0.3">
      <c r="A239" s="5" t="s">
        <v>2307</v>
      </c>
      <c r="B239" s="3"/>
      <c r="C239" s="9"/>
      <c r="D239" s="27" t="s">
        <v>2265</v>
      </c>
      <c r="E239" s="6" t="s">
        <v>2309</v>
      </c>
      <c r="F239" s="8" t="s">
        <v>2310</v>
      </c>
      <c r="G239" s="3"/>
      <c r="H239" s="3"/>
      <c r="I239" s="9"/>
    </row>
    <row r="240" spans="1:9" ht="30" customHeight="1" x14ac:dyDescent="0.3">
      <c r="A240" s="5" t="s">
        <v>2334</v>
      </c>
      <c r="B240" s="3"/>
      <c r="C240" s="9"/>
      <c r="D240" s="27" t="s">
        <v>2266</v>
      </c>
      <c r="E240" s="6"/>
      <c r="F240" s="8"/>
      <c r="G240" s="3"/>
      <c r="H240" s="3"/>
      <c r="I240" s="9"/>
    </row>
    <row r="241" spans="1:9" ht="30" customHeight="1" x14ac:dyDescent="0.3">
      <c r="A241" s="5"/>
      <c r="B241" s="3"/>
      <c r="C241" s="9"/>
      <c r="D241" s="27" t="s">
        <v>2342</v>
      </c>
      <c r="E241" s="6" t="s">
        <v>1390</v>
      </c>
      <c r="F241" s="8" t="s">
        <v>2343</v>
      </c>
      <c r="G241" s="3" t="s">
        <v>2344</v>
      </c>
      <c r="H241" s="3" t="s">
        <v>1169</v>
      </c>
      <c r="I241" s="9"/>
    </row>
    <row r="242" spans="1:9" ht="30" customHeight="1" x14ac:dyDescent="0.3">
      <c r="A242" s="5"/>
      <c r="B242" s="3"/>
      <c r="C242" s="9"/>
      <c r="D242" s="27" t="s">
        <v>2367</v>
      </c>
      <c r="E242" s="6"/>
      <c r="F242" s="8"/>
      <c r="G242" s="3"/>
      <c r="H242" s="3"/>
      <c r="I242" s="9"/>
    </row>
    <row r="243" spans="1:9" ht="30" customHeight="1" x14ac:dyDescent="0.3">
      <c r="A243" s="5"/>
      <c r="B243" s="3"/>
      <c r="C243" s="9"/>
      <c r="D243" s="27" t="s">
        <v>2368</v>
      </c>
      <c r="E243" s="6" t="s">
        <v>2369</v>
      </c>
      <c r="F243" s="8" t="s">
        <v>2370</v>
      </c>
      <c r="G243" s="3" t="s">
        <v>2371</v>
      </c>
      <c r="H243" s="3" t="s">
        <v>2372</v>
      </c>
      <c r="I243" s="9"/>
    </row>
    <row r="244" spans="1:9" ht="30" customHeight="1" x14ac:dyDescent="0.3">
      <c r="A244" s="5"/>
      <c r="B244" s="3"/>
      <c r="C244" s="9"/>
      <c r="D244" s="27" t="s">
        <v>2390</v>
      </c>
      <c r="E244" s="6"/>
      <c r="F244" s="8"/>
      <c r="G244" s="3"/>
      <c r="H244" s="3"/>
      <c r="I244" s="9"/>
    </row>
    <row r="245" spans="1:9" ht="30" customHeight="1" x14ac:dyDescent="0.3">
      <c r="A245" s="5"/>
      <c r="B245" s="3"/>
      <c r="C245" s="9"/>
      <c r="D245" s="27" t="s">
        <v>2391</v>
      </c>
      <c r="E245" s="6"/>
      <c r="F245" s="8"/>
      <c r="G245" s="3"/>
      <c r="H245" s="3"/>
      <c r="I245" s="9"/>
    </row>
    <row r="246" spans="1:9" ht="30" customHeight="1" x14ac:dyDescent="0.3">
      <c r="A246" s="5"/>
      <c r="B246" s="3"/>
      <c r="C246" s="9"/>
      <c r="D246" s="27" t="s">
        <v>2392</v>
      </c>
      <c r="E246" s="6"/>
      <c r="F246" s="8"/>
      <c r="G246" s="3"/>
      <c r="H246" s="3"/>
      <c r="I246" s="9"/>
    </row>
    <row r="247" spans="1:9" ht="30" customHeight="1" x14ac:dyDescent="0.3">
      <c r="A247" s="5"/>
      <c r="B247" s="3"/>
      <c r="C247" s="9"/>
      <c r="D247" s="27" t="s">
        <v>2393</v>
      </c>
      <c r="E247" s="6"/>
      <c r="F247" s="8"/>
      <c r="G247" s="3"/>
      <c r="H247" s="3"/>
      <c r="I247" s="9"/>
    </row>
    <row r="248" spans="1:9" ht="30" customHeight="1" x14ac:dyDescent="0.3">
      <c r="A248" s="64">
        <v>46147</v>
      </c>
      <c r="B248" s="3"/>
      <c r="C248" s="9"/>
      <c r="D248" s="27" t="s">
        <v>2394</v>
      </c>
      <c r="E248" s="6" t="s">
        <v>2079</v>
      </c>
      <c r="F248" s="8" t="s">
        <v>2396</v>
      </c>
      <c r="G248" s="3"/>
      <c r="H248" s="3"/>
      <c r="I248" s="9"/>
    </row>
    <row r="249" spans="1:9" ht="30" customHeight="1" x14ac:dyDescent="0.3">
      <c r="A249" s="5"/>
      <c r="B249" s="3"/>
      <c r="C249" s="9"/>
      <c r="D249" s="27" t="s">
        <v>2395</v>
      </c>
      <c r="E249" s="6" t="s">
        <v>1058</v>
      </c>
      <c r="F249" s="8" t="s">
        <v>2397</v>
      </c>
      <c r="G249" s="3" t="s">
        <v>2398</v>
      </c>
      <c r="H249" s="3" t="s">
        <v>2399</v>
      </c>
      <c r="I249" s="9"/>
    </row>
    <row r="250" spans="1:9" ht="30" customHeight="1" x14ac:dyDescent="0.3">
      <c r="A250" s="5"/>
      <c r="B250" s="3"/>
      <c r="C250" s="9"/>
      <c r="D250" s="27" t="s">
        <v>2403</v>
      </c>
      <c r="E250" s="6" t="s">
        <v>2404</v>
      </c>
      <c r="F250" s="8" t="s">
        <v>2405</v>
      </c>
      <c r="G250" s="3"/>
      <c r="H250" s="3"/>
      <c r="I250" s="9"/>
    </row>
    <row r="251" spans="1:9" ht="30" customHeight="1" x14ac:dyDescent="0.3">
      <c r="A251" s="5"/>
      <c r="B251" s="3"/>
      <c r="C251" s="9"/>
      <c r="D251" s="27" t="s">
        <v>2429</v>
      </c>
      <c r="E251" s="6" t="s">
        <v>261</v>
      </c>
      <c r="F251" s="23" t="s">
        <v>2431</v>
      </c>
      <c r="G251" s="3"/>
      <c r="H251" s="3"/>
      <c r="I251" s="9"/>
    </row>
    <row r="252" spans="1:9" ht="30" customHeight="1" x14ac:dyDescent="0.3">
      <c r="A252" s="5"/>
      <c r="B252" s="3"/>
      <c r="C252" s="9"/>
      <c r="D252" s="27" t="s">
        <v>2430</v>
      </c>
      <c r="E252" s="6" t="s">
        <v>1113</v>
      </c>
      <c r="F252" s="8" t="s">
        <v>2432</v>
      </c>
      <c r="G252" s="3"/>
      <c r="H252" s="3"/>
      <c r="I252" s="9"/>
    </row>
    <row r="253" spans="1:9" ht="30" customHeight="1" x14ac:dyDescent="0.3">
      <c r="A253" s="5"/>
      <c r="B253" s="3"/>
      <c r="C253" s="9"/>
      <c r="D253" s="27" t="s">
        <v>2456</v>
      </c>
      <c r="E253" s="6" t="s">
        <v>2458</v>
      </c>
      <c r="F253" s="23" t="s">
        <v>2459</v>
      </c>
      <c r="G253" s="3"/>
      <c r="H253" s="3"/>
      <c r="I253" s="9"/>
    </row>
    <row r="254" spans="1:9" ht="30" customHeight="1" x14ac:dyDescent="0.3">
      <c r="A254" s="64">
        <v>46178</v>
      </c>
      <c r="B254" s="3"/>
      <c r="C254" s="9"/>
      <c r="D254" s="27" t="s">
        <v>2457</v>
      </c>
      <c r="E254" s="6" t="s">
        <v>1431</v>
      </c>
      <c r="F254" s="8" t="s">
        <v>2460</v>
      </c>
      <c r="G254" s="3" t="s">
        <v>2461</v>
      </c>
      <c r="H254" s="3" t="s">
        <v>2372</v>
      </c>
      <c r="I254" s="9"/>
    </row>
    <row r="255" spans="1:9" ht="30" customHeight="1" x14ac:dyDescent="0.3">
      <c r="A255" s="64"/>
      <c r="B255" s="3"/>
      <c r="C255" s="9"/>
      <c r="D255" s="27" t="s">
        <v>2467</v>
      </c>
      <c r="E255" s="6" t="s">
        <v>2472</v>
      </c>
      <c r="F255" s="8" t="s">
        <v>2473</v>
      </c>
      <c r="G255" s="3" t="s">
        <v>2474</v>
      </c>
      <c r="H255" s="3" t="s">
        <v>2475</v>
      </c>
      <c r="I255" s="9"/>
    </row>
    <row r="256" spans="1:9" ht="30" customHeight="1" x14ac:dyDescent="0.3">
      <c r="A256" s="5"/>
      <c r="B256" s="3"/>
      <c r="C256" s="9"/>
      <c r="D256" s="27" t="s">
        <v>2468</v>
      </c>
      <c r="E256" s="6" t="s">
        <v>783</v>
      </c>
      <c r="F256" s="8" t="s">
        <v>2476</v>
      </c>
      <c r="G256" s="3" t="s">
        <v>2477</v>
      </c>
      <c r="H256" s="3" t="s">
        <v>786</v>
      </c>
      <c r="I256" s="9"/>
    </row>
    <row r="257" spans="1:9" ht="30" customHeight="1" x14ac:dyDescent="0.3">
      <c r="A257" s="64">
        <v>46208</v>
      </c>
      <c r="B257" s="3"/>
      <c r="C257" s="9"/>
      <c r="D257" s="27" t="s">
        <v>2469</v>
      </c>
      <c r="E257" s="6" t="s">
        <v>1109</v>
      </c>
      <c r="F257" s="8" t="s">
        <v>2484</v>
      </c>
      <c r="G257" s="3" t="s">
        <v>2485</v>
      </c>
      <c r="H257" s="3" t="s">
        <v>2486</v>
      </c>
      <c r="I257" s="9"/>
    </row>
    <row r="258" spans="1:9" ht="30" customHeight="1" x14ac:dyDescent="0.3">
      <c r="A258" s="5"/>
      <c r="B258" s="3"/>
      <c r="C258" s="9"/>
      <c r="D258" s="27" t="s">
        <v>2470</v>
      </c>
      <c r="E258" s="6" t="s">
        <v>2491</v>
      </c>
      <c r="F258" s="8" t="s">
        <v>2492</v>
      </c>
      <c r="G258" s="3" t="s">
        <v>2488</v>
      </c>
      <c r="H258" s="3" t="s">
        <v>2493</v>
      </c>
      <c r="I258" s="9"/>
    </row>
    <row r="259" spans="1:9" ht="30" customHeight="1" x14ac:dyDescent="0.3">
      <c r="A259" s="5"/>
      <c r="B259" s="3"/>
      <c r="C259" s="9"/>
      <c r="D259" s="27" t="s">
        <v>2471</v>
      </c>
      <c r="E259" s="6" t="s">
        <v>1109</v>
      </c>
      <c r="F259" s="8" t="s">
        <v>2500</v>
      </c>
      <c r="G259" s="3" t="s">
        <v>2485</v>
      </c>
      <c r="H259" s="3"/>
      <c r="I259" s="9"/>
    </row>
    <row r="260" spans="1:9" ht="30" customHeight="1" x14ac:dyDescent="0.3">
      <c r="A260" s="5"/>
      <c r="B260" s="3"/>
      <c r="C260" s="9"/>
      <c r="D260" s="27" t="s">
        <v>2508</v>
      </c>
      <c r="E260" s="6" t="s">
        <v>2509</v>
      </c>
      <c r="F260" s="8" t="s">
        <v>2510</v>
      </c>
      <c r="G260" s="3" t="s">
        <v>2511</v>
      </c>
      <c r="H260" s="3" t="s">
        <v>2512</v>
      </c>
      <c r="I260" s="9"/>
    </row>
    <row r="261" spans="1:9" ht="30" customHeight="1" x14ac:dyDescent="0.3">
      <c r="A261" s="5"/>
      <c r="B261" s="3"/>
      <c r="C261" s="9"/>
      <c r="D261" s="27" t="s">
        <v>2519</v>
      </c>
      <c r="E261" s="6" t="s">
        <v>261</v>
      </c>
      <c r="F261" s="8" t="s">
        <v>2520</v>
      </c>
      <c r="G261" s="3" t="s">
        <v>2521</v>
      </c>
      <c r="H261" s="3" t="s">
        <v>2372</v>
      </c>
      <c r="I261" s="9"/>
    </row>
    <row r="262" spans="1:9" ht="30" customHeight="1" x14ac:dyDescent="0.3">
      <c r="A262" s="5"/>
      <c r="B262" s="3"/>
      <c r="C262" s="9"/>
      <c r="D262" s="27" t="s">
        <v>2543</v>
      </c>
      <c r="E262" s="6"/>
      <c r="F262" s="8"/>
      <c r="G262" s="3"/>
      <c r="H262" s="3"/>
      <c r="I262" s="9"/>
    </row>
    <row r="263" spans="1:9" ht="30" customHeight="1" x14ac:dyDescent="0.3">
      <c r="A263" s="5"/>
      <c r="B263" s="3"/>
      <c r="C263" s="9"/>
      <c r="D263" s="27" t="s">
        <v>2544</v>
      </c>
      <c r="E263" s="6"/>
      <c r="F263" s="8"/>
      <c r="G263" s="3"/>
      <c r="H263" s="3"/>
      <c r="I263" s="9"/>
    </row>
    <row r="264" spans="1:9" ht="30" customHeight="1" x14ac:dyDescent="0.3">
      <c r="A264" s="5" t="s">
        <v>2548</v>
      </c>
      <c r="B264" s="3"/>
      <c r="C264" s="9"/>
      <c r="D264" s="27" t="s">
        <v>2545</v>
      </c>
      <c r="E264" s="6" t="s">
        <v>2404</v>
      </c>
      <c r="F264" s="8" t="s">
        <v>2549</v>
      </c>
      <c r="G264" s="3"/>
      <c r="H264" s="3"/>
      <c r="I264" s="9"/>
    </row>
    <row r="265" spans="1:9" ht="30" customHeight="1" x14ac:dyDescent="0.3">
      <c r="A265" s="5"/>
      <c r="B265" s="3"/>
      <c r="C265" s="9"/>
      <c r="D265" s="27" t="s">
        <v>2546</v>
      </c>
      <c r="E265" s="6" t="s">
        <v>1109</v>
      </c>
      <c r="F265" s="8" t="s">
        <v>2550</v>
      </c>
      <c r="G265" s="3" t="s">
        <v>2551</v>
      </c>
      <c r="H265" s="3"/>
      <c r="I265" s="9"/>
    </row>
    <row r="266" spans="1:9" ht="30" customHeight="1" x14ac:dyDescent="0.3">
      <c r="A266" s="5"/>
      <c r="B266" s="3"/>
      <c r="C266" s="9"/>
      <c r="D266" s="27" t="s">
        <v>2547</v>
      </c>
      <c r="E266" s="6"/>
      <c r="F266" s="8"/>
      <c r="G266" s="3"/>
      <c r="H266" s="3"/>
      <c r="I266" s="9"/>
    </row>
    <row r="267" spans="1:9" ht="30" customHeight="1" x14ac:dyDescent="0.3">
      <c r="A267" s="5"/>
      <c r="B267" s="3"/>
      <c r="C267" s="9"/>
      <c r="D267" s="27" t="s">
        <v>2566</v>
      </c>
      <c r="E267" s="6"/>
      <c r="F267" s="8"/>
      <c r="G267" s="3"/>
      <c r="H267" s="3"/>
      <c r="I267" s="9"/>
    </row>
    <row r="268" spans="1:9" ht="30" customHeight="1" x14ac:dyDescent="0.3">
      <c r="A268" s="5"/>
      <c r="B268" s="3"/>
      <c r="C268" s="9"/>
      <c r="D268" s="27" t="s">
        <v>2567</v>
      </c>
      <c r="E268" s="6"/>
      <c r="F268" s="8"/>
      <c r="G268" s="3"/>
      <c r="H268" s="3"/>
      <c r="I268" s="9"/>
    </row>
    <row r="269" spans="1:9" ht="30" customHeight="1" x14ac:dyDescent="0.3">
      <c r="A269" s="5"/>
      <c r="B269" s="3"/>
      <c r="C269" s="9" t="s">
        <v>2571</v>
      </c>
      <c r="D269" s="27" t="s">
        <v>2568</v>
      </c>
      <c r="E269" s="6" t="s">
        <v>2572</v>
      </c>
      <c r="F269" s="8" t="s">
        <v>2573</v>
      </c>
      <c r="G269" s="3" t="s">
        <v>2574</v>
      </c>
      <c r="H269" s="3" t="s">
        <v>1545</v>
      </c>
      <c r="I269" s="9"/>
    </row>
    <row r="270" spans="1:9" ht="30" customHeight="1" x14ac:dyDescent="0.3">
      <c r="A270" s="5"/>
      <c r="B270" s="3"/>
      <c r="C270" s="9"/>
      <c r="D270" s="27" t="s">
        <v>2569</v>
      </c>
      <c r="E270" s="6" t="s">
        <v>1611</v>
      </c>
      <c r="F270" s="8" t="s">
        <v>2575</v>
      </c>
      <c r="G270" s="3"/>
      <c r="H270" s="3"/>
      <c r="I270" s="9"/>
    </row>
    <row r="271" spans="1:9" ht="30" customHeight="1" x14ac:dyDescent="0.3">
      <c r="A271" s="5"/>
      <c r="B271" s="3"/>
      <c r="C271" s="9"/>
      <c r="D271" s="27" t="s">
        <v>2570</v>
      </c>
      <c r="E271" s="6" t="s">
        <v>2164</v>
      </c>
      <c r="F271" s="8" t="s">
        <v>2593</v>
      </c>
      <c r="G271" s="3"/>
      <c r="H271" s="3"/>
      <c r="I271" s="9"/>
    </row>
    <row r="272" spans="1:9" ht="30" customHeight="1" x14ac:dyDescent="0.3">
      <c r="A272" s="5"/>
      <c r="B272" s="3"/>
      <c r="C272" s="9"/>
      <c r="D272" s="27" t="s">
        <v>2599</v>
      </c>
      <c r="E272" s="6"/>
      <c r="F272" s="8"/>
      <c r="G272" s="3"/>
      <c r="H272" s="3"/>
      <c r="I272" s="9"/>
    </row>
    <row r="273" spans="1:9" ht="30" customHeight="1" x14ac:dyDescent="0.3">
      <c r="A273" s="5"/>
      <c r="B273" s="3"/>
      <c r="C273" s="9"/>
      <c r="D273" s="27" t="s">
        <v>2600</v>
      </c>
      <c r="E273" s="6"/>
      <c r="F273" s="8"/>
      <c r="G273" s="3"/>
      <c r="H273" s="3"/>
      <c r="I273" s="9"/>
    </row>
    <row r="274" spans="1:9" ht="30" customHeight="1" x14ac:dyDescent="0.3">
      <c r="A274" s="5"/>
      <c r="B274" s="3"/>
      <c r="C274" s="9"/>
      <c r="D274" s="27" t="s">
        <v>2601</v>
      </c>
      <c r="E274" s="6"/>
      <c r="F274" s="8"/>
      <c r="G274" s="3"/>
      <c r="H274" s="3"/>
      <c r="I274" s="9"/>
    </row>
    <row r="275" spans="1:9" ht="30" customHeight="1" x14ac:dyDescent="0.3">
      <c r="A275" s="2"/>
      <c r="B275" s="2"/>
      <c r="C275" s="9"/>
      <c r="D275" s="27" t="s">
        <v>2602</v>
      </c>
      <c r="E275" s="6" t="s">
        <v>261</v>
      </c>
      <c r="F275" s="8" t="s">
        <v>2606</v>
      </c>
      <c r="G275" s="3" t="s">
        <v>2607</v>
      </c>
      <c r="H275" s="3" t="s">
        <v>2608</v>
      </c>
      <c r="I275" s="9"/>
    </row>
    <row r="276" spans="1:9" ht="30" customHeight="1" x14ac:dyDescent="0.3">
      <c r="A276" s="2"/>
      <c r="B276" s="2"/>
      <c r="C276" s="9"/>
      <c r="D276" s="27" t="s">
        <v>2603</v>
      </c>
      <c r="E276" s="12"/>
      <c r="F276" s="80" t="s">
        <v>2609</v>
      </c>
      <c r="G276" s="3" t="s">
        <v>2610</v>
      </c>
      <c r="H276" s="2"/>
      <c r="I276" s="9"/>
    </row>
    <row r="277" spans="1:9" ht="30" customHeight="1" x14ac:dyDescent="0.3">
      <c r="A277" s="2"/>
      <c r="B277" s="2"/>
      <c r="C277" s="9"/>
      <c r="D277" s="27" t="s">
        <v>2604</v>
      </c>
      <c r="E277" s="6" t="s">
        <v>1058</v>
      </c>
      <c r="F277" s="23" t="s">
        <v>2611</v>
      </c>
      <c r="G277" s="3" t="s">
        <v>2612</v>
      </c>
      <c r="H277" s="3" t="s">
        <v>235</v>
      </c>
      <c r="I277" s="9"/>
    </row>
    <row r="278" spans="1:9" ht="30" customHeight="1" x14ac:dyDescent="0.3">
      <c r="A278" s="2"/>
      <c r="B278" s="2"/>
      <c r="C278" s="9"/>
      <c r="D278" s="27" t="s">
        <v>2605</v>
      </c>
      <c r="E278" s="6" t="s">
        <v>2613</v>
      </c>
      <c r="F278" s="10" t="s">
        <v>2614</v>
      </c>
      <c r="G278" s="3" t="s">
        <v>2588</v>
      </c>
      <c r="H278" s="2"/>
      <c r="I278" s="9"/>
    </row>
    <row r="279" spans="1:9" ht="30" customHeight="1" x14ac:dyDescent="0.3">
      <c r="A279" s="3" t="s">
        <v>2617</v>
      </c>
      <c r="B279" s="2"/>
      <c r="C279" s="9"/>
      <c r="D279" s="27" t="s">
        <v>2621</v>
      </c>
      <c r="E279" s="6" t="s">
        <v>2624</v>
      </c>
      <c r="F279" s="8" t="s">
        <v>2625</v>
      </c>
      <c r="G279" s="3" t="s">
        <v>2096</v>
      </c>
      <c r="H279" s="2"/>
      <c r="I279" s="9"/>
    </row>
    <row r="280" spans="1:9" ht="30" customHeight="1" x14ac:dyDescent="0.3">
      <c r="A280" s="2"/>
      <c r="B280" s="2"/>
      <c r="C280" s="9"/>
      <c r="D280" s="27" t="s">
        <v>2622</v>
      </c>
      <c r="E280" s="6" t="s">
        <v>261</v>
      </c>
      <c r="F280" s="8" t="s">
        <v>2626</v>
      </c>
      <c r="G280" s="2"/>
      <c r="H280" s="2"/>
      <c r="I280" s="9"/>
    </row>
    <row r="281" spans="1:9" ht="30" customHeight="1" x14ac:dyDescent="0.3">
      <c r="A281" s="2"/>
      <c r="B281" s="2"/>
      <c r="C281" s="9" t="s">
        <v>2639</v>
      </c>
      <c r="D281" s="27" t="s">
        <v>2644</v>
      </c>
      <c r="E281" s="2"/>
      <c r="F281" s="10"/>
      <c r="G281" s="2"/>
      <c r="H281" s="2"/>
      <c r="I281" s="9"/>
    </row>
    <row r="282" spans="1:9" ht="30" customHeight="1" x14ac:dyDescent="0.3">
      <c r="A282" s="2"/>
      <c r="B282" s="2"/>
      <c r="C282" s="9"/>
      <c r="D282" s="27" t="s">
        <v>2645</v>
      </c>
      <c r="E282" s="2"/>
      <c r="F282" s="10"/>
      <c r="G282" s="2"/>
      <c r="H282" s="2"/>
      <c r="I282" s="9"/>
    </row>
    <row r="283" spans="1:9" x14ac:dyDescent="0.3">
      <c r="A283" s="9"/>
      <c r="B283" s="9"/>
      <c r="C283" s="9"/>
      <c r="D283" s="27" t="s">
        <v>2646</v>
      </c>
      <c r="E283" s="9"/>
      <c r="F283" s="9"/>
      <c r="G283" s="2"/>
      <c r="H283" s="9"/>
      <c r="I283" s="9"/>
    </row>
    <row r="284" spans="1:9" x14ac:dyDescent="0.3">
      <c r="A284" s="9"/>
      <c r="B284" s="9"/>
      <c r="C284" s="9"/>
      <c r="D284" s="27" t="s">
        <v>2647</v>
      </c>
      <c r="E284" s="9"/>
      <c r="F284" s="9"/>
      <c r="G284" s="2"/>
      <c r="H284" s="9"/>
      <c r="I284" s="9"/>
    </row>
    <row r="285" spans="1:9" x14ac:dyDescent="0.3">
      <c r="A285" s="9"/>
      <c r="B285" s="9"/>
      <c r="C285" s="9"/>
      <c r="D285" s="27" t="s">
        <v>2648</v>
      </c>
      <c r="E285" s="9"/>
      <c r="F285" s="9"/>
      <c r="G285" s="9"/>
      <c r="H285" s="9"/>
      <c r="I285" s="9"/>
    </row>
    <row r="286" spans="1:9" x14ac:dyDescent="0.3">
      <c r="A286" s="9"/>
      <c r="B286" s="9"/>
      <c r="C286" s="9"/>
      <c r="D286" s="27" t="s">
        <v>2649</v>
      </c>
      <c r="E286" s="9"/>
      <c r="F286" s="9"/>
      <c r="G286" s="9"/>
      <c r="H286" s="9"/>
      <c r="I286" s="9"/>
    </row>
    <row r="287" spans="1:9" x14ac:dyDescent="0.3">
      <c r="A287" s="9"/>
      <c r="B287" s="9"/>
      <c r="C287" s="9"/>
      <c r="D287" s="27" t="s">
        <v>2650</v>
      </c>
      <c r="E287" s="3"/>
      <c r="F287" s="21"/>
      <c r="G287" s="3"/>
      <c r="H287" s="3"/>
      <c r="I287" s="9"/>
    </row>
    <row r="288" spans="1:9" x14ac:dyDescent="0.3">
      <c r="A288" s="9"/>
      <c r="B288" s="9"/>
      <c r="C288" s="9"/>
      <c r="D288" s="27" t="s">
        <v>2651</v>
      </c>
      <c r="E288" s="3" t="s">
        <v>783</v>
      </c>
      <c r="F288" s="21" t="s">
        <v>2661</v>
      </c>
      <c r="G288" s="3" t="s">
        <v>2662</v>
      </c>
      <c r="H288" s="3" t="s">
        <v>2663</v>
      </c>
      <c r="I288" s="9"/>
    </row>
    <row r="289" spans="1:9" x14ac:dyDescent="0.3">
      <c r="A289" s="9"/>
      <c r="B289" s="9"/>
      <c r="C289" s="9"/>
      <c r="D289" s="27" t="s">
        <v>2652</v>
      </c>
      <c r="E289" s="3" t="s">
        <v>783</v>
      </c>
      <c r="F289" s="21" t="s">
        <v>2664</v>
      </c>
      <c r="G289" s="3" t="s">
        <v>2665</v>
      </c>
      <c r="H289" s="3" t="s">
        <v>1663</v>
      </c>
      <c r="I289" s="9"/>
    </row>
    <row r="290" spans="1:9" x14ac:dyDescent="0.3">
      <c r="A290" s="9"/>
      <c r="B290" s="9"/>
      <c r="C290" s="9"/>
      <c r="D290" s="27" t="s">
        <v>2653</v>
      </c>
      <c r="E290" s="3" t="s">
        <v>783</v>
      </c>
      <c r="F290" s="21" t="s">
        <v>2666</v>
      </c>
      <c r="G290" s="3" t="s">
        <v>2668</v>
      </c>
      <c r="H290" s="3" t="s">
        <v>1663</v>
      </c>
      <c r="I290" s="9"/>
    </row>
    <row r="291" spans="1:9" x14ac:dyDescent="0.3">
      <c r="A291" s="9"/>
      <c r="B291" s="9"/>
      <c r="C291" s="9"/>
      <c r="D291" s="27" t="s">
        <v>2654</v>
      </c>
      <c r="E291" s="3" t="s">
        <v>783</v>
      </c>
      <c r="F291" s="3" t="s">
        <v>2667</v>
      </c>
      <c r="G291" s="3" t="s">
        <v>2669</v>
      </c>
      <c r="H291" s="3" t="s">
        <v>2663</v>
      </c>
      <c r="I291" s="9"/>
    </row>
    <row r="292" spans="1:9" x14ac:dyDescent="0.3">
      <c r="A292" s="9"/>
      <c r="B292" s="9"/>
      <c r="C292" s="9"/>
      <c r="D292" s="27" t="s">
        <v>2655</v>
      </c>
      <c r="E292" s="3" t="s">
        <v>2684</v>
      </c>
      <c r="F292" s="21" t="s">
        <v>2685</v>
      </c>
      <c r="G292" s="3" t="s">
        <v>2583</v>
      </c>
      <c r="H292" s="9"/>
      <c r="I292" s="9"/>
    </row>
    <row r="293" spans="1:9" x14ac:dyDescent="0.3">
      <c r="A293" s="9"/>
      <c r="B293" s="9"/>
      <c r="C293" s="9"/>
      <c r="D293" s="27" t="s">
        <v>2656</v>
      </c>
      <c r="E293" s="3" t="s">
        <v>261</v>
      </c>
      <c r="F293" s="21" t="s">
        <v>2700</v>
      </c>
      <c r="G293" s="9"/>
      <c r="H293" s="9"/>
      <c r="I293" s="9"/>
    </row>
    <row r="294" spans="1:9" x14ac:dyDescent="0.3">
      <c r="A294" s="9"/>
      <c r="B294" s="9"/>
      <c r="C294" s="9"/>
      <c r="D294" s="27" t="s">
        <v>2657</v>
      </c>
      <c r="E294" s="3" t="s">
        <v>783</v>
      </c>
      <c r="F294" s="82" t="s">
        <v>2701</v>
      </c>
      <c r="G294" s="3" t="s">
        <v>2702</v>
      </c>
      <c r="H294" s="3" t="s">
        <v>2706</v>
      </c>
      <c r="I294" s="9"/>
    </row>
    <row r="295" spans="1:9" x14ac:dyDescent="0.3">
      <c r="A295" s="9"/>
      <c r="B295" s="9"/>
      <c r="C295" s="9"/>
      <c r="D295" s="27" t="s">
        <v>2658</v>
      </c>
      <c r="E295" s="3" t="s">
        <v>2707</v>
      </c>
      <c r="F295" s="3" t="s">
        <v>2708</v>
      </c>
      <c r="G295" s="3" t="s">
        <v>2709</v>
      </c>
      <c r="H295" s="9"/>
      <c r="I295" s="9"/>
    </row>
    <row r="296" spans="1:9" x14ac:dyDescent="0.3">
      <c r="A296" s="9"/>
      <c r="B296" s="9"/>
      <c r="C296" s="9"/>
      <c r="D296" s="27" t="s">
        <v>2659</v>
      </c>
      <c r="E296" s="3"/>
      <c r="F296" s="50"/>
      <c r="G296" s="9"/>
      <c r="H296" s="9"/>
      <c r="I296" s="9"/>
    </row>
    <row r="297" spans="1:9" x14ac:dyDescent="0.3">
      <c r="A297" s="9"/>
      <c r="B297" s="9"/>
      <c r="C297" s="9"/>
      <c r="D297" s="27" t="s">
        <v>2660</v>
      </c>
      <c r="E297" s="9"/>
      <c r="F297" s="9"/>
      <c r="G297" s="9"/>
      <c r="H297" s="9"/>
      <c r="I297" s="9"/>
    </row>
    <row r="298" spans="1:9" x14ac:dyDescent="0.3">
      <c r="A298" s="9"/>
      <c r="B298" s="9"/>
      <c r="C298" s="9"/>
      <c r="D298" s="27" t="s">
        <v>2723</v>
      </c>
      <c r="E298" s="3" t="s">
        <v>261</v>
      </c>
      <c r="F298" s="17" t="s">
        <v>2721</v>
      </c>
      <c r="G298" s="3" t="s">
        <v>2722</v>
      </c>
      <c r="H298" s="3" t="s">
        <v>2728</v>
      </c>
      <c r="I298" s="9"/>
    </row>
    <row r="299" spans="1:9" x14ac:dyDescent="0.3">
      <c r="A299" s="9"/>
      <c r="B299" s="9"/>
      <c r="C299" s="9"/>
      <c r="D299" s="27" t="s">
        <v>2724</v>
      </c>
      <c r="E299" s="9" t="s">
        <v>1615</v>
      </c>
      <c r="F299" s="17" t="s">
        <v>2726</v>
      </c>
      <c r="G299" s="3" t="s">
        <v>2727</v>
      </c>
      <c r="H299" s="3"/>
      <c r="I299" s="9"/>
    </row>
    <row r="300" spans="1:9" x14ac:dyDescent="0.3">
      <c r="A300" s="9"/>
      <c r="B300" s="9"/>
      <c r="C300" s="9"/>
      <c r="D300" s="27" t="s">
        <v>2725</v>
      </c>
      <c r="E300" s="9" t="s">
        <v>2729</v>
      </c>
      <c r="F300" s="3" t="s">
        <v>2730</v>
      </c>
      <c r="G300" s="3" t="s">
        <v>2731</v>
      </c>
      <c r="H300" s="3" t="s">
        <v>2732</v>
      </c>
      <c r="I300" s="9"/>
    </row>
    <row r="301" spans="1:9" x14ac:dyDescent="0.3">
      <c r="A301" s="9"/>
      <c r="B301" s="9"/>
      <c r="C301" s="9"/>
      <c r="D301" s="3" t="s">
        <v>2733</v>
      </c>
      <c r="E301" s="3" t="s">
        <v>2734</v>
      </c>
      <c r="F301" s="3" t="s">
        <v>2735</v>
      </c>
      <c r="G301" s="3"/>
      <c r="H301" s="9"/>
      <c r="I301" s="9"/>
    </row>
    <row r="302" spans="1:9" ht="32.25" x14ac:dyDescent="0.3">
      <c r="A302" s="9"/>
      <c r="B302" s="9"/>
      <c r="C302" s="9"/>
      <c r="D302" s="3" t="s">
        <v>2736</v>
      </c>
      <c r="E302" s="3" t="s">
        <v>574</v>
      </c>
      <c r="F302" s="17" t="s">
        <v>2737</v>
      </c>
      <c r="G302" s="3" t="s">
        <v>2738</v>
      </c>
      <c r="H302" s="9"/>
      <c r="I302" s="9"/>
    </row>
    <row r="303" spans="1:9" x14ac:dyDescent="0.3">
      <c r="A303" s="9"/>
      <c r="B303" s="9"/>
      <c r="C303" s="9"/>
      <c r="D303" s="3" t="s">
        <v>2755</v>
      </c>
      <c r="E303" s="9" t="s">
        <v>1109</v>
      </c>
      <c r="F303" s="3" t="s">
        <v>2757</v>
      </c>
      <c r="G303" s="9" t="s">
        <v>2758</v>
      </c>
      <c r="H303" s="9" t="s">
        <v>2486</v>
      </c>
      <c r="I303" s="9"/>
    </row>
    <row r="304" spans="1:9" x14ac:dyDescent="0.3">
      <c r="A304" s="9"/>
      <c r="B304" s="9"/>
      <c r="C304" s="9"/>
      <c r="D304" s="3" t="s">
        <v>2756</v>
      </c>
      <c r="E304" s="9" t="s">
        <v>2278</v>
      </c>
      <c r="F304" s="3" t="s">
        <v>2759</v>
      </c>
      <c r="G304" s="9" t="s">
        <v>2760</v>
      </c>
      <c r="H304" s="9" t="s">
        <v>2486</v>
      </c>
      <c r="I304" s="9"/>
    </row>
    <row r="305" spans="1:9" x14ac:dyDescent="0.3">
      <c r="A305" s="9"/>
      <c r="B305" s="9"/>
      <c r="C305" s="9"/>
      <c r="D305" s="3" t="s">
        <v>2797</v>
      </c>
      <c r="E305" s="9" t="s">
        <v>261</v>
      </c>
      <c r="F305" s="50" t="s">
        <v>2798</v>
      </c>
      <c r="G305" s="9" t="s">
        <v>2799</v>
      </c>
      <c r="H305" s="3"/>
      <c r="I305" s="9"/>
    </row>
    <row r="306" spans="1:9" x14ac:dyDescent="0.3">
      <c r="A306" s="9"/>
      <c r="B306" s="9"/>
      <c r="C306" s="9"/>
      <c r="D306" s="3" t="s">
        <v>2812</v>
      </c>
      <c r="E306" s="9" t="s">
        <v>1147</v>
      </c>
      <c r="F306" s="9" t="s">
        <v>1703</v>
      </c>
      <c r="G306" s="9" t="s">
        <v>2813</v>
      </c>
      <c r="H306" s="9" t="s">
        <v>2814</v>
      </c>
      <c r="I306" s="9"/>
    </row>
    <row r="307" spans="1:9" x14ac:dyDescent="0.3">
      <c r="A307" s="9"/>
      <c r="B307" s="9"/>
      <c r="C307" s="9"/>
      <c r="D307" s="3" t="s">
        <v>2822</v>
      </c>
      <c r="E307" s="9" t="s">
        <v>261</v>
      </c>
      <c r="F307" s="9" t="s">
        <v>2819</v>
      </c>
      <c r="G307" s="9"/>
      <c r="H307" s="9"/>
      <c r="I307" s="9"/>
    </row>
    <row r="308" spans="1:9" x14ac:dyDescent="0.3">
      <c r="A308" s="9"/>
      <c r="B308" s="9"/>
      <c r="C308" s="9"/>
      <c r="D308" s="3" t="s">
        <v>2823</v>
      </c>
      <c r="E308" s="9" t="s">
        <v>2818</v>
      </c>
      <c r="F308" s="9" t="s">
        <v>2820</v>
      </c>
      <c r="G308" s="9"/>
      <c r="H308" s="9"/>
      <c r="I308" s="9"/>
    </row>
    <row r="309" spans="1:9" x14ac:dyDescent="0.3">
      <c r="A309" s="9"/>
      <c r="B309" s="9"/>
      <c r="C309" s="9"/>
      <c r="D309" s="3" t="s">
        <v>2824</v>
      </c>
      <c r="E309" s="9"/>
      <c r="F309" s="9"/>
      <c r="G309" s="9"/>
      <c r="H309" s="9"/>
      <c r="I309" s="9"/>
    </row>
    <row r="310" spans="1:9" x14ac:dyDescent="0.3">
      <c r="A310" s="9"/>
      <c r="B310" s="9"/>
      <c r="C310" s="9"/>
      <c r="D310" s="3" t="s">
        <v>2825</v>
      </c>
      <c r="E310" s="9" t="s">
        <v>783</v>
      </c>
      <c r="F310" s="50" t="s">
        <v>2826</v>
      </c>
      <c r="G310" s="9"/>
      <c r="H310" s="9"/>
      <c r="I310" s="9"/>
    </row>
    <row r="311" spans="1:9" ht="40.5" x14ac:dyDescent="0.3">
      <c r="A311" s="9"/>
      <c r="B311" s="9"/>
      <c r="C311" s="9"/>
      <c r="D311" s="3" t="s">
        <v>2828</v>
      </c>
      <c r="E311" s="9" t="s">
        <v>783</v>
      </c>
      <c r="F311" s="50" t="s">
        <v>2833</v>
      </c>
      <c r="G311" s="9" t="s">
        <v>2834</v>
      </c>
      <c r="H311" s="9" t="s">
        <v>1013</v>
      </c>
      <c r="I311" s="9"/>
    </row>
    <row r="312" spans="1:9" ht="40.5" x14ac:dyDescent="0.3">
      <c r="A312" s="9"/>
      <c r="B312" s="9"/>
      <c r="C312" s="9"/>
      <c r="D312" s="3" t="s">
        <v>2829</v>
      </c>
      <c r="E312" s="9" t="s">
        <v>783</v>
      </c>
      <c r="F312" s="50" t="s">
        <v>2835</v>
      </c>
      <c r="G312" s="9" t="s">
        <v>2836</v>
      </c>
      <c r="H312" s="9" t="s">
        <v>1013</v>
      </c>
      <c r="I312" s="9"/>
    </row>
    <row r="313" spans="1:9" ht="40.5" x14ac:dyDescent="0.3">
      <c r="A313" s="9"/>
      <c r="B313" s="9"/>
      <c r="C313" s="9"/>
      <c r="D313" s="3" t="s">
        <v>2830</v>
      </c>
      <c r="E313" s="9" t="s">
        <v>783</v>
      </c>
      <c r="F313" s="50" t="s">
        <v>2837</v>
      </c>
      <c r="G313" s="9" t="s">
        <v>2838</v>
      </c>
      <c r="H313" s="9" t="s">
        <v>1013</v>
      </c>
      <c r="I313" s="9"/>
    </row>
    <row r="314" spans="1:9" ht="40.5" x14ac:dyDescent="0.3">
      <c r="A314" s="9"/>
      <c r="B314" s="9"/>
      <c r="C314" s="9"/>
      <c r="D314" s="3" t="s">
        <v>2831</v>
      </c>
      <c r="E314" s="9" t="s">
        <v>783</v>
      </c>
      <c r="F314" s="50" t="s">
        <v>2839</v>
      </c>
      <c r="G314" s="9" t="s">
        <v>2840</v>
      </c>
      <c r="H314" s="9" t="s">
        <v>1013</v>
      </c>
      <c r="I314" s="9"/>
    </row>
    <row r="315" spans="1:9" x14ac:dyDescent="0.3">
      <c r="A315" s="9"/>
      <c r="B315" s="9"/>
      <c r="C315" s="9"/>
      <c r="D315" s="3" t="s">
        <v>2832</v>
      </c>
      <c r="E315" s="9" t="s">
        <v>261</v>
      </c>
      <c r="F315" s="9" t="s">
        <v>2844</v>
      </c>
      <c r="G315" s="9"/>
      <c r="H315" s="9"/>
      <c r="I315" s="9"/>
    </row>
    <row r="316" spans="1:9" ht="40.5" x14ac:dyDescent="0.3">
      <c r="A316" s="9"/>
      <c r="B316" s="9"/>
      <c r="C316" s="9"/>
      <c r="D316" s="3" t="s">
        <v>2841</v>
      </c>
      <c r="E316" s="9" t="s">
        <v>783</v>
      </c>
      <c r="F316" s="50" t="s">
        <v>2845</v>
      </c>
      <c r="G316" s="9" t="s">
        <v>2846</v>
      </c>
      <c r="H316" s="9" t="s">
        <v>1013</v>
      </c>
      <c r="I316" s="9"/>
    </row>
    <row r="317" spans="1:9" x14ac:dyDescent="0.3">
      <c r="A317" s="9"/>
      <c r="B317" s="9"/>
      <c r="C317" s="9"/>
      <c r="D317" s="3" t="s">
        <v>2842</v>
      </c>
      <c r="E317" s="9"/>
      <c r="F317" s="9"/>
      <c r="G317" s="9"/>
      <c r="H317" s="9"/>
      <c r="I317" s="9"/>
    </row>
    <row r="318" spans="1:9" x14ac:dyDescent="0.3">
      <c r="A318" s="9"/>
      <c r="B318" s="9"/>
      <c r="C318" s="9"/>
      <c r="D318" s="3" t="s">
        <v>2843</v>
      </c>
      <c r="E318" s="9" t="s">
        <v>2849</v>
      </c>
      <c r="F318" s="9" t="s">
        <v>2850</v>
      </c>
      <c r="G318" s="9" t="s">
        <v>2851</v>
      </c>
      <c r="H318" s="9" t="s">
        <v>2852</v>
      </c>
      <c r="I318" s="9"/>
    </row>
    <row r="319" spans="1:9" x14ac:dyDescent="0.3">
      <c r="A319" s="9"/>
      <c r="B319" s="9"/>
      <c r="C319" s="9"/>
      <c r="D319" s="3" t="s">
        <v>2853</v>
      </c>
      <c r="E319" s="9" t="s">
        <v>783</v>
      </c>
      <c r="F319" s="9" t="s">
        <v>2855</v>
      </c>
      <c r="G319" s="9" t="s">
        <v>2856</v>
      </c>
      <c r="H319" s="9" t="s">
        <v>1013</v>
      </c>
      <c r="I319" s="9"/>
    </row>
    <row r="320" spans="1:9" x14ac:dyDescent="0.3">
      <c r="A320" s="9"/>
      <c r="B320" s="9"/>
      <c r="C320" s="9"/>
      <c r="D320" s="3" t="s">
        <v>2854</v>
      </c>
      <c r="E320" s="9" t="s">
        <v>783</v>
      </c>
      <c r="F320" s="9" t="s">
        <v>2857</v>
      </c>
      <c r="G320" s="9" t="s">
        <v>2856</v>
      </c>
      <c r="H320" s="9" t="s">
        <v>1013</v>
      </c>
      <c r="I320" s="9"/>
    </row>
    <row r="321" spans="1:9" ht="40.5" x14ac:dyDescent="0.3">
      <c r="A321" s="9"/>
      <c r="B321" s="9"/>
      <c r="C321" s="9"/>
      <c r="D321" s="3" t="s">
        <v>2861</v>
      </c>
      <c r="E321" s="9" t="s">
        <v>2863</v>
      </c>
      <c r="F321" s="50" t="s">
        <v>2862</v>
      </c>
      <c r="G321" s="9"/>
      <c r="H321" s="9"/>
      <c r="I321" s="9"/>
    </row>
    <row r="322" spans="1:9" ht="40.5" x14ac:dyDescent="0.3">
      <c r="A322" s="91">
        <v>46240</v>
      </c>
      <c r="B322" s="9"/>
      <c r="C322" s="9"/>
      <c r="D322" s="3" t="s">
        <v>2869</v>
      </c>
      <c r="E322" s="9" t="s">
        <v>2849</v>
      </c>
      <c r="F322" s="50" t="s">
        <v>2873</v>
      </c>
      <c r="G322" s="9" t="s">
        <v>2874</v>
      </c>
      <c r="H322" s="9" t="s">
        <v>2875</v>
      </c>
      <c r="I322" s="9"/>
    </row>
    <row r="323" spans="1:9" ht="40.5" x14ac:dyDescent="0.3">
      <c r="A323" s="9"/>
      <c r="B323" s="9"/>
      <c r="C323" s="9"/>
      <c r="D323" s="3" t="s">
        <v>2870</v>
      </c>
      <c r="E323" s="9" t="s">
        <v>1556</v>
      </c>
      <c r="F323" s="50" t="s">
        <v>2880</v>
      </c>
      <c r="G323" s="9" t="s">
        <v>2881</v>
      </c>
      <c r="H323" s="9"/>
      <c r="I323" s="9"/>
    </row>
    <row r="324" spans="1:9" x14ac:dyDescent="0.3">
      <c r="A324" s="9"/>
      <c r="B324" s="9"/>
      <c r="C324" s="9"/>
      <c r="D324" s="3" t="s">
        <v>2871</v>
      </c>
      <c r="E324" s="9" t="s">
        <v>2884</v>
      </c>
      <c r="F324" s="9" t="s">
        <v>2885</v>
      </c>
      <c r="G324" s="9" t="s">
        <v>2886</v>
      </c>
      <c r="H324" s="9" t="s">
        <v>1433</v>
      </c>
      <c r="I324" s="9"/>
    </row>
    <row r="325" spans="1:9" x14ac:dyDescent="0.3">
      <c r="A325" s="9"/>
      <c r="B325" s="9"/>
      <c r="C325" s="9"/>
      <c r="D325" s="3" t="s">
        <v>2872</v>
      </c>
      <c r="E325" s="9" t="s">
        <v>1109</v>
      </c>
      <c r="F325" s="9" t="s">
        <v>2895</v>
      </c>
      <c r="G325" s="9" t="s">
        <v>2896</v>
      </c>
      <c r="H325" s="9" t="s">
        <v>2897</v>
      </c>
      <c r="I325" s="9"/>
    </row>
    <row r="326" spans="1:9" ht="40.5" x14ac:dyDescent="0.3">
      <c r="A326" s="9"/>
      <c r="B326" s="9"/>
      <c r="C326" s="9"/>
      <c r="D326" s="3" t="s">
        <v>2898</v>
      </c>
      <c r="E326" s="9" t="s">
        <v>1109</v>
      </c>
      <c r="F326" s="50" t="s">
        <v>2902</v>
      </c>
      <c r="G326" s="9" t="s">
        <v>2903</v>
      </c>
      <c r="H326" s="9"/>
      <c r="I326" s="9"/>
    </row>
    <row r="327" spans="1:9" x14ac:dyDescent="0.3">
      <c r="A327" s="91">
        <v>46271</v>
      </c>
      <c r="B327" s="9"/>
      <c r="C327" s="9"/>
      <c r="D327" s="3" t="s">
        <v>2899</v>
      </c>
      <c r="E327" s="9" t="s">
        <v>2916</v>
      </c>
      <c r="F327" s="50" t="s">
        <v>2917</v>
      </c>
      <c r="G327" s="9" t="s">
        <v>2912</v>
      </c>
      <c r="H327" s="9"/>
      <c r="I327" s="9"/>
    </row>
    <row r="328" spans="1:9" x14ac:dyDescent="0.3">
      <c r="A328" s="9"/>
      <c r="B328" s="9"/>
      <c r="C328" s="9"/>
      <c r="D328" s="3" t="s">
        <v>2900</v>
      </c>
      <c r="E328" s="9" t="s">
        <v>261</v>
      </c>
      <c r="F328" s="9" t="s">
        <v>2919</v>
      </c>
      <c r="G328" s="9" t="s">
        <v>2920</v>
      </c>
      <c r="H328" s="9" t="s">
        <v>2921</v>
      </c>
      <c r="I328" s="9"/>
    </row>
    <row r="329" spans="1:9" x14ac:dyDescent="0.3">
      <c r="A329" s="9"/>
      <c r="B329" s="9"/>
      <c r="C329" s="9"/>
      <c r="D329" s="3" t="s">
        <v>2901</v>
      </c>
      <c r="E329" s="9" t="s">
        <v>1113</v>
      </c>
      <c r="F329" s="9" t="s">
        <v>2930</v>
      </c>
      <c r="G329" s="9" t="s">
        <v>2931</v>
      </c>
      <c r="H329" s="9" t="s">
        <v>2932</v>
      </c>
      <c r="I329" s="9"/>
    </row>
    <row r="330" spans="1:9" x14ac:dyDescent="0.3">
      <c r="A330" s="9"/>
      <c r="B330" s="9"/>
      <c r="C330" s="9"/>
      <c r="D330" s="3" t="s">
        <v>2927</v>
      </c>
      <c r="E330" s="9" t="s">
        <v>1113</v>
      </c>
      <c r="F330" s="50" t="s">
        <v>2933</v>
      </c>
      <c r="G330" s="9"/>
      <c r="H330" s="9"/>
      <c r="I330" s="9"/>
    </row>
    <row r="331" spans="1:9" x14ac:dyDescent="0.3">
      <c r="A331" s="9"/>
      <c r="B331" s="9"/>
      <c r="C331" s="9"/>
      <c r="D331" s="3" t="s">
        <v>2928</v>
      </c>
      <c r="E331" s="9" t="s">
        <v>2938</v>
      </c>
      <c r="F331" s="9"/>
      <c r="G331" s="9"/>
      <c r="H331" s="9"/>
      <c r="I331" s="9"/>
    </row>
    <row r="332" spans="1:9" x14ac:dyDescent="0.3">
      <c r="A332" s="9"/>
      <c r="B332" s="9"/>
      <c r="C332" s="95">
        <v>46301</v>
      </c>
      <c r="D332" s="3" t="s">
        <v>2929</v>
      </c>
      <c r="E332" s="9" t="s">
        <v>1113</v>
      </c>
      <c r="F332" s="9" t="s">
        <v>2945</v>
      </c>
      <c r="G332" s="9" t="s">
        <v>2931</v>
      </c>
      <c r="H332" s="9" t="s">
        <v>2932</v>
      </c>
      <c r="I332" s="9"/>
    </row>
    <row r="333" spans="1:9" x14ac:dyDescent="0.3">
      <c r="A333" s="9"/>
      <c r="B333" s="9"/>
      <c r="C333" s="9"/>
      <c r="D333" s="3" t="s">
        <v>2939</v>
      </c>
      <c r="E333" s="9"/>
      <c r="F333" s="9"/>
      <c r="G333" s="9"/>
      <c r="H333" s="9"/>
      <c r="I333" s="9"/>
    </row>
    <row r="334" spans="1:9" x14ac:dyDescent="0.3">
      <c r="A334" s="9"/>
      <c r="B334" s="9"/>
      <c r="C334" s="9"/>
      <c r="D334" s="3" t="s">
        <v>2940</v>
      </c>
      <c r="E334" s="9"/>
      <c r="F334" s="9"/>
      <c r="G334" s="9"/>
      <c r="H334" s="9"/>
      <c r="I334" s="9"/>
    </row>
    <row r="335" spans="1:9" x14ac:dyDescent="0.3">
      <c r="A335" s="9"/>
      <c r="B335" s="9"/>
      <c r="C335" s="9"/>
      <c r="D335" s="3" t="s">
        <v>2941</v>
      </c>
      <c r="E335" s="9"/>
      <c r="F335" s="9"/>
      <c r="G335" s="9"/>
      <c r="H335" s="9"/>
      <c r="I335" s="9"/>
    </row>
    <row r="336" spans="1:9" x14ac:dyDescent="0.3">
      <c r="A336" s="9"/>
      <c r="B336" s="9"/>
      <c r="C336" s="9"/>
      <c r="D336" s="3" t="s">
        <v>2942</v>
      </c>
      <c r="E336" s="9"/>
      <c r="F336" s="9"/>
      <c r="G336" s="9"/>
      <c r="H336" s="9"/>
      <c r="I336" s="9"/>
    </row>
    <row r="337" spans="1:9" x14ac:dyDescent="0.3">
      <c r="A337" s="9"/>
      <c r="B337" s="9"/>
      <c r="C337" s="9"/>
      <c r="D337" s="3" t="s">
        <v>2943</v>
      </c>
      <c r="E337" s="9" t="s">
        <v>2950</v>
      </c>
      <c r="F337" s="9" t="s">
        <v>2951</v>
      </c>
      <c r="G337" s="9" t="s">
        <v>2952</v>
      </c>
      <c r="H337" s="9"/>
      <c r="I337" s="9"/>
    </row>
    <row r="338" spans="1:9" x14ac:dyDescent="0.3">
      <c r="A338" s="9"/>
      <c r="B338" s="9"/>
      <c r="C338" s="9"/>
      <c r="D338" s="3" t="s">
        <v>2944</v>
      </c>
      <c r="E338" s="9" t="s">
        <v>1813</v>
      </c>
      <c r="F338" s="9" t="s">
        <v>2955</v>
      </c>
      <c r="G338" s="9" t="s">
        <v>2956</v>
      </c>
      <c r="H338" s="9" t="s">
        <v>2957</v>
      </c>
      <c r="I338" s="9"/>
    </row>
    <row r="339" spans="1:9" x14ac:dyDescent="0.3">
      <c r="A339" s="9"/>
      <c r="B339" s="9"/>
      <c r="C339" s="9"/>
      <c r="D339" s="3" t="s">
        <v>2962</v>
      </c>
      <c r="E339" s="9" t="s">
        <v>2967</v>
      </c>
      <c r="F339" s="9" t="s">
        <v>2968</v>
      </c>
      <c r="G339" s="9" t="s">
        <v>2796</v>
      </c>
      <c r="H339" s="9"/>
      <c r="I339" s="9"/>
    </row>
    <row r="340" spans="1:9" x14ac:dyDescent="0.3">
      <c r="A340" s="9"/>
      <c r="B340" s="9"/>
      <c r="C340" s="9"/>
      <c r="D340" s="3" t="s">
        <v>2963</v>
      </c>
      <c r="E340" s="9" t="s">
        <v>574</v>
      </c>
      <c r="F340" s="9" t="s">
        <v>2969</v>
      </c>
      <c r="G340" s="9" t="s">
        <v>2970</v>
      </c>
      <c r="H340" s="9" t="s">
        <v>2971</v>
      </c>
      <c r="I340" s="9"/>
    </row>
    <row r="341" spans="1:9" x14ac:dyDescent="0.3">
      <c r="A341" s="9"/>
      <c r="B341" s="9"/>
      <c r="C341" s="9"/>
      <c r="D341" s="9" t="s">
        <v>2964</v>
      </c>
      <c r="E341" s="9" t="s">
        <v>2972</v>
      </c>
      <c r="F341" s="9" t="s">
        <v>2973</v>
      </c>
      <c r="G341" s="9" t="s">
        <v>2974</v>
      </c>
      <c r="H341" s="9" t="s">
        <v>1433</v>
      </c>
      <c r="I341" s="9"/>
    </row>
    <row r="342" spans="1:9" x14ac:dyDescent="0.3">
      <c r="A342" s="9"/>
      <c r="B342" s="9"/>
      <c r="C342" s="9"/>
      <c r="D342" s="9" t="s">
        <v>2965</v>
      </c>
      <c r="E342" s="9" t="s">
        <v>2976</v>
      </c>
      <c r="F342" s="9" t="s">
        <v>2977</v>
      </c>
      <c r="G342" s="9" t="s">
        <v>2978</v>
      </c>
      <c r="H342" s="9" t="s">
        <v>2921</v>
      </c>
      <c r="I342" s="9"/>
    </row>
    <row r="343" spans="1:9" x14ac:dyDescent="0.3">
      <c r="A343" s="9"/>
      <c r="B343" s="9"/>
      <c r="C343" s="9" t="s">
        <v>3000</v>
      </c>
      <c r="D343" s="9" t="s">
        <v>2966</v>
      </c>
      <c r="E343" s="9" t="s">
        <v>1147</v>
      </c>
      <c r="F343" s="9" t="s">
        <v>1703</v>
      </c>
      <c r="G343" s="9"/>
      <c r="H343" s="9"/>
      <c r="I343" s="9"/>
    </row>
    <row r="344" spans="1:9" x14ac:dyDescent="0.3">
      <c r="A344" s="9"/>
      <c r="B344" s="9"/>
      <c r="C344" s="9"/>
      <c r="D344" s="9" t="s">
        <v>3001</v>
      </c>
      <c r="E344" s="9" t="s">
        <v>783</v>
      </c>
      <c r="F344" s="9" t="s">
        <v>3005</v>
      </c>
      <c r="G344" s="9" t="s">
        <v>3006</v>
      </c>
      <c r="H344" s="9" t="s">
        <v>1013</v>
      </c>
      <c r="I344" s="9"/>
    </row>
    <row r="345" spans="1:9" x14ac:dyDescent="0.3">
      <c r="A345" s="9"/>
      <c r="B345" s="9"/>
      <c r="C345" s="9"/>
      <c r="D345" s="9" t="s">
        <v>3002</v>
      </c>
      <c r="E345" s="9" t="s">
        <v>261</v>
      </c>
      <c r="F345" s="9" t="s">
        <v>3007</v>
      </c>
      <c r="G345" s="9" t="s">
        <v>3008</v>
      </c>
      <c r="H345" s="9" t="s">
        <v>1062</v>
      </c>
      <c r="I345" s="9"/>
    </row>
    <row r="346" spans="1:9" ht="40.5" x14ac:dyDescent="0.3">
      <c r="A346" s="9"/>
      <c r="B346" s="9"/>
      <c r="C346" s="9" t="s">
        <v>3039</v>
      </c>
      <c r="D346" s="9" t="s">
        <v>3003</v>
      </c>
      <c r="E346" s="9" t="s">
        <v>3044</v>
      </c>
      <c r="F346" s="50" t="s">
        <v>3045</v>
      </c>
      <c r="G346" s="9" t="s">
        <v>2886</v>
      </c>
      <c r="H346" s="9" t="s">
        <v>2183</v>
      </c>
      <c r="I346" s="9"/>
    </row>
    <row r="347" spans="1:9" x14ac:dyDescent="0.3">
      <c r="A347" s="9"/>
      <c r="B347" s="9"/>
      <c r="C347" s="9"/>
      <c r="D347" s="9" t="s">
        <v>3004</v>
      </c>
      <c r="E347" s="9" t="s">
        <v>1390</v>
      </c>
      <c r="F347" s="9" t="s">
        <v>3047</v>
      </c>
      <c r="G347" s="9" t="s">
        <v>2913</v>
      </c>
      <c r="H347" s="9" t="s">
        <v>2598</v>
      </c>
      <c r="I347" s="9"/>
    </row>
    <row r="348" spans="1:9" ht="40.5" x14ac:dyDescent="0.3">
      <c r="A348" s="9"/>
      <c r="B348" s="9"/>
      <c r="C348" s="9"/>
      <c r="D348" s="9" t="s">
        <v>3053</v>
      </c>
      <c r="E348" s="9" t="s">
        <v>254</v>
      </c>
      <c r="F348" s="50" t="s">
        <v>3059</v>
      </c>
      <c r="G348" s="9"/>
      <c r="H348" s="9"/>
      <c r="I348" s="9"/>
    </row>
    <row r="349" spans="1:9" x14ac:dyDescent="0.3">
      <c r="A349" s="9"/>
      <c r="B349" s="9"/>
      <c r="C349" s="9"/>
      <c r="D349" s="9" t="s">
        <v>3054</v>
      </c>
      <c r="E349" s="9" t="s">
        <v>1147</v>
      </c>
      <c r="F349" s="9" t="s">
        <v>3060</v>
      </c>
      <c r="G349" s="9" t="s">
        <v>3061</v>
      </c>
      <c r="H349" s="9" t="s">
        <v>582</v>
      </c>
      <c r="I349" s="9"/>
    </row>
    <row r="350" spans="1:9" x14ac:dyDescent="0.3">
      <c r="A350" s="9"/>
      <c r="B350" s="9"/>
      <c r="C350" s="9"/>
      <c r="D350" s="9" t="s">
        <v>3055</v>
      </c>
      <c r="E350" s="9" t="s">
        <v>3070</v>
      </c>
      <c r="F350" s="9" t="s">
        <v>3071</v>
      </c>
      <c r="G350" s="9" t="s">
        <v>3072</v>
      </c>
      <c r="H350" s="9" t="s">
        <v>2183</v>
      </c>
      <c r="I350" s="9"/>
    </row>
    <row r="351" spans="1:9" x14ac:dyDescent="0.3">
      <c r="A351" s="9"/>
      <c r="B351" s="9"/>
      <c r="C351" s="9"/>
      <c r="D351" s="9" t="s">
        <v>3056</v>
      </c>
      <c r="E351" s="9" t="s">
        <v>1109</v>
      </c>
      <c r="F351" s="9" t="s">
        <v>3073</v>
      </c>
      <c r="G351" s="9"/>
      <c r="H351" s="9"/>
      <c r="I351" s="9"/>
    </row>
    <row r="352" spans="1:9" x14ac:dyDescent="0.3">
      <c r="A352" s="9"/>
      <c r="B352" s="9"/>
      <c r="C352" s="9"/>
      <c r="D352" s="9" t="s">
        <v>3057</v>
      </c>
      <c r="E352" s="9" t="s">
        <v>1109</v>
      </c>
      <c r="F352" s="9" t="s">
        <v>3074</v>
      </c>
      <c r="G352" s="9"/>
      <c r="H352" s="9"/>
      <c r="I352" s="9"/>
    </row>
    <row r="353" spans="1:9" x14ac:dyDescent="0.3">
      <c r="A353" s="9"/>
      <c r="B353" s="9"/>
      <c r="C353" s="9"/>
      <c r="D353" s="9" t="s">
        <v>3058</v>
      </c>
      <c r="E353" s="9" t="s">
        <v>261</v>
      </c>
      <c r="F353" s="9"/>
      <c r="G353" s="9"/>
      <c r="H353" s="9"/>
      <c r="I353" s="9"/>
    </row>
    <row r="354" spans="1:9" x14ac:dyDescent="0.3">
      <c r="A354" s="9"/>
      <c r="B354" s="9"/>
      <c r="C354" s="9"/>
      <c r="D354" s="9" t="s">
        <v>3067</v>
      </c>
      <c r="E354" s="9"/>
      <c r="F354" s="9"/>
      <c r="G354" s="9"/>
      <c r="H354" s="9"/>
      <c r="I354" s="9"/>
    </row>
    <row r="355" spans="1:9" x14ac:dyDescent="0.3">
      <c r="A355" s="9"/>
      <c r="B355" s="9"/>
      <c r="C355" s="9"/>
      <c r="D355" s="9" t="s">
        <v>3068</v>
      </c>
      <c r="E355" s="9"/>
      <c r="F355" s="9"/>
      <c r="G355" s="9"/>
      <c r="H355" s="9"/>
      <c r="I355" s="9"/>
    </row>
    <row r="356" spans="1:9" x14ac:dyDescent="0.3">
      <c r="A356" s="9"/>
      <c r="B356" s="9"/>
      <c r="C356" s="9"/>
      <c r="D356" s="9" t="s">
        <v>3069</v>
      </c>
      <c r="E356" s="9" t="s">
        <v>261</v>
      </c>
      <c r="F356" s="9" t="s">
        <v>3090</v>
      </c>
      <c r="G356" s="9" t="s">
        <v>3091</v>
      </c>
      <c r="H356" s="9" t="s">
        <v>2082</v>
      </c>
      <c r="I356" s="9"/>
    </row>
    <row r="357" spans="1:9" x14ac:dyDescent="0.3">
      <c r="A357" s="9"/>
      <c r="B357" s="9"/>
      <c r="C357" s="9"/>
      <c r="D357" s="9" t="s">
        <v>3087</v>
      </c>
      <c r="E357" s="9" t="s">
        <v>261</v>
      </c>
      <c r="F357" s="9" t="s">
        <v>3092</v>
      </c>
      <c r="G357" s="9" t="s">
        <v>3093</v>
      </c>
      <c r="H357" s="9" t="s">
        <v>2082</v>
      </c>
      <c r="I357" s="9"/>
    </row>
    <row r="358" spans="1:9" x14ac:dyDescent="0.3">
      <c r="A358" s="9"/>
      <c r="B358" s="9"/>
      <c r="C358" s="9"/>
      <c r="D358" s="9" t="s">
        <v>3088</v>
      </c>
      <c r="E358" s="9" t="s">
        <v>261</v>
      </c>
      <c r="F358" s="9" t="s">
        <v>3086</v>
      </c>
      <c r="G358" s="9"/>
      <c r="H358" s="9"/>
      <c r="I358" s="9"/>
    </row>
    <row r="359" spans="1:9" ht="40.5" x14ac:dyDescent="0.3">
      <c r="A359" s="9"/>
      <c r="B359" s="9"/>
      <c r="C359" s="9"/>
      <c r="D359" s="9" t="s">
        <v>3089</v>
      </c>
      <c r="E359" s="9" t="s">
        <v>261</v>
      </c>
      <c r="F359" s="50" t="s">
        <v>3101</v>
      </c>
      <c r="G359" s="9"/>
      <c r="H359" s="9"/>
      <c r="I359" s="9"/>
    </row>
    <row r="360" spans="1:9" x14ac:dyDescent="0.3">
      <c r="A360" s="9"/>
      <c r="B360" s="9"/>
      <c r="C360" s="9"/>
      <c r="D360" s="9" t="s">
        <v>3098</v>
      </c>
      <c r="E360" s="9" t="s">
        <v>261</v>
      </c>
      <c r="F360" s="9" t="s">
        <v>3102</v>
      </c>
      <c r="G360" s="9"/>
      <c r="H360" s="9"/>
      <c r="I360" s="9"/>
    </row>
    <row r="361" spans="1:9" x14ac:dyDescent="0.3">
      <c r="A361" s="9"/>
      <c r="B361" s="9"/>
      <c r="C361" s="9" t="s">
        <v>3103</v>
      </c>
      <c r="D361" s="9" t="s">
        <v>3099</v>
      </c>
      <c r="E361" s="9" t="s">
        <v>1109</v>
      </c>
      <c r="F361" s="9" t="s">
        <v>3108</v>
      </c>
      <c r="G361" s="9" t="s">
        <v>3109</v>
      </c>
      <c r="H361" s="9" t="s">
        <v>3110</v>
      </c>
      <c r="I361" s="9"/>
    </row>
    <row r="362" spans="1:9" x14ac:dyDescent="0.3">
      <c r="A362" s="9"/>
      <c r="B362" s="9"/>
      <c r="C362" s="9" t="s">
        <v>3113</v>
      </c>
      <c r="D362" s="9" t="s">
        <v>3100</v>
      </c>
      <c r="E362" s="9" t="s">
        <v>694</v>
      </c>
      <c r="F362" s="9" t="s">
        <v>654</v>
      </c>
      <c r="G362" s="9"/>
      <c r="H362" s="9"/>
      <c r="I362" s="9"/>
    </row>
    <row r="363" spans="1:9" x14ac:dyDescent="0.3">
      <c r="A363" s="9"/>
      <c r="B363" s="9"/>
      <c r="C363" s="9" t="s">
        <v>3131</v>
      </c>
      <c r="D363" s="9" t="s">
        <v>3132</v>
      </c>
      <c r="E363" s="9" t="s">
        <v>783</v>
      </c>
      <c r="F363" s="50" t="s">
        <v>3142</v>
      </c>
      <c r="G363" s="9" t="s">
        <v>3143</v>
      </c>
      <c r="H363" s="9" t="s">
        <v>1013</v>
      </c>
      <c r="I363" s="9"/>
    </row>
    <row r="364" spans="1:9" x14ac:dyDescent="0.3">
      <c r="A364" s="9"/>
      <c r="B364" s="9"/>
      <c r="C364" s="9"/>
      <c r="D364" s="9" t="s">
        <v>3133</v>
      </c>
      <c r="E364" s="9" t="s">
        <v>3147</v>
      </c>
      <c r="F364" s="9" t="s">
        <v>3148</v>
      </c>
      <c r="G364" s="9" t="s">
        <v>3121</v>
      </c>
      <c r="H364" s="9" t="s">
        <v>3149</v>
      </c>
      <c r="I364" s="9"/>
    </row>
    <row r="365" spans="1:9" ht="40.5" x14ac:dyDescent="0.3">
      <c r="A365" s="9"/>
      <c r="B365" s="9"/>
      <c r="C365" s="9"/>
      <c r="D365" s="9" t="s">
        <v>3134</v>
      </c>
      <c r="E365" s="9" t="s">
        <v>1113</v>
      </c>
      <c r="F365" s="50" t="s">
        <v>3150</v>
      </c>
      <c r="G365" s="9"/>
      <c r="H365" s="9"/>
      <c r="I365" s="9"/>
    </row>
    <row r="366" spans="1:9" x14ac:dyDescent="0.3">
      <c r="A366" s="9"/>
      <c r="B366" s="9"/>
      <c r="C366" s="9"/>
      <c r="D366" s="9" t="s">
        <v>3135</v>
      </c>
      <c r="E366" s="9" t="s">
        <v>1431</v>
      </c>
      <c r="F366" s="9" t="s">
        <v>3153</v>
      </c>
      <c r="G366" s="9" t="s">
        <v>3154</v>
      </c>
      <c r="H366" s="9" t="s">
        <v>2372</v>
      </c>
      <c r="I366" s="9"/>
    </row>
    <row r="367" spans="1:9" x14ac:dyDescent="0.3">
      <c r="A367" s="9"/>
      <c r="B367" s="9"/>
      <c r="C367" s="9"/>
      <c r="D367" s="9" t="s">
        <v>3136</v>
      </c>
      <c r="E367" s="9" t="s">
        <v>3159</v>
      </c>
      <c r="F367" s="9" t="s">
        <v>3160</v>
      </c>
      <c r="G367" s="9" t="s">
        <v>3034</v>
      </c>
      <c r="H367" s="9" t="s">
        <v>3161</v>
      </c>
      <c r="I367" s="9"/>
    </row>
    <row r="368" spans="1:9" x14ac:dyDescent="0.3">
      <c r="A368" s="9"/>
      <c r="B368" s="9"/>
      <c r="C368" s="9"/>
      <c r="D368" s="9" t="s">
        <v>3137</v>
      </c>
      <c r="E368" s="9" t="s">
        <v>3159</v>
      </c>
      <c r="F368" s="9" t="s">
        <v>3162</v>
      </c>
      <c r="G368" s="9" t="s">
        <v>3163</v>
      </c>
      <c r="H368" s="9"/>
      <c r="I368" s="9"/>
    </row>
    <row r="369" spans="1:9" x14ac:dyDescent="0.3">
      <c r="A369" s="9"/>
      <c r="B369" s="9"/>
      <c r="C369" s="9" t="s">
        <v>3164</v>
      </c>
      <c r="D369" s="9" t="s">
        <v>3138</v>
      </c>
      <c r="E369" s="9" t="s">
        <v>3195</v>
      </c>
      <c r="F369" s="50" t="s">
        <v>3197</v>
      </c>
      <c r="G369" s="9" t="s">
        <v>3189</v>
      </c>
      <c r="H369" s="9" t="s">
        <v>3196</v>
      </c>
      <c r="I369" s="9"/>
    </row>
    <row r="370" spans="1:9" ht="40.5" x14ac:dyDescent="0.3">
      <c r="A370" s="9"/>
      <c r="B370" s="9"/>
      <c r="C370" s="9"/>
      <c r="D370" s="9" t="s">
        <v>3139</v>
      </c>
      <c r="E370" s="9" t="s">
        <v>3195</v>
      </c>
      <c r="F370" s="50" t="s">
        <v>3198</v>
      </c>
      <c r="G370" s="9" t="s">
        <v>3182</v>
      </c>
      <c r="H370" s="9" t="s">
        <v>3199</v>
      </c>
      <c r="I370" s="9"/>
    </row>
    <row r="371" spans="1:9" ht="40.5" x14ac:dyDescent="0.3">
      <c r="A371" s="9"/>
      <c r="B371" s="9"/>
      <c r="C371" s="9"/>
      <c r="D371" s="9" t="s">
        <v>3140</v>
      </c>
      <c r="E371" s="9" t="s">
        <v>3200</v>
      </c>
      <c r="F371" s="50" t="s">
        <v>3201</v>
      </c>
      <c r="G371" s="9"/>
      <c r="H371" s="9"/>
      <c r="I371" s="9"/>
    </row>
    <row r="372" spans="1:9" x14ac:dyDescent="0.3">
      <c r="A372" s="9"/>
      <c r="B372" s="9"/>
      <c r="C372" s="9"/>
      <c r="D372" s="9" t="s">
        <v>3141</v>
      </c>
      <c r="E372" s="9" t="s">
        <v>2273</v>
      </c>
      <c r="F372" s="9" t="s">
        <v>3215</v>
      </c>
      <c r="G372" s="9" t="s">
        <v>3184</v>
      </c>
      <c r="H372" s="9" t="s">
        <v>751</v>
      </c>
      <c r="I372" s="9"/>
    </row>
    <row r="373" spans="1:9" ht="40.5" x14ac:dyDescent="0.3">
      <c r="A373" s="9"/>
      <c r="B373" s="9"/>
      <c r="C373" s="9"/>
      <c r="D373" s="9" t="s">
        <v>3202</v>
      </c>
      <c r="E373" s="9" t="s">
        <v>261</v>
      </c>
      <c r="F373" s="50" t="s">
        <v>3216</v>
      </c>
      <c r="G373" s="9" t="s">
        <v>3184</v>
      </c>
      <c r="H373" s="9"/>
      <c r="I373" s="9"/>
    </row>
    <row r="374" spans="1:9" x14ac:dyDescent="0.3">
      <c r="A374" s="9"/>
      <c r="B374" s="9"/>
      <c r="C374" s="9"/>
      <c r="D374" s="9" t="s">
        <v>3203</v>
      </c>
      <c r="E374" s="9" t="s">
        <v>1109</v>
      </c>
      <c r="F374" s="50" t="s">
        <v>3239</v>
      </c>
      <c r="G374" s="9" t="s">
        <v>3240</v>
      </c>
      <c r="H374" s="9" t="s">
        <v>2089</v>
      </c>
      <c r="I374" s="9"/>
    </row>
    <row r="375" spans="1:9" x14ac:dyDescent="0.3">
      <c r="A375" s="9"/>
      <c r="B375" s="9"/>
      <c r="C375" s="91">
        <v>46029</v>
      </c>
      <c r="D375" s="9" t="s">
        <v>3204</v>
      </c>
      <c r="E375" s="9" t="s">
        <v>1113</v>
      </c>
      <c r="F375" s="9" t="s">
        <v>3245</v>
      </c>
      <c r="G375" s="9" t="s">
        <v>3246</v>
      </c>
      <c r="H375" s="9" t="s">
        <v>3247</v>
      </c>
      <c r="I375" s="9"/>
    </row>
    <row r="376" spans="1:9" x14ac:dyDescent="0.3">
      <c r="A376" s="9"/>
      <c r="B376" s="9"/>
      <c r="C376" s="9"/>
      <c r="D376" s="9" t="s">
        <v>3205</v>
      </c>
      <c r="E376" s="9" t="s">
        <v>1113</v>
      </c>
      <c r="F376" s="9" t="s">
        <v>3249</v>
      </c>
      <c r="G376" s="9" t="s">
        <v>3184</v>
      </c>
      <c r="H376" s="9" t="s">
        <v>751</v>
      </c>
      <c r="I376" s="9"/>
    </row>
    <row r="377" spans="1:9" x14ac:dyDescent="0.3">
      <c r="A377" s="9"/>
      <c r="B377" s="9"/>
      <c r="C377" s="9"/>
      <c r="D377" s="9" t="s">
        <v>3206</v>
      </c>
      <c r="E377" s="9" t="s">
        <v>1113</v>
      </c>
      <c r="F377" s="9" t="s">
        <v>3250</v>
      </c>
      <c r="G377" s="9"/>
      <c r="H377" s="9"/>
      <c r="I377" s="9"/>
    </row>
    <row r="378" spans="1:9" x14ac:dyDescent="0.3">
      <c r="A378" s="9"/>
      <c r="B378" s="9"/>
      <c r="C378" s="91">
        <v>46060</v>
      </c>
      <c r="D378" s="9" t="s">
        <v>3207</v>
      </c>
      <c r="E378" s="9" t="s">
        <v>3264</v>
      </c>
      <c r="F378" s="9" t="s">
        <v>3265</v>
      </c>
      <c r="G378" s="9" t="s">
        <v>3226</v>
      </c>
      <c r="H378" s="9" t="s">
        <v>3266</v>
      </c>
      <c r="I378" s="9"/>
    </row>
    <row r="379" spans="1:9" x14ac:dyDescent="0.3">
      <c r="A379" s="9"/>
      <c r="B379" s="9"/>
      <c r="C379" s="9"/>
      <c r="D379" s="9" t="s">
        <v>3208</v>
      </c>
      <c r="E379" s="9" t="s">
        <v>3264</v>
      </c>
      <c r="F379" s="9" t="s">
        <v>3267</v>
      </c>
      <c r="G379" s="9" t="s">
        <v>3268</v>
      </c>
      <c r="H379" s="9" t="s">
        <v>751</v>
      </c>
      <c r="I379" s="9"/>
    </row>
    <row r="380" spans="1:9" x14ac:dyDescent="0.3">
      <c r="A380" s="9"/>
      <c r="B380" s="9"/>
      <c r="C380" s="9"/>
      <c r="D380" s="9" t="s">
        <v>3209</v>
      </c>
      <c r="E380" s="9" t="s">
        <v>3264</v>
      </c>
      <c r="F380" s="9" t="s">
        <v>3269</v>
      </c>
      <c r="G380" s="9" t="s">
        <v>3270</v>
      </c>
      <c r="H380" s="9" t="s">
        <v>3271</v>
      </c>
      <c r="I380" s="9"/>
    </row>
    <row r="381" spans="1:9" ht="40.5" x14ac:dyDescent="0.3">
      <c r="A381" s="9"/>
      <c r="B381" s="9"/>
      <c r="C381" s="9"/>
      <c r="D381" s="9" t="s">
        <v>3210</v>
      </c>
      <c r="E381" s="9" t="s">
        <v>3272</v>
      </c>
      <c r="F381" s="50" t="s">
        <v>3273</v>
      </c>
      <c r="G381" s="9" t="s">
        <v>3274</v>
      </c>
      <c r="H381" s="9" t="s">
        <v>751</v>
      </c>
      <c r="I381" s="9"/>
    </row>
    <row r="382" spans="1:9" ht="40.5" x14ac:dyDescent="0.3">
      <c r="A382" s="9"/>
      <c r="B382" s="9"/>
      <c r="C382" s="9"/>
      <c r="D382" s="9" t="s">
        <v>3211</v>
      </c>
      <c r="E382" s="9" t="s">
        <v>3276</v>
      </c>
      <c r="F382" s="50" t="s">
        <v>3277</v>
      </c>
      <c r="G382" s="9" t="s">
        <v>3278</v>
      </c>
      <c r="H382" s="9"/>
      <c r="I382" s="9"/>
    </row>
    <row r="383" spans="1:9" ht="40.5" x14ac:dyDescent="0.3">
      <c r="A383" s="9"/>
      <c r="B383" s="9"/>
      <c r="C383" s="9"/>
      <c r="D383" s="9" t="s">
        <v>3212</v>
      </c>
      <c r="E383" s="9" t="s">
        <v>3276</v>
      </c>
      <c r="F383" s="50" t="s">
        <v>3279</v>
      </c>
      <c r="G383" s="9"/>
      <c r="H383" s="9"/>
      <c r="I383" s="9"/>
    </row>
    <row r="384" spans="1:9" ht="40.5" x14ac:dyDescent="0.3">
      <c r="A384" s="9"/>
      <c r="B384" s="9"/>
      <c r="C384" s="9"/>
      <c r="D384" s="9" t="s">
        <v>3213</v>
      </c>
      <c r="E384" s="9" t="s">
        <v>261</v>
      </c>
      <c r="F384" s="50" t="s">
        <v>3280</v>
      </c>
      <c r="G384" s="9"/>
      <c r="H384" s="9"/>
      <c r="I384" s="9"/>
    </row>
    <row r="385" spans="1:9" x14ac:dyDescent="0.3">
      <c r="A385" s="91">
        <v>46180</v>
      </c>
      <c r="B385" s="9"/>
      <c r="C385" s="9"/>
      <c r="D385" s="9" t="s">
        <v>3214</v>
      </c>
      <c r="E385" s="9" t="s">
        <v>783</v>
      </c>
      <c r="F385" s="9" t="s">
        <v>3281</v>
      </c>
      <c r="G385" s="9"/>
      <c r="H385" s="9"/>
      <c r="I385" s="9"/>
    </row>
    <row r="386" spans="1:9" x14ac:dyDescent="0.3">
      <c r="A386" s="9"/>
      <c r="B386" s="9"/>
      <c r="C386" s="9"/>
      <c r="D386" s="9"/>
      <c r="E386" s="9"/>
      <c r="F386" s="9"/>
      <c r="G386" s="9"/>
      <c r="H386" s="9"/>
      <c r="I386" s="9"/>
    </row>
    <row r="387" spans="1:9" ht="40.5" x14ac:dyDescent="0.3">
      <c r="A387" s="9"/>
      <c r="B387" s="9"/>
      <c r="C387" s="9"/>
      <c r="D387" s="9" t="s">
        <v>407</v>
      </c>
      <c r="E387" s="9" t="s">
        <v>3288</v>
      </c>
      <c r="F387" s="50" t="s">
        <v>3289</v>
      </c>
      <c r="G387" s="50" t="s">
        <v>2913</v>
      </c>
      <c r="H387" s="9"/>
      <c r="I387" s="9"/>
    </row>
    <row r="388" spans="1:9" ht="60.75" x14ac:dyDescent="0.3">
      <c r="A388" s="9"/>
      <c r="B388" s="9"/>
      <c r="C388" s="9"/>
      <c r="D388" s="9" t="s">
        <v>3290</v>
      </c>
      <c r="E388" s="9" t="s">
        <v>783</v>
      </c>
      <c r="F388" s="50" t="s">
        <v>3291</v>
      </c>
      <c r="G388" s="50" t="s">
        <v>3292</v>
      </c>
      <c r="H388" s="9" t="s">
        <v>3293</v>
      </c>
      <c r="I388" s="9"/>
    </row>
    <row r="389" spans="1:9" ht="40.5" x14ac:dyDescent="0.3">
      <c r="A389" s="9"/>
      <c r="B389" s="9"/>
      <c r="C389" s="9"/>
      <c r="D389" s="9" t="s">
        <v>3300</v>
      </c>
      <c r="E389" s="9" t="s">
        <v>3308</v>
      </c>
      <c r="F389" s="50" t="s">
        <v>3309</v>
      </c>
      <c r="G389" s="9"/>
      <c r="H389" s="9"/>
      <c r="I389" s="9"/>
    </row>
    <row r="390" spans="1:9" ht="40.5" x14ac:dyDescent="0.3">
      <c r="A390" s="9"/>
      <c r="B390" s="9"/>
      <c r="C390" s="9"/>
      <c r="D390" s="9" t="s">
        <v>3301</v>
      </c>
      <c r="E390" s="9" t="s">
        <v>375</v>
      </c>
      <c r="F390" s="50" t="s">
        <v>3326</v>
      </c>
      <c r="G390" s="9" t="s">
        <v>3327</v>
      </c>
      <c r="H390" s="1" t="s">
        <v>3328</v>
      </c>
      <c r="I390" s="9"/>
    </row>
    <row r="391" spans="1:9" x14ac:dyDescent="0.3">
      <c r="A391" s="91">
        <v>46210</v>
      </c>
      <c r="B391" s="9"/>
      <c r="C391" s="9"/>
      <c r="D391" s="9" t="s">
        <v>3302</v>
      </c>
      <c r="E391" s="9" t="s">
        <v>1113</v>
      </c>
      <c r="F391" s="9" t="s">
        <v>3339</v>
      </c>
      <c r="G391" s="9"/>
      <c r="H391" s="9"/>
      <c r="I391" s="9"/>
    </row>
    <row r="392" spans="1:9" x14ac:dyDescent="0.3">
      <c r="A392" s="9"/>
      <c r="B392" s="9"/>
      <c r="C392" s="9"/>
      <c r="D392" s="9" t="s">
        <v>3303</v>
      </c>
      <c r="E392" s="9" t="s">
        <v>3352</v>
      </c>
      <c r="F392" s="9" t="s">
        <v>3353</v>
      </c>
      <c r="G392" s="9" t="s">
        <v>3354</v>
      </c>
      <c r="H392" s="9"/>
      <c r="I392" s="9"/>
    </row>
    <row r="393" spans="1:9" ht="40.5" x14ac:dyDescent="0.3">
      <c r="A393" s="91">
        <v>46241</v>
      </c>
      <c r="B393" s="9"/>
      <c r="C393" s="9"/>
      <c r="D393" s="9" t="s">
        <v>3304</v>
      </c>
      <c r="E393" s="9" t="s">
        <v>783</v>
      </c>
      <c r="F393" s="50" t="s">
        <v>3360</v>
      </c>
      <c r="G393" s="9" t="s">
        <v>3361</v>
      </c>
      <c r="H393" s="9" t="s">
        <v>3362</v>
      </c>
      <c r="I393" s="9"/>
    </row>
    <row r="394" spans="1:9" x14ac:dyDescent="0.3">
      <c r="A394" s="9"/>
      <c r="B394" s="9"/>
      <c r="C394" s="9"/>
      <c r="D394" s="9" t="s">
        <v>3305</v>
      </c>
      <c r="E394" s="9" t="s">
        <v>2369</v>
      </c>
      <c r="F394" s="9" t="s">
        <v>3363</v>
      </c>
      <c r="G394" s="9" t="s">
        <v>2796</v>
      </c>
      <c r="H394" s="9"/>
      <c r="I394" s="9"/>
    </row>
    <row r="395" spans="1:9" x14ac:dyDescent="0.3">
      <c r="A395" s="9"/>
      <c r="B395" s="9"/>
      <c r="C395" s="9"/>
      <c r="D395" s="9" t="s">
        <v>3306</v>
      </c>
      <c r="E395" s="9" t="s">
        <v>1517</v>
      </c>
      <c r="F395" s="50"/>
      <c r="G395" s="9" t="s">
        <v>3163</v>
      </c>
      <c r="H395" s="9" t="s">
        <v>3359</v>
      </c>
      <c r="I395" s="9"/>
    </row>
    <row r="396" spans="1:9" x14ac:dyDescent="0.3">
      <c r="A396" s="9"/>
      <c r="B396" s="9"/>
      <c r="C396" s="9"/>
      <c r="D396" s="9" t="s">
        <v>3307</v>
      </c>
      <c r="E396" s="9" t="s">
        <v>579</v>
      </c>
      <c r="F396" s="9" t="s">
        <v>3371</v>
      </c>
      <c r="G396" s="9"/>
      <c r="H396" s="9"/>
      <c r="I396" s="9"/>
    </row>
    <row r="397" spans="1:9" ht="40.5" x14ac:dyDescent="0.3">
      <c r="A397" s="9"/>
      <c r="B397" s="9"/>
      <c r="C397" s="9"/>
      <c r="D397" s="9" t="s">
        <v>3372</v>
      </c>
      <c r="E397" s="9" t="s">
        <v>783</v>
      </c>
      <c r="F397" s="50" t="s">
        <v>3377</v>
      </c>
      <c r="G397" s="9" t="s">
        <v>3378</v>
      </c>
      <c r="H397" s="9" t="s">
        <v>1013</v>
      </c>
      <c r="I397" s="9"/>
    </row>
    <row r="398" spans="1:9" x14ac:dyDescent="0.3">
      <c r="A398" s="9"/>
      <c r="B398" s="9"/>
      <c r="C398" s="9"/>
      <c r="D398" s="9" t="s">
        <v>3373</v>
      </c>
      <c r="E398" s="9" t="s">
        <v>1109</v>
      </c>
      <c r="F398" s="9" t="s">
        <v>3379</v>
      </c>
      <c r="G398" s="9"/>
      <c r="H398" s="9"/>
      <c r="I398" s="9"/>
    </row>
    <row r="399" spans="1:9" ht="40.5" x14ac:dyDescent="0.3">
      <c r="A399" s="9"/>
      <c r="B399" s="9"/>
      <c r="C399" s="9"/>
      <c r="D399" s="9" t="s">
        <v>3374</v>
      </c>
      <c r="E399" s="9" t="s">
        <v>3380</v>
      </c>
      <c r="F399" s="50" t="s">
        <v>3381</v>
      </c>
      <c r="G399" s="9"/>
      <c r="H399" s="9"/>
      <c r="I399" s="9"/>
    </row>
    <row r="400" spans="1:9" x14ac:dyDescent="0.3">
      <c r="A400" s="9"/>
      <c r="B400" s="9"/>
      <c r="C400" s="9"/>
      <c r="D400" s="9" t="s">
        <v>3375</v>
      </c>
      <c r="E400" s="9" t="s">
        <v>2242</v>
      </c>
      <c r="F400" s="9" t="s">
        <v>3385</v>
      </c>
      <c r="G400" s="9" t="s">
        <v>3386</v>
      </c>
      <c r="H400" s="9" t="s">
        <v>3328</v>
      </c>
      <c r="I400" s="9"/>
    </row>
    <row r="401" spans="1:9" x14ac:dyDescent="0.3">
      <c r="A401" s="91">
        <v>46272</v>
      </c>
      <c r="B401" s="9"/>
      <c r="C401" s="9"/>
      <c r="D401" s="9" t="s">
        <v>3376</v>
      </c>
      <c r="E401" s="9" t="s">
        <v>1615</v>
      </c>
      <c r="F401" s="9" t="s">
        <v>3390</v>
      </c>
      <c r="G401" s="9" t="s">
        <v>3391</v>
      </c>
      <c r="H401" s="9" t="s">
        <v>3392</v>
      </c>
      <c r="I401" s="9"/>
    </row>
    <row r="402" spans="1:9" x14ac:dyDescent="0.3">
      <c r="A402" s="9"/>
      <c r="B402" s="9"/>
      <c r="C402" s="9"/>
      <c r="D402" s="9" t="s">
        <v>3393</v>
      </c>
      <c r="E402" s="9" t="s">
        <v>1565</v>
      </c>
      <c r="F402" s="9" t="s">
        <v>3401</v>
      </c>
      <c r="G402" s="9"/>
      <c r="H402" s="9"/>
      <c r="I402" s="9"/>
    </row>
    <row r="403" spans="1:9" x14ac:dyDescent="0.3">
      <c r="A403" s="9"/>
      <c r="B403" s="9"/>
      <c r="C403" s="9"/>
      <c r="D403" s="9" t="s">
        <v>3394</v>
      </c>
      <c r="E403" s="9" t="s">
        <v>261</v>
      </c>
      <c r="F403" s="9" t="s">
        <v>3402</v>
      </c>
      <c r="G403" s="9"/>
      <c r="H403" s="9"/>
      <c r="I403" s="9"/>
    </row>
    <row r="404" spans="1:9" x14ac:dyDescent="0.3">
      <c r="A404" s="96" t="s">
        <v>3403</v>
      </c>
      <c r="B404" s="9"/>
      <c r="C404" s="9"/>
      <c r="D404" s="9" t="s">
        <v>3395</v>
      </c>
      <c r="E404" s="9" t="s">
        <v>3404</v>
      </c>
      <c r="F404" s="9" t="s">
        <v>3405</v>
      </c>
      <c r="G404" s="9"/>
      <c r="H404" s="9"/>
      <c r="I404" s="9"/>
    </row>
    <row r="405" spans="1:9" x14ac:dyDescent="0.3">
      <c r="A405" s="9"/>
      <c r="B405" s="9"/>
      <c r="C405" s="9"/>
      <c r="D405" s="9" t="s">
        <v>3396</v>
      </c>
      <c r="E405" s="9" t="s">
        <v>2242</v>
      </c>
      <c r="F405" s="9" t="s">
        <v>3406</v>
      </c>
      <c r="G405" s="9" t="s">
        <v>3407</v>
      </c>
      <c r="H405" s="9" t="s">
        <v>235</v>
      </c>
      <c r="I405" s="9"/>
    </row>
    <row r="406" spans="1:9" x14ac:dyDescent="0.3">
      <c r="A406" s="9"/>
      <c r="B406" s="9"/>
      <c r="C406" s="9"/>
      <c r="D406" s="9" t="s">
        <v>3397</v>
      </c>
      <c r="E406" s="9" t="s">
        <v>261</v>
      </c>
      <c r="F406" s="9" t="s">
        <v>3424</v>
      </c>
      <c r="G406" s="9"/>
      <c r="H406" s="9"/>
      <c r="I406" s="9"/>
    </row>
    <row r="407" spans="1:9" x14ac:dyDescent="0.3">
      <c r="A407" s="9"/>
      <c r="B407" s="9"/>
      <c r="C407" s="9"/>
      <c r="D407" s="9" t="s">
        <v>3398</v>
      </c>
      <c r="E407" s="9" t="s">
        <v>783</v>
      </c>
      <c r="F407" s="9" t="s">
        <v>3427</v>
      </c>
      <c r="G407" s="9"/>
      <c r="H407" s="9"/>
      <c r="I407" s="9"/>
    </row>
    <row r="408" spans="1:9" x14ac:dyDescent="0.3">
      <c r="A408" s="9"/>
      <c r="B408" s="9"/>
      <c r="C408" s="9"/>
      <c r="D408" s="9" t="s">
        <v>3399</v>
      </c>
      <c r="E408" s="9" t="s">
        <v>783</v>
      </c>
      <c r="F408" s="9" t="s">
        <v>3428</v>
      </c>
      <c r="G408" s="9" t="s">
        <v>3429</v>
      </c>
      <c r="H408" s="9" t="s">
        <v>1013</v>
      </c>
      <c r="I408" s="9"/>
    </row>
    <row r="409" spans="1:9" x14ac:dyDescent="0.3">
      <c r="A409" s="9"/>
      <c r="B409" s="9"/>
      <c r="C409" s="9"/>
      <c r="D409" s="9" t="s">
        <v>3400</v>
      </c>
      <c r="E409" s="9" t="s">
        <v>3264</v>
      </c>
      <c r="F409" s="9" t="s">
        <v>3434</v>
      </c>
      <c r="G409" s="9" t="s">
        <v>3435</v>
      </c>
      <c r="H409" s="9" t="s">
        <v>3436</v>
      </c>
      <c r="I409" s="9"/>
    </row>
    <row r="410" spans="1:9" ht="40.5" x14ac:dyDescent="0.3">
      <c r="A410" s="108" t="s">
        <v>3442</v>
      </c>
      <c r="B410" s="9"/>
      <c r="C410" s="9"/>
      <c r="D410" s="9" t="s">
        <v>3430</v>
      </c>
      <c r="E410" s="9" t="s">
        <v>1113</v>
      </c>
      <c r="F410" s="50" t="s">
        <v>3443</v>
      </c>
      <c r="G410" s="9" t="s">
        <v>3444</v>
      </c>
      <c r="H410" s="9" t="s">
        <v>3445</v>
      </c>
      <c r="I410" s="9"/>
    </row>
    <row r="411" spans="1:9" x14ac:dyDescent="0.3">
      <c r="B411" s="9"/>
      <c r="C411" s="9"/>
      <c r="D411" s="9" t="s">
        <v>3431</v>
      </c>
      <c r="E411" s="9" t="s">
        <v>3446</v>
      </c>
      <c r="F411" s="50" t="s">
        <v>3447</v>
      </c>
      <c r="G411" s="9" t="s">
        <v>3444</v>
      </c>
      <c r="H411" s="9" t="s">
        <v>407</v>
      </c>
      <c r="I411" s="9"/>
    </row>
    <row r="412" spans="1:9" ht="40.5" x14ac:dyDescent="0.3">
      <c r="B412" s="9"/>
      <c r="C412" s="9"/>
      <c r="D412" s="9" t="s">
        <v>3432</v>
      </c>
      <c r="E412" s="9" t="s">
        <v>261</v>
      </c>
      <c r="F412" s="50" t="s">
        <v>3451</v>
      </c>
      <c r="G412" s="9"/>
      <c r="H412" s="9"/>
      <c r="I412" s="9"/>
    </row>
    <row r="413" spans="1:9" x14ac:dyDescent="0.3">
      <c r="A413" s="9"/>
      <c r="B413" s="9"/>
      <c r="C413" s="9"/>
      <c r="D413" s="9" t="s">
        <v>3433</v>
      </c>
      <c r="E413" s="9" t="s">
        <v>1556</v>
      </c>
      <c r="F413" s="9" t="s">
        <v>3452</v>
      </c>
      <c r="G413" s="9" t="s">
        <v>3453</v>
      </c>
      <c r="H413" s="9" t="s">
        <v>355</v>
      </c>
    </row>
    <row r="414" spans="1:9" x14ac:dyDescent="0.3">
      <c r="A414" s="9"/>
      <c r="B414" s="9"/>
      <c r="C414" s="9"/>
      <c r="D414" s="9" t="s">
        <v>3448</v>
      </c>
      <c r="E414" s="9" t="s">
        <v>3454</v>
      </c>
      <c r="F414" s="9" t="s">
        <v>3455</v>
      </c>
      <c r="G414" s="9" t="s">
        <v>3268</v>
      </c>
      <c r="H414" s="9" t="s">
        <v>407</v>
      </c>
    </row>
    <row r="415" spans="1:9" x14ac:dyDescent="0.3">
      <c r="A415" s="96" t="s">
        <v>3456</v>
      </c>
      <c r="B415" s="9"/>
      <c r="C415" s="9"/>
      <c r="D415" s="9" t="s">
        <v>3449</v>
      </c>
      <c r="E415" s="9"/>
      <c r="F415" s="9"/>
      <c r="G415" s="9"/>
      <c r="H415" s="9"/>
    </row>
    <row r="416" spans="1:9" x14ac:dyDescent="0.3">
      <c r="A416" s="9"/>
      <c r="B416" s="9"/>
      <c r="C416" s="9"/>
      <c r="D416" s="9" t="s">
        <v>3450</v>
      </c>
      <c r="E416" s="9" t="s">
        <v>261</v>
      </c>
      <c r="F416" s="9" t="s">
        <v>3471</v>
      </c>
      <c r="G416" s="9" t="s">
        <v>3296</v>
      </c>
      <c r="H416" s="9"/>
    </row>
    <row r="417" spans="1:8" x14ac:dyDescent="0.3">
      <c r="A417" s="9"/>
      <c r="B417" s="9"/>
      <c r="C417" s="9"/>
      <c r="D417" s="9" t="s">
        <v>3457</v>
      </c>
      <c r="E417" s="9"/>
      <c r="F417" s="9"/>
      <c r="G417" s="9"/>
      <c r="H417" s="9"/>
    </row>
    <row r="418" spans="1:8" x14ac:dyDescent="0.3">
      <c r="A418" s="9"/>
      <c r="B418" s="9"/>
      <c r="C418" s="9"/>
      <c r="D418" s="9" t="s">
        <v>3458</v>
      </c>
      <c r="E418" s="9" t="s">
        <v>261</v>
      </c>
      <c r="F418" s="9" t="s">
        <v>3470</v>
      </c>
      <c r="G418" s="9" t="s">
        <v>3163</v>
      </c>
      <c r="H418" s="9" t="s">
        <v>574</v>
      </c>
    </row>
    <row r="419" spans="1:8" x14ac:dyDescent="0.3">
      <c r="A419" s="9"/>
      <c r="B419" s="9"/>
      <c r="C419" s="9"/>
      <c r="D419" s="9" t="s">
        <v>3459</v>
      </c>
      <c r="E419" s="9" t="s">
        <v>3463</v>
      </c>
      <c r="F419" s="9" t="s">
        <v>3464</v>
      </c>
      <c r="G419" s="9" t="s">
        <v>3465</v>
      </c>
      <c r="H419" s="9" t="s">
        <v>3466</v>
      </c>
    </row>
    <row r="420" spans="1:8" x14ac:dyDescent="0.3">
      <c r="A420" s="9"/>
      <c r="B420" s="9"/>
      <c r="C420" s="9"/>
      <c r="D420" s="9" t="s">
        <v>3460</v>
      </c>
      <c r="E420" s="9" t="s">
        <v>579</v>
      </c>
      <c r="F420" s="9" t="s">
        <v>3371</v>
      </c>
      <c r="G420" s="9"/>
      <c r="H420" s="9"/>
    </row>
    <row r="421" spans="1:8" x14ac:dyDescent="0.3">
      <c r="A421" s="9"/>
      <c r="B421" s="9"/>
      <c r="C421" s="9"/>
      <c r="D421" s="9" t="s">
        <v>3461</v>
      </c>
      <c r="E421" s="9" t="s">
        <v>1113</v>
      </c>
      <c r="F421" s="50" t="s">
        <v>3483</v>
      </c>
      <c r="G421" s="9" t="s">
        <v>3484</v>
      </c>
      <c r="H421" s="9" t="s">
        <v>3485</v>
      </c>
    </row>
    <row r="422" spans="1:8" x14ac:dyDescent="0.3">
      <c r="A422" s="9"/>
      <c r="B422" s="9"/>
      <c r="C422" s="9"/>
      <c r="D422" s="9" t="s">
        <v>3462</v>
      </c>
      <c r="E422" s="9" t="s">
        <v>783</v>
      </c>
      <c r="F422" s="50" t="s">
        <v>3486</v>
      </c>
      <c r="G422" s="9" t="s">
        <v>3487</v>
      </c>
      <c r="H422" s="9" t="s">
        <v>3481</v>
      </c>
    </row>
    <row r="423" spans="1:8" x14ac:dyDescent="0.3">
      <c r="A423" s="9"/>
      <c r="B423" s="9"/>
      <c r="C423" s="9"/>
      <c r="D423" s="9" t="s">
        <v>3476</v>
      </c>
      <c r="E423" s="9" t="s">
        <v>783</v>
      </c>
      <c r="F423" s="9" t="s">
        <v>3479</v>
      </c>
      <c r="G423" s="9" t="s">
        <v>3480</v>
      </c>
      <c r="H423" s="9" t="s">
        <v>3481</v>
      </c>
    </row>
    <row r="424" spans="1:8" x14ac:dyDescent="0.3">
      <c r="A424" s="9"/>
      <c r="B424" s="9"/>
      <c r="C424" s="9"/>
      <c r="D424" s="9" t="s">
        <v>3477</v>
      </c>
      <c r="E424" s="9" t="s">
        <v>1565</v>
      </c>
      <c r="F424" s="9" t="s">
        <v>3482</v>
      </c>
      <c r="G424" s="9"/>
      <c r="H424" s="9"/>
    </row>
    <row r="425" spans="1:8" ht="40.5" x14ac:dyDescent="0.3">
      <c r="A425" s="9"/>
      <c r="B425" s="9"/>
      <c r="C425" s="9"/>
      <c r="D425" s="9" t="s">
        <v>3478</v>
      </c>
      <c r="E425" s="9" t="s">
        <v>1113</v>
      </c>
      <c r="F425" s="50" t="s">
        <v>3488</v>
      </c>
      <c r="G425" s="9" t="s">
        <v>3489</v>
      </c>
      <c r="H425" s="9"/>
    </row>
    <row r="426" spans="1:8" x14ac:dyDescent="0.3">
      <c r="A426" s="96" t="s">
        <v>3502</v>
      </c>
      <c r="B426" s="9"/>
      <c r="C426" s="9"/>
      <c r="D426" s="9" t="s">
        <v>3490</v>
      </c>
      <c r="E426" s="9" t="s">
        <v>3503</v>
      </c>
      <c r="F426" s="9" t="s">
        <v>3504</v>
      </c>
      <c r="G426" s="9" t="s">
        <v>3505</v>
      </c>
      <c r="H426" s="9" t="s">
        <v>3506</v>
      </c>
    </row>
    <row r="427" spans="1:8" x14ac:dyDescent="0.3">
      <c r="A427" s="9"/>
      <c r="B427" s="9"/>
      <c r="C427" s="9"/>
      <c r="D427" s="9" t="s">
        <v>3491</v>
      </c>
      <c r="E427" s="9" t="s">
        <v>261</v>
      </c>
      <c r="F427" s="9" t="s">
        <v>3525</v>
      </c>
      <c r="G427" s="9" t="s">
        <v>3526</v>
      </c>
      <c r="H427" s="9"/>
    </row>
    <row r="428" spans="1:8" x14ac:dyDescent="0.3">
      <c r="A428" s="9"/>
      <c r="B428" s="9"/>
      <c r="C428" s="9"/>
      <c r="D428" s="9" t="s">
        <v>3492</v>
      </c>
      <c r="E428" s="9" t="s">
        <v>3533</v>
      </c>
      <c r="F428" s="9" t="s">
        <v>3534</v>
      </c>
      <c r="G428" s="9" t="s">
        <v>3557</v>
      </c>
      <c r="H428" s="9" t="s">
        <v>654</v>
      </c>
    </row>
    <row r="429" spans="1:8" x14ac:dyDescent="0.3">
      <c r="A429" s="96" t="s">
        <v>3540</v>
      </c>
      <c r="B429" s="9"/>
      <c r="C429" s="9"/>
      <c r="D429" s="9" t="s">
        <v>3493</v>
      </c>
      <c r="E429" s="9" t="s">
        <v>3264</v>
      </c>
      <c r="F429" s="9" t="s">
        <v>3556</v>
      </c>
      <c r="G429" s="9" t="s">
        <v>3557</v>
      </c>
      <c r="H429" s="9" t="s">
        <v>3558</v>
      </c>
    </row>
    <row r="430" spans="1:8" x14ac:dyDescent="0.3">
      <c r="A430" s="9"/>
      <c r="B430" s="9"/>
      <c r="C430" s="9"/>
      <c r="D430" s="9" t="s">
        <v>3494</v>
      </c>
      <c r="E430" s="9"/>
      <c r="F430" s="9"/>
      <c r="G430" s="9"/>
      <c r="H430" s="9"/>
    </row>
    <row r="431" spans="1:8" x14ac:dyDescent="0.3">
      <c r="A431" s="9"/>
      <c r="B431" s="9"/>
      <c r="C431" s="9"/>
      <c r="D431" s="9" t="s">
        <v>3495</v>
      </c>
      <c r="E431" s="9"/>
      <c r="F431" s="9"/>
      <c r="G431" s="9"/>
      <c r="H431" s="9"/>
    </row>
    <row r="432" spans="1:8" x14ac:dyDescent="0.3">
      <c r="A432" s="9"/>
      <c r="B432" s="9"/>
      <c r="C432" s="9"/>
      <c r="D432" s="9" t="s">
        <v>3496</v>
      </c>
      <c r="E432" s="9" t="s">
        <v>3264</v>
      </c>
      <c r="F432" s="9" t="s">
        <v>3582</v>
      </c>
      <c r="G432" s="9" t="s">
        <v>3583</v>
      </c>
      <c r="H432" s="9" t="s">
        <v>355</v>
      </c>
    </row>
    <row r="433" spans="1:8" ht="40.5" x14ac:dyDescent="0.3">
      <c r="A433" s="9"/>
      <c r="B433" s="9"/>
      <c r="C433" s="9"/>
      <c r="D433" s="9" t="s">
        <v>3497</v>
      </c>
      <c r="E433" s="9" t="s">
        <v>3264</v>
      </c>
      <c r="F433" s="50" t="s">
        <v>3584</v>
      </c>
      <c r="G433" s="9" t="s">
        <v>3585</v>
      </c>
      <c r="H433" s="9" t="s">
        <v>3586</v>
      </c>
    </row>
    <row r="434" spans="1:8" x14ac:dyDescent="0.3">
      <c r="A434" s="9"/>
      <c r="B434" s="9"/>
      <c r="C434" s="9"/>
      <c r="D434" s="9" t="s">
        <v>3498</v>
      </c>
      <c r="E434" s="9" t="s">
        <v>3264</v>
      </c>
      <c r="F434" s="9" t="s">
        <v>3587</v>
      </c>
      <c r="G434" s="9" t="s">
        <v>3588</v>
      </c>
      <c r="H434" s="9" t="s">
        <v>3589</v>
      </c>
    </row>
    <row r="435" spans="1:8" x14ac:dyDescent="0.3">
      <c r="A435" s="9"/>
      <c r="B435" s="9"/>
      <c r="C435" s="9"/>
      <c r="D435" s="9" t="s">
        <v>3499</v>
      </c>
      <c r="E435" s="9" t="s">
        <v>3264</v>
      </c>
      <c r="F435" s="9" t="s">
        <v>3590</v>
      </c>
      <c r="G435" s="9" t="s">
        <v>3591</v>
      </c>
      <c r="H435" s="9"/>
    </row>
    <row r="436" spans="1:8" x14ac:dyDescent="0.3">
      <c r="A436" s="9"/>
      <c r="B436" s="9"/>
      <c r="C436" s="9"/>
      <c r="D436" s="9" t="s">
        <v>3500</v>
      </c>
      <c r="E436" s="9"/>
      <c r="F436" s="9"/>
      <c r="G436" s="9"/>
      <c r="H436" s="9"/>
    </row>
    <row r="437" spans="1:8" x14ac:dyDescent="0.3">
      <c r="A437" s="9"/>
      <c r="B437" s="9"/>
      <c r="C437" s="9"/>
      <c r="D437" s="9" t="s">
        <v>3501</v>
      </c>
      <c r="E437" s="9"/>
      <c r="F437" s="9"/>
      <c r="G437" s="9"/>
      <c r="H437" s="9"/>
    </row>
    <row r="438" spans="1:8" ht="40.5" x14ac:dyDescent="0.3">
      <c r="A438" s="96" t="s">
        <v>3563</v>
      </c>
      <c r="B438" s="9"/>
      <c r="C438" s="9"/>
      <c r="D438" s="9" t="s">
        <v>3566</v>
      </c>
      <c r="E438" s="9" t="s">
        <v>3574</v>
      </c>
      <c r="F438" s="50" t="s">
        <v>3575</v>
      </c>
      <c r="G438" s="9"/>
      <c r="H438" s="9"/>
    </row>
    <row r="439" spans="1:8" ht="40.5" x14ac:dyDescent="0.3">
      <c r="A439" s="9"/>
      <c r="B439" s="9"/>
      <c r="C439" s="9"/>
      <c r="D439" s="9" t="s">
        <v>3567</v>
      </c>
      <c r="E439" s="9" t="s">
        <v>3596</v>
      </c>
      <c r="F439" s="50" t="s">
        <v>3597</v>
      </c>
      <c r="G439" s="9" t="s">
        <v>3598</v>
      </c>
      <c r="H439" s="9" t="s">
        <v>1169</v>
      </c>
    </row>
    <row r="440" spans="1:8" x14ac:dyDescent="0.3">
      <c r="A440" s="9"/>
      <c r="B440" s="9"/>
      <c r="C440" s="9"/>
      <c r="D440" s="9" t="s">
        <v>3568</v>
      </c>
      <c r="E440" s="9" t="s">
        <v>579</v>
      </c>
      <c r="F440" s="9" t="s">
        <v>3612</v>
      </c>
      <c r="G440" s="9"/>
      <c r="H440" s="9"/>
    </row>
    <row r="441" spans="1:8" x14ac:dyDescent="0.3">
      <c r="A441" s="9"/>
      <c r="B441" s="9"/>
      <c r="C441" s="9"/>
      <c r="D441" s="9" t="s">
        <v>3569</v>
      </c>
      <c r="E441" s="9" t="s">
        <v>579</v>
      </c>
      <c r="F441" s="9" t="s">
        <v>3371</v>
      </c>
      <c r="G441" s="9"/>
      <c r="H441" s="9"/>
    </row>
    <row r="442" spans="1:8" x14ac:dyDescent="0.3">
      <c r="A442" s="9"/>
      <c r="B442" s="9"/>
      <c r="C442" s="9"/>
      <c r="D442" s="9" t="s">
        <v>3570</v>
      </c>
      <c r="E442" s="9" t="s">
        <v>579</v>
      </c>
      <c r="F442" s="9" t="s">
        <v>3371</v>
      </c>
      <c r="G442" s="9" t="s">
        <v>3614</v>
      </c>
      <c r="H442" s="9" t="s">
        <v>3613</v>
      </c>
    </row>
    <row r="443" spans="1:8" x14ac:dyDescent="0.3">
      <c r="A443" s="9"/>
      <c r="B443" s="9"/>
      <c r="C443" s="9"/>
      <c r="D443" s="9" t="s">
        <v>3571</v>
      </c>
      <c r="E443" s="9" t="s">
        <v>261</v>
      </c>
      <c r="F443" s="9" t="s">
        <v>3632</v>
      </c>
      <c r="G443" s="9" t="s">
        <v>3633</v>
      </c>
      <c r="H443" s="9"/>
    </row>
    <row r="444" spans="1:8" x14ac:dyDescent="0.3">
      <c r="A444" s="9"/>
      <c r="B444" s="9"/>
      <c r="C444" s="9"/>
      <c r="D444" s="9" t="s">
        <v>3572</v>
      </c>
      <c r="E444" s="9"/>
      <c r="F444" s="9"/>
      <c r="G444" s="9"/>
      <c r="H444" s="9"/>
    </row>
    <row r="445" spans="1:8" x14ac:dyDescent="0.3">
      <c r="A445" s="9"/>
      <c r="B445" s="9"/>
      <c r="C445" s="9"/>
      <c r="D445" s="9" t="s">
        <v>3573</v>
      </c>
      <c r="E445" s="9"/>
      <c r="F445" s="9"/>
      <c r="G445" s="9"/>
      <c r="H445" s="9"/>
    </row>
    <row r="446" spans="1:8" x14ac:dyDescent="0.3">
      <c r="A446" s="9"/>
      <c r="B446" s="9"/>
      <c r="C446" s="9"/>
      <c r="D446" s="9" t="s">
        <v>3635</v>
      </c>
      <c r="E446" s="9"/>
      <c r="F446" s="9"/>
      <c r="G446" s="9"/>
      <c r="H446" s="9"/>
    </row>
    <row r="447" spans="1:8" x14ac:dyDescent="0.3">
      <c r="A447" s="96" t="s">
        <v>3647</v>
      </c>
      <c r="B447" s="9"/>
      <c r="C447" s="9"/>
      <c r="D447" s="9" t="s">
        <v>3636</v>
      </c>
      <c r="E447" s="9" t="s">
        <v>2242</v>
      </c>
      <c r="F447" s="9" t="s">
        <v>3648</v>
      </c>
      <c r="G447" s="9" t="s">
        <v>3650</v>
      </c>
      <c r="H447" s="9" t="s">
        <v>3506</v>
      </c>
    </row>
    <row r="448" spans="1:8" x14ac:dyDescent="0.3">
      <c r="A448" s="9"/>
      <c r="B448" s="9"/>
      <c r="C448" s="9"/>
      <c r="D448" s="9" t="s">
        <v>3637</v>
      </c>
      <c r="E448" s="9" t="s">
        <v>1556</v>
      </c>
      <c r="F448" s="9" t="s">
        <v>3671</v>
      </c>
      <c r="G448" s="9" t="s">
        <v>3672</v>
      </c>
      <c r="H448" s="9" t="s">
        <v>3673</v>
      </c>
    </row>
    <row r="449" spans="1:8" ht="40.5" x14ac:dyDescent="0.3">
      <c r="A449" s="9"/>
      <c r="B449" s="9"/>
      <c r="C449" s="9"/>
      <c r="D449" s="9" t="s">
        <v>3638</v>
      </c>
      <c r="E449" s="9" t="s">
        <v>3686</v>
      </c>
      <c r="F449" s="50" t="s">
        <v>3687</v>
      </c>
      <c r="G449" s="9"/>
      <c r="H449" s="9"/>
    </row>
    <row r="450" spans="1:8" x14ac:dyDescent="0.3">
      <c r="A450" s="9"/>
      <c r="B450" s="9"/>
      <c r="C450" s="9"/>
      <c r="D450" s="9" t="s">
        <v>3639</v>
      </c>
      <c r="E450" s="9" t="s">
        <v>261</v>
      </c>
      <c r="F450" s="9" t="s">
        <v>3695</v>
      </c>
      <c r="G450" s="9" t="s">
        <v>3696</v>
      </c>
      <c r="H450" s="9"/>
    </row>
    <row r="451" spans="1:8" ht="40.5" x14ac:dyDescent="0.3">
      <c r="A451" s="9"/>
      <c r="B451" s="9"/>
      <c r="C451" s="9"/>
      <c r="D451" s="9" t="s">
        <v>3640</v>
      </c>
      <c r="E451" s="9" t="s">
        <v>3699</v>
      </c>
      <c r="F451" s="50" t="s">
        <v>3700</v>
      </c>
      <c r="G451" s="9" t="s">
        <v>3444</v>
      </c>
      <c r="H451" s="9"/>
    </row>
    <row r="452" spans="1:8" x14ac:dyDescent="0.3">
      <c r="A452" s="9"/>
      <c r="B452" s="9"/>
      <c r="C452" s="9"/>
      <c r="D452" s="9" t="s">
        <v>3641</v>
      </c>
      <c r="E452" s="9" t="s">
        <v>1113</v>
      </c>
      <c r="F452" s="9" t="s">
        <v>3671</v>
      </c>
      <c r="G452" s="9" t="s">
        <v>3672</v>
      </c>
      <c r="H452" s="9"/>
    </row>
    <row r="453" spans="1:8" x14ac:dyDescent="0.3">
      <c r="A453" s="9"/>
      <c r="B453" s="9"/>
      <c r="C453" s="9"/>
      <c r="D453" s="9" t="s">
        <v>3642</v>
      </c>
      <c r="E453" s="9" t="s">
        <v>783</v>
      </c>
      <c r="F453" s="50" t="s">
        <v>3702</v>
      </c>
      <c r="G453" s="9" t="s">
        <v>3703</v>
      </c>
      <c r="H453" s="9" t="s">
        <v>3704</v>
      </c>
    </row>
    <row r="454" spans="1:8" x14ac:dyDescent="0.3">
      <c r="A454" s="96" t="s">
        <v>3708</v>
      </c>
      <c r="B454" s="9"/>
      <c r="C454" s="9"/>
      <c r="D454" s="9" t="s">
        <v>3643</v>
      </c>
      <c r="E454" s="9" t="s">
        <v>3709</v>
      </c>
      <c r="F454" s="9" t="s">
        <v>3825</v>
      </c>
      <c r="G454" s="9" t="s">
        <v>3710</v>
      </c>
      <c r="H454" s="9" t="s">
        <v>3711</v>
      </c>
    </row>
    <row r="455" spans="1:8" x14ac:dyDescent="0.3">
      <c r="A455" s="9"/>
      <c r="B455" s="9"/>
      <c r="C455" s="9"/>
      <c r="D455" s="9" t="s">
        <v>3644</v>
      </c>
      <c r="E455" s="9" t="s">
        <v>3712</v>
      </c>
      <c r="F455" s="50" t="s">
        <v>3713</v>
      </c>
      <c r="G455" s="9"/>
      <c r="H455" s="9"/>
    </row>
    <row r="456" spans="1:8" x14ac:dyDescent="0.3">
      <c r="A456" s="9"/>
      <c r="B456" s="9"/>
      <c r="C456" s="9"/>
      <c r="D456" s="9" t="s">
        <v>3645</v>
      </c>
      <c r="E456" s="9" t="s">
        <v>579</v>
      </c>
      <c r="F456" s="9" t="s">
        <v>3371</v>
      </c>
      <c r="G456" s="9"/>
      <c r="H456" s="9"/>
    </row>
    <row r="457" spans="1:8" x14ac:dyDescent="0.3">
      <c r="A457" s="9"/>
      <c r="B457" s="9"/>
      <c r="C457" s="9"/>
      <c r="D457" s="9" t="s">
        <v>3646</v>
      </c>
      <c r="E457" s="9" t="s">
        <v>579</v>
      </c>
      <c r="F457" s="9" t="s">
        <v>3371</v>
      </c>
      <c r="G457" s="9"/>
      <c r="H457" s="9"/>
    </row>
    <row r="458" spans="1:8" x14ac:dyDescent="0.3">
      <c r="A458" s="9"/>
      <c r="B458" s="9"/>
      <c r="C458" s="9"/>
      <c r="D458" s="9" t="s">
        <v>3721</v>
      </c>
      <c r="E458" s="9" t="s">
        <v>1113</v>
      </c>
      <c r="F458" s="9" t="s">
        <v>3743</v>
      </c>
      <c r="G458" s="9"/>
      <c r="H458" s="9"/>
    </row>
    <row r="459" spans="1:8" x14ac:dyDescent="0.3">
      <c r="A459" s="9"/>
      <c r="B459" s="9"/>
      <c r="C459" s="9"/>
      <c r="D459" s="9" t="s">
        <v>3722</v>
      </c>
      <c r="E459" s="9" t="s">
        <v>1113</v>
      </c>
      <c r="F459" s="9" t="s">
        <v>3744</v>
      </c>
      <c r="G459" s="9" t="s">
        <v>3580</v>
      </c>
      <c r="H459" s="9"/>
    </row>
    <row r="460" spans="1:8" ht="40.5" x14ac:dyDescent="0.3">
      <c r="A460" s="9"/>
      <c r="B460" s="9"/>
      <c r="C460" s="9"/>
      <c r="D460" s="9" t="s">
        <v>3723</v>
      </c>
      <c r="E460" s="9" t="s">
        <v>783</v>
      </c>
      <c r="F460" s="50" t="s">
        <v>3748</v>
      </c>
      <c r="G460" s="9" t="s">
        <v>3749</v>
      </c>
      <c r="H460" s="9" t="s">
        <v>3750</v>
      </c>
    </row>
    <row r="461" spans="1:8" ht="40.5" x14ac:dyDescent="0.3">
      <c r="A461" s="9"/>
      <c r="B461" s="9"/>
      <c r="C461" s="9"/>
      <c r="D461" s="9" t="s">
        <v>3724</v>
      </c>
      <c r="E461" s="9" t="s">
        <v>783</v>
      </c>
      <c r="F461" s="50" t="s">
        <v>3751</v>
      </c>
      <c r="G461" s="9" t="s">
        <v>3752</v>
      </c>
      <c r="H461" s="9" t="s">
        <v>3750</v>
      </c>
    </row>
    <row r="462" spans="1:8" ht="40.5" x14ac:dyDescent="0.3">
      <c r="A462" s="9"/>
      <c r="B462" s="9"/>
      <c r="C462" s="9"/>
      <c r="D462" s="9" t="s">
        <v>3725</v>
      </c>
      <c r="E462" s="9"/>
      <c r="F462" s="50" t="s">
        <v>3755</v>
      </c>
      <c r="G462" s="9" t="s">
        <v>3756</v>
      </c>
      <c r="H462" s="9" t="s">
        <v>3750</v>
      </c>
    </row>
    <row r="463" spans="1:8" ht="40.5" x14ac:dyDescent="0.3">
      <c r="A463" s="9"/>
      <c r="B463" s="9"/>
      <c r="C463" s="9"/>
      <c r="D463" s="9" t="s">
        <v>3726</v>
      </c>
      <c r="E463" s="9"/>
      <c r="F463" s="50" t="s">
        <v>3757</v>
      </c>
      <c r="G463" s="9" t="s">
        <v>3758</v>
      </c>
      <c r="H463" s="9" t="s">
        <v>407</v>
      </c>
    </row>
    <row r="464" spans="1:8" ht="40.5" x14ac:dyDescent="0.3">
      <c r="A464" s="9"/>
      <c r="B464" s="9"/>
      <c r="C464" s="9"/>
      <c r="D464" s="9" t="s">
        <v>3727</v>
      </c>
      <c r="E464" s="9"/>
      <c r="F464" s="50" t="s">
        <v>3759</v>
      </c>
      <c r="G464" s="9" t="s">
        <v>3760</v>
      </c>
      <c r="H464" s="9" t="s">
        <v>3761</v>
      </c>
    </row>
    <row r="465" spans="1:8" ht="40.5" x14ac:dyDescent="0.3">
      <c r="A465" s="9"/>
      <c r="B465" s="9"/>
      <c r="C465" s="9"/>
      <c r="D465" s="9" t="s">
        <v>3728</v>
      </c>
      <c r="E465" s="9"/>
      <c r="F465" s="50" t="s">
        <v>3762</v>
      </c>
      <c r="G465" s="9" t="s">
        <v>3763</v>
      </c>
      <c r="H465" s="9" t="s">
        <v>3761</v>
      </c>
    </row>
    <row r="466" spans="1:8" ht="40.5" x14ac:dyDescent="0.3">
      <c r="A466" s="9"/>
      <c r="B466" s="9"/>
      <c r="C466" s="9"/>
      <c r="D466" s="9" t="s">
        <v>3729</v>
      </c>
      <c r="E466" s="9"/>
      <c r="F466" s="50" t="s">
        <v>3764</v>
      </c>
      <c r="G466" s="9" t="s">
        <v>3765</v>
      </c>
      <c r="H466" s="9" t="s">
        <v>1105</v>
      </c>
    </row>
    <row r="467" spans="1:8" x14ac:dyDescent="0.3">
      <c r="A467" s="9"/>
      <c r="B467" s="9"/>
      <c r="C467" s="9"/>
      <c r="D467" s="9" t="s">
        <v>3730</v>
      </c>
      <c r="E467" s="9"/>
      <c r="F467" s="9" t="s">
        <v>3766</v>
      </c>
      <c r="G467" s="9" t="s">
        <v>3767</v>
      </c>
      <c r="H467" s="9" t="s">
        <v>3761</v>
      </c>
    </row>
    <row r="468" spans="1:8" x14ac:dyDescent="0.3">
      <c r="A468" s="9"/>
      <c r="B468" s="9"/>
      <c r="C468" s="9"/>
      <c r="D468" s="9" t="s">
        <v>3731</v>
      </c>
      <c r="E468" s="9"/>
      <c r="F468" s="9" t="s">
        <v>3770</v>
      </c>
      <c r="G468" s="9" t="s">
        <v>3771</v>
      </c>
      <c r="H468" s="9"/>
    </row>
    <row r="469" spans="1:8" x14ac:dyDescent="0.3">
      <c r="A469" s="9"/>
      <c r="B469" s="9"/>
      <c r="C469" s="9"/>
      <c r="D469" s="9" t="s">
        <v>3732</v>
      </c>
      <c r="E469" s="9"/>
      <c r="F469" s="9" t="s">
        <v>3775</v>
      </c>
      <c r="G469" s="9" t="s">
        <v>3776</v>
      </c>
      <c r="H469" s="9"/>
    </row>
    <row r="470" spans="1:8" ht="40.5" x14ac:dyDescent="0.3">
      <c r="A470" s="9"/>
      <c r="B470" s="9"/>
      <c r="C470" s="9"/>
      <c r="D470" s="9" t="s">
        <v>3733</v>
      </c>
      <c r="E470" s="9"/>
      <c r="F470" s="50" t="s">
        <v>3779</v>
      </c>
      <c r="G470" s="9" t="s">
        <v>3780</v>
      </c>
      <c r="H470" s="9"/>
    </row>
    <row r="471" spans="1:8" x14ac:dyDescent="0.3">
      <c r="A471" s="9"/>
      <c r="B471" s="9"/>
      <c r="C471" s="9"/>
      <c r="D471" s="9" t="s">
        <v>3734</v>
      </c>
      <c r="E471" s="9"/>
      <c r="F471" s="50" t="s">
        <v>3713</v>
      </c>
      <c r="G471" s="9"/>
      <c r="H471" s="9" t="s">
        <v>3761</v>
      </c>
    </row>
    <row r="472" spans="1:8" x14ac:dyDescent="0.3">
      <c r="A472" s="9"/>
      <c r="B472" s="9"/>
      <c r="C472" s="9"/>
      <c r="D472" s="9" t="s">
        <v>3735</v>
      </c>
      <c r="E472" s="9"/>
      <c r="F472" s="9" t="s">
        <v>3786</v>
      </c>
      <c r="G472" s="9" t="s">
        <v>3787</v>
      </c>
      <c r="H472" s="9" t="s">
        <v>654</v>
      </c>
    </row>
    <row r="473" spans="1:8" ht="40.5" x14ac:dyDescent="0.3">
      <c r="A473" s="9"/>
      <c r="B473" s="50" t="s">
        <v>3666</v>
      </c>
      <c r="C473" s="9"/>
      <c r="D473" s="9" t="s">
        <v>3897</v>
      </c>
      <c r="E473" s="9" t="s">
        <v>1390</v>
      </c>
      <c r="F473" s="9" t="s">
        <v>3817</v>
      </c>
      <c r="G473" s="9" t="s">
        <v>3818</v>
      </c>
      <c r="H473" s="9"/>
    </row>
    <row r="474" spans="1:8" x14ac:dyDescent="0.3">
      <c r="A474" s="9"/>
      <c r="B474" s="9"/>
      <c r="C474" s="9"/>
      <c r="D474" s="9" t="s">
        <v>3898</v>
      </c>
      <c r="E474" s="9" t="s">
        <v>3828</v>
      </c>
      <c r="F474" s="9" t="s">
        <v>3829</v>
      </c>
      <c r="G474" s="9"/>
      <c r="H474" s="9"/>
    </row>
    <row r="475" spans="1:8" x14ac:dyDescent="0.3">
      <c r="A475" s="9"/>
      <c r="B475" s="9"/>
      <c r="C475" s="9"/>
      <c r="D475" s="9" t="s">
        <v>3899</v>
      </c>
      <c r="E475" s="9" t="s">
        <v>261</v>
      </c>
      <c r="F475" s="9" t="s">
        <v>3830</v>
      </c>
      <c r="G475" s="9" t="s">
        <v>3831</v>
      </c>
      <c r="H475" s="9" t="s">
        <v>3832</v>
      </c>
    </row>
    <row r="476" spans="1:8" x14ac:dyDescent="0.3">
      <c r="A476" s="9"/>
      <c r="B476" s="9"/>
      <c r="C476" s="9"/>
      <c r="D476" s="9" t="s">
        <v>3900</v>
      </c>
      <c r="E476" s="9" t="s">
        <v>3833</v>
      </c>
      <c r="F476" s="9" t="s">
        <v>3834</v>
      </c>
      <c r="G476" s="9" t="s">
        <v>3835</v>
      </c>
      <c r="H476" s="9" t="s">
        <v>3836</v>
      </c>
    </row>
    <row r="477" spans="1:8" x14ac:dyDescent="0.3">
      <c r="A477" s="9"/>
      <c r="B477" s="3"/>
      <c r="C477" s="9"/>
      <c r="D477" s="9" t="s">
        <v>3901</v>
      </c>
      <c r="E477" s="50" t="s">
        <v>3845</v>
      </c>
      <c r="F477" s="9" t="s">
        <v>3846</v>
      </c>
      <c r="G477" s="9"/>
      <c r="H477" s="9"/>
    </row>
    <row r="478" spans="1:8" ht="40.5" x14ac:dyDescent="0.3">
      <c r="A478" s="9"/>
      <c r="B478" s="50" t="s">
        <v>3867</v>
      </c>
      <c r="C478" s="9"/>
      <c r="D478" s="9" t="s">
        <v>3902</v>
      </c>
      <c r="E478" s="9" t="s">
        <v>3868</v>
      </c>
      <c r="F478" s="50" t="s">
        <v>3869</v>
      </c>
      <c r="G478" s="9"/>
      <c r="H478" s="9"/>
    </row>
    <row r="479" spans="1:8" x14ac:dyDescent="0.3">
      <c r="A479" s="9"/>
      <c r="B479" s="9"/>
      <c r="C479" s="9"/>
      <c r="D479" s="9" t="s">
        <v>3903</v>
      </c>
      <c r="E479" s="9" t="s">
        <v>1390</v>
      </c>
      <c r="F479" s="9" t="s">
        <v>3874</v>
      </c>
      <c r="G479" s="9" t="s">
        <v>3875</v>
      </c>
      <c r="H479" s="9" t="s">
        <v>3876</v>
      </c>
    </row>
    <row r="480" spans="1:8" x14ac:dyDescent="0.3">
      <c r="A480" s="9"/>
      <c r="B480" s="9"/>
      <c r="C480" s="9"/>
      <c r="D480" s="9" t="s">
        <v>3904</v>
      </c>
      <c r="E480" s="9" t="s">
        <v>1393</v>
      </c>
      <c r="F480" s="9" t="s">
        <v>407</v>
      </c>
      <c r="G480" s="9"/>
      <c r="H480" s="9"/>
    </row>
    <row r="481" spans="1:8" x14ac:dyDescent="0.3">
      <c r="A481" s="9"/>
      <c r="B481" s="9"/>
      <c r="C481" s="9"/>
      <c r="D481" s="9" t="s">
        <v>3905</v>
      </c>
      <c r="E481" s="9" t="s">
        <v>261</v>
      </c>
      <c r="F481" s="9" t="s">
        <v>3884</v>
      </c>
      <c r="G481" s="9"/>
      <c r="H481" s="9"/>
    </row>
    <row r="482" spans="1:8" x14ac:dyDescent="0.3">
      <c r="A482" s="9"/>
      <c r="B482" s="9"/>
      <c r="C482" s="9"/>
      <c r="D482" s="9" t="s">
        <v>3906</v>
      </c>
      <c r="E482" s="9" t="s">
        <v>3885</v>
      </c>
      <c r="F482" s="9" t="s">
        <v>3886</v>
      </c>
      <c r="G482" s="9"/>
      <c r="H482" s="9"/>
    </row>
    <row r="483" spans="1:8" x14ac:dyDescent="0.3">
      <c r="A483" s="9"/>
      <c r="B483" s="9"/>
      <c r="C483" s="9"/>
      <c r="D483" s="9" t="s">
        <v>3907</v>
      </c>
      <c r="E483" s="9" t="s">
        <v>3159</v>
      </c>
      <c r="F483" s="9" t="s">
        <v>3894</v>
      </c>
      <c r="G483" s="9" t="s">
        <v>3895</v>
      </c>
      <c r="H483" s="9" t="s">
        <v>3896</v>
      </c>
    </row>
    <row r="484" spans="1:8" x14ac:dyDescent="0.3">
      <c r="A484" s="9"/>
      <c r="B484" s="9"/>
      <c r="C484" s="9"/>
      <c r="D484" s="9" t="s">
        <v>3908</v>
      </c>
      <c r="E484" s="9" t="s">
        <v>2275</v>
      </c>
      <c r="F484" s="9" t="s">
        <v>3924</v>
      </c>
      <c r="G484" s="9" t="s">
        <v>3925</v>
      </c>
      <c r="H484" s="9"/>
    </row>
    <row r="485" spans="1:8" x14ac:dyDescent="0.3">
      <c r="A485" s="9"/>
      <c r="B485" s="9"/>
      <c r="C485" s="9"/>
      <c r="D485" s="9" t="s">
        <v>3909</v>
      </c>
      <c r="E485" s="9" t="s">
        <v>2309</v>
      </c>
      <c r="F485" s="9" t="s">
        <v>3927</v>
      </c>
      <c r="G485" s="9" t="s">
        <v>3928</v>
      </c>
      <c r="H485" s="9" t="s">
        <v>3929</v>
      </c>
    </row>
    <row r="486" spans="1:8" x14ac:dyDescent="0.3">
      <c r="A486" s="9"/>
      <c r="B486" s="9"/>
      <c r="C486" s="9"/>
      <c r="D486" s="9" t="s">
        <v>3910</v>
      </c>
      <c r="E486" s="9" t="s">
        <v>3699</v>
      </c>
      <c r="F486" s="9" t="s">
        <v>3948</v>
      </c>
      <c r="G486" s="9" t="s">
        <v>3949</v>
      </c>
      <c r="H486" s="9" t="s">
        <v>3950</v>
      </c>
    </row>
    <row r="487" spans="1:8" x14ac:dyDescent="0.3">
      <c r="A487" s="9"/>
      <c r="B487" s="9"/>
      <c r="C487" s="9"/>
      <c r="D487" s="9" t="s">
        <v>3911</v>
      </c>
      <c r="E487" s="9" t="s">
        <v>3885</v>
      </c>
      <c r="F487" s="9" t="s">
        <v>3951</v>
      </c>
      <c r="G487" s="9" t="s">
        <v>3109</v>
      </c>
      <c r="H487" s="9" t="s">
        <v>180</v>
      </c>
    </row>
    <row r="488" spans="1:8" x14ac:dyDescent="0.3">
      <c r="A488" s="9"/>
      <c r="B488" s="9"/>
      <c r="C488" s="9"/>
      <c r="D488" s="9" t="s">
        <v>3912</v>
      </c>
      <c r="E488" s="9" t="s">
        <v>3885</v>
      </c>
      <c r="F488" s="9" t="s">
        <v>3952</v>
      </c>
      <c r="G488" s="9"/>
      <c r="H488" s="9"/>
    </row>
    <row r="489" spans="1:8" x14ac:dyDescent="0.3">
      <c r="A489" s="9"/>
      <c r="B489" s="9"/>
      <c r="C489" s="9"/>
      <c r="D489" s="9" t="s">
        <v>3913</v>
      </c>
      <c r="E489" s="9" t="s">
        <v>3953</v>
      </c>
      <c r="F489" s="9" t="s">
        <v>3954</v>
      </c>
      <c r="G489" s="9" t="s">
        <v>3955</v>
      </c>
      <c r="H489" s="9" t="s">
        <v>3953</v>
      </c>
    </row>
    <row r="490" spans="1:8" x14ac:dyDescent="0.3">
      <c r="A490" s="9"/>
      <c r="B490" s="9"/>
      <c r="C490" s="9"/>
      <c r="D490" s="9" t="s">
        <v>3914</v>
      </c>
      <c r="E490" s="9" t="s">
        <v>3958</v>
      </c>
      <c r="F490" s="9" t="s">
        <v>3959</v>
      </c>
      <c r="G490" s="9" t="s">
        <v>3591</v>
      </c>
      <c r="H490" s="9"/>
    </row>
    <row r="491" spans="1:8" x14ac:dyDescent="0.3">
      <c r="A491" s="9"/>
      <c r="B491" s="9"/>
      <c r="C491" s="9"/>
      <c r="D491" s="9" t="s">
        <v>3915</v>
      </c>
      <c r="E491" s="9" t="s">
        <v>783</v>
      </c>
      <c r="F491" s="9" t="s">
        <v>3962</v>
      </c>
      <c r="G491" s="9" t="s">
        <v>3963</v>
      </c>
      <c r="H491" s="9" t="s">
        <v>3750</v>
      </c>
    </row>
    <row r="492" spans="1:8" x14ac:dyDescent="0.3">
      <c r="A492" s="9"/>
      <c r="B492" s="9"/>
      <c r="C492" s="9"/>
      <c r="D492" s="9" t="s">
        <v>3916</v>
      </c>
      <c r="E492" s="9" t="s">
        <v>261</v>
      </c>
      <c r="F492" s="9" t="s">
        <v>3968</v>
      </c>
      <c r="G492" s="9"/>
      <c r="H492" s="9"/>
    </row>
    <row r="493" spans="1:8" x14ac:dyDescent="0.3">
      <c r="A493" s="9"/>
      <c r="B493" s="9"/>
      <c r="C493" s="9"/>
      <c r="D493" s="9" t="s">
        <v>3917</v>
      </c>
      <c r="E493" s="9" t="s">
        <v>261</v>
      </c>
      <c r="F493" s="9" t="s">
        <v>3972</v>
      </c>
      <c r="G493" s="9" t="s">
        <v>3763</v>
      </c>
      <c r="H493" s="9" t="s">
        <v>3973</v>
      </c>
    </row>
    <row r="494" spans="1:8" x14ac:dyDescent="0.3">
      <c r="A494" s="9"/>
      <c r="B494" s="9"/>
      <c r="C494" s="9"/>
      <c r="D494" s="9" t="s">
        <v>3918</v>
      </c>
      <c r="E494" s="9" t="s">
        <v>261</v>
      </c>
      <c r="F494" s="9" t="s">
        <v>3974</v>
      </c>
      <c r="G494" s="9" t="s">
        <v>3888</v>
      </c>
      <c r="H494" s="9" t="s">
        <v>3975</v>
      </c>
    </row>
    <row r="495" spans="1:8" x14ac:dyDescent="0.3">
      <c r="A495" s="9"/>
      <c r="B495" s="9"/>
      <c r="C495" s="9"/>
      <c r="D495" s="9" t="s">
        <v>3919</v>
      </c>
      <c r="E495" s="9" t="s">
        <v>261</v>
      </c>
      <c r="F495" s="9" t="s">
        <v>3976</v>
      </c>
      <c r="G495" s="9" t="s">
        <v>3977</v>
      </c>
      <c r="H495" s="9" t="s">
        <v>3978</v>
      </c>
    </row>
    <row r="496" spans="1:8" ht="40.5" x14ac:dyDescent="0.3">
      <c r="A496" s="9"/>
      <c r="B496" s="50" t="s">
        <v>3936</v>
      </c>
      <c r="C496" s="9"/>
      <c r="D496" s="9" t="s">
        <v>3920</v>
      </c>
      <c r="E496" s="9" t="s">
        <v>3991</v>
      </c>
      <c r="F496" s="50" t="s">
        <v>3993</v>
      </c>
      <c r="G496" s="9" t="s">
        <v>3668</v>
      </c>
      <c r="H496" s="9" t="s">
        <v>3992</v>
      </c>
    </row>
    <row r="497" spans="1:11" ht="40.5" x14ac:dyDescent="0.3">
      <c r="A497" s="9"/>
      <c r="B497" s="50"/>
      <c r="C497" s="9"/>
      <c r="D497" s="9" t="s">
        <v>3921</v>
      </c>
      <c r="E497" s="9" t="s">
        <v>3994</v>
      </c>
      <c r="F497" s="50" t="s">
        <v>3995</v>
      </c>
      <c r="G497" s="9" t="s">
        <v>3977</v>
      </c>
      <c r="H497" s="9"/>
    </row>
    <row r="498" spans="1:11" x14ac:dyDescent="0.3">
      <c r="A498" s="9"/>
      <c r="B498" s="9"/>
      <c r="C498" s="9"/>
      <c r="D498" s="9" t="s">
        <v>3922</v>
      </c>
      <c r="E498" s="9" t="s">
        <v>2985</v>
      </c>
      <c r="F498" s="9" t="s">
        <v>3996</v>
      </c>
      <c r="G498" s="9" t="s">
        <v>3997</v>
      </c>
      <c r="H498" s="9"/>
    </row>
    <row r="499" spans="1:11" ht="40.5" x14ac:dyDescent="0.3">
      <c r="A499" s="9"/>
      <c r="B499" s="9"/>
      <c r="C499" s="9"/>
      <c r="D499" s="9" t="s">
        <v>3923</v>
      </c>
      <c r="E499" s="9" t="s">
        <v>3998</v>
      </c>
      <c r="F499" s="50" t="s">
        <v>3999</v>
      </c>
      <c r="G499" s="9" t="s">
        <v>4000</v>
      </c>
      <c r="H499" s="9"/>
    </row>
    <row r="500" spans="1:11" x14ac:dyDescent="0.3">
      <c r="A500" s="9"/>
      <c r="B500" s="9"/>
      <c r="C500" s="9"/>
      <c r="D500" s="9" t="s">
        <v>3983</v>
      </c>
      <c r="E500" s="9" t="s">
        <v>579</v>
      </c>
      <c r="F500" s="9" t="s">
        <v>3371</v>
      </c>
      <c r="G500" s="9"/>
      <c r="H500" s="9"/>
    </row>
    <row r="501" spans="1:11" x14ac:dyDescent="0.3">
      <c r="A501" s="9"/>
      <c r="B501" s="9"/>
      <c r="C501" s="9"/>
      <c r="D501" s="9" t="s">
        <v>3984</v>
      </c>
      <c r="E501" s="9"/>
      <c r="F501" s="9" t="s">
        <v>4005</v>
      </c>
      <c r="G501" s="9" t="s">
        <v>4006</v>
      </c>
      <c r="H501" s="9"/>
    </row>
    <row r="502" spans="1:11" x14ac:dyDescent="0.3">
      <c r="A502" s="9"/>
      <c r="B502" s="9"/>
      <c r="C502" s="9"/>
      <c r="D502" s="9" t="s">
        <v>3985</v>
      </c>
      <c r="E502" s="9" t="s">
        <v>261</v>
      </c>
      <c r="F502" s="9" t="s">
        <v>4012</v>
      </c>
      <c r="G502" s="9" t="s">
        <v>4013</v>
      </c>
      <c r="H502" s="9"/>
    </row>
    <row r="503" spans="1:11" x14ac:dyDescent="0.3">
      <c r="A503" s="9"/>
      <c r="B503" s="9"/>
      <c r="C503" s="9"/>
      <c r="D503" s="9" t="s">
        <v>3986</v>
      </c>
      <c r="E503" s="9" t="s">
        <v>261</v>
      </c>
      <c r="F503" s="9" t="s">
        <v>4014</v>
      </c>
      <c r="G503" s="9"/>
      <c r="H503" s="9"/>
    </row>
    <row r="504" spans="1:11" x14ac:dyDescent="0.3">
      <c r="A504" s="9"/>
      <c r="B504" s="9" t="s">
        <v>4017</v>
      </c>
      <c r="C504" s="9"/>
      <c r="D504" s="9" t="s">
        <v>3987</v>
      </c>
      <c r="E504" s="9" t="s">
        <v>4018</v>
      </c>
      <c r="F504" s="9" t="s">
        <v>4019</v>
      </c>
      <c r="G504" s="9" t="s">
        <v>4020</v>
      </c>
      <c r="H504" s="9" t="s">
        <v>4021</v>
      </c>
    </row>
    <row r="505" spans="1:11" ht="40.5" x14ac:dyDescent="0.3">
      <c r="A505" s="9"/>
      <c r="B505" s="9"/>
      <c r="C505" s="9"/>
      <c r="D505" s="9" t="s">
        <v>3988</v>
      </c>
      <c r="E505" s="9" t="s">
        <v>261</v>
      </c>
      <c r="F505" s="50" t="s">
        <v>4032</v>
      </c>
      <c r="G505" s="9"/>
      <c r="H505" s="9"/>
    </row>
    <row r="506" spans="1:11" x14ac:dyDescent="0.3">
      <c r="A506" s="9"/>
      <c r="B506" s="9"/>
      <c r="C506" s="9"/>
      <c r="D506" s="9" t="s">
        <v>3989</v>
      </c>
      <c r="E506" s="9" t="s">
        <v>4038</v>
      </c>
      <c r="F506" s="9" t="s">
        <v>4039</v>
      </c>
      <c r="G506" s="9" t="s">
        <v>4040</v>
      </c>
      <c r="H506" s="9" t="s">
        <v>4038</v>
      </c>
    </row>
    <row r="507" spans="1:11" x14ac:dyDescent="0.3">
      <c r="A507" s="9"/>
      <c r="B507" s="9" t="s">
        <v>4049</v>
      </c>
      <c r="C507" s="9"/>
      <c r="D507" s="9" t="s">
        <v>3990</v>
      </c>
      <c r="E507" s="9" t="s">
        <v>261</v>
      </c>
      <c r="F507" s="9" t="s">
        <v>4058</v>
      </c>
      <c r="G507" s="9" t="s">
        <v>4059</v>
      </c>
      <c r="H507" s="9" t="s">
        <v>4060</v>
      </c>
    </row>
    <row r="508" spans="1:11" ht="40.5" x14ac:dyDescent="0.3">
      <c r="A508" s="9"/>
      <c r="B508" s="9"/>
      <c r="C508" s="9"/>
      <c r="D508" s="9" t="s">
        <v>4022</v>
      </c>
      <c r="E508" s="9" t="s">
        <v>2164</v>
      </c>
      <c r="F508" s="50" t="s">
        <v>4061</v>
      </c>
      <c r="G508" s="9" t="s">
        <v>4062</v>
      </c>
      <c r="H508" s="9" t="s">
        <v>4063</v>
      </c>
      <c r="J508" s="1">
        <v>0</v>
      </c>
      <c r="K508" s="1" t="s">
        <v>4067</v>
      </c>
    </row>
    <row r="509" spans="1:11" x14ac:dyDescent="0.3">
      <c r="A509" s="9"/>
      <c r="B509" s="9"/>
      <c r="C509" s="9"/>
      <c r="D509" s="9" t="s">
        <v>4023</v>
      </c>
      <c r="E509" s="9" t="s">
        <v>2275</v>
      </c>
      <c r="F509" s="9" t="s">
        <v>4068</v>
      </c>
      <c r="G509" s="9" t="s">
        <v>4069</v>
      </c>
      <c r="H509" s="9" t="s">
        <v>4070</v>
      </c>
      <c r="K509" s="1">
        <v>0</v>
      </c>
    </row>
    <row r="510" spans="1:11" x14ac:dyDescent="0.3">
      <c r="A510" s="9"/>
      <c r="B510" s="9"/>
      <c r="C510" s="9"/>
      <c r="D510" s="9" t="s">
        <v>4024</v>
      </c>
      <c r="E510" s="9" t="s">
        <v>1390</v>
      </c>
      <c r="F510" s="9" t="s">
        <v>4071</v>
      </c>
      <c r="G510" s="9" t="s">
        <v>4072</v>
      </c>
      <c r="H510" s="9" t="s">
        <v>4073</v>
      </c>
    </row>
    <row r="511" spans="1:11" x14ac:dyDescent="0.3">
      <c r="A511" s="9"/>
      <c r="B511" s="9"/>
      <c r="C511" s="9"/>
      <c r="D511" s="9" t="s">
        <v>4025</v>
      </c>
      <c r="E511" s="9" t="s">
        <v>2164</v>
      </c>
      <c r="F511" s="9" t="s">
        <v>4074</v>
      </c>
      <c r="G511" s="9" t="s">
        <v>4062</v>
      </c>
      <c r="H511" s="9" t="s">
        <v>4075</v>
      </c>
    </row>
    <row r="512" spans="1:11" ht="40.5" x14ac:dyDescent="0.3">
      <c r="A512" s="9"/>
      <c r="B512" s="9"/>
      <c r="C512" s="9"/>
      <c r="D512" s="9" t="s">
        <v>4026</v>
      </c>
      <c r="E512" s="9" t="s">
        <v>4078</v>
      </c>
      <c r="F512" s="50" t="s">
        <v>4079</v>
      </c>
      <c r="G512" s="9" t="s">
        <v>4080</v>
      </c>
      <c r="H512" s="9" t="s">
        <v>4081</v>
      </c>
    </row>
    <row r="513" spans="1:8" x14ac:dyDescent="0.3">
      <c r="A513" s="9"/>
      <c r="B513" s="9"/>
      <c r="C513" s="9"/>
      <c r="D513" s="9" t="s">
        <v>4027</v>
      </c>
      <c r="E513" s="9" t="s">
        <v>1477</v>
      </c>
      <c r="F513" s="9" t="s">
        <v>4117</v>
      </c>
      <c r="G513" s="9" t="s">
        <v>4118</v>
      </c>
      <c r="H513" s="9" t="s">
        <v>451</v>
      </c>
    </row>
    <row r="514" spans="1:8" x14ac:dyDescent="0.3">
      <c r="A514" s="9"/>
      <c r="B514" s="9" t="s">
        <v>4105</v>
      </c>
      <c r="C514" s="9"/>
      <c r="D514" s="9" t="s">
        <v>4028</v>
      </c>
      <c r="E514" s="9" t="s">
        <v>4119</v>
      </c>
      <c r="F514" s="9" t="s">
        <v>4120</v>
      </c>
      <c r="G514" s="9" t="s">
        <v>4066</v>
      </c>
      <c r="H514" s="9" t="s">
        <v>4121</v>
      </c>
    </row>
    <row r="515" spans="1:8" x14ac:dyDescent="0.3">
      <c r="A515" s="9"/>
      <c r="B515" s="9"/>
      <c r="C515" s="9"/>
      <c r="D515" s="9" t="s">
        <v>4029</v>
      </c>
      <c r="E515" s="9"/>
      <c r="F515" s="9"/>
      <c r="G515" s="9"/>
      <c r="H515" s="9"/>
    </row>
    <row r="516" spans="1:8" ht="40.5" x14ac:dyDescent="0.3">
      <c r="A516" s="9"/>
      <c r="B516" s="9"/>
      <c r="C516" s="9"/>
      <c r="D516" s="9" t="s">
        <v>4030</v>
      </c>
      <c r="E516" s="9" t="s">
        <v>4140</v>
      </c>
      <c r="F516" s="50" t="s">
        <v>4141</v>
      </c>
      <c r="G516" s="9" t="s">
        <v>4142</v>
      </c>
      <c r="H516" s="9" t="s">
        <v>1169</v>
      </c>
    </row>
    <row r="517" spans="1:8" x14ac:dyDescent="0.3">
      <c r="A517" s="9"/>
      <c r="B517" s="9" t="s">
        <v>4145</v>
      </c>
      <c r="C517" s="9"/>
      <c r="D517" s="9" t="s">
        <v>4031</v>
      </c>
      <c r="E517" s="9" t="s">
        <v>579</v>
      </c>
      <c r="F517" s="9" t="s">
        <v>4155</v>
      </c>
      <c r="G517" s="9" t="s">
        <v>4156</v>
      </c>
      <c r="H517" s="9" t="s">
        <v>3950</v>
      </c>
    </row>
    <row r="518" spans="1:8" x14ac:dyDescent="0.3">
      <c r="A518" s="9"/>
      <c r="B518" s="9"/>
      <c r="C518" s="9"/>
      <c r="D518" s="9" t="s">
        <v>4112</v>
      </c>
      <c r="E518" s="9" t="s">
        <v>579</v>
      </c>
      <c r="F518" s="9" t="s">
        <v>4157</v>
      </c>
      <c r="G518" s="9" t="s">
        <v>4158</v>
      </c>
      <c r="H518" s="9"/>
    </row>
    <row r="519" spans="1:8" x14ac:dyDescent="0.3">
      <c r="A519" s="9"/>
      <c r="B519" s="9"/>
      <c r="C519" s="9"/>
      <c r="D519" s="9" t="s">
        <v>4113</v>
      </c>
      <c r="E519" s="9" t="s">
        <v>261</v>
      </c>
      <c r="F519" s="9" t="s">
        <v>4161</v>
      </c>
      <c r="G519" s="9" t="s">
        <v>4162</v>
      </c>
      <c r="H519" s="9" t="s">
        <v>1169</v>
      </c>
    </row>
    <row r="520" spans="1:8" ht="40.5" x14ac:dyDescent="0.3">
      <c r="A520" s="9"/>
      <c r="B520" s="9"/>
      <c r="C520" s="9"/>
      <c r="D520" s="9" t="s">
        <v>4114</v>
      </c>
      <c r="E520" s="9" t="s">
        <v>4173</v>
      </c>
      <c r="F520" s="50" t="s">
        <v>4174</v>
      </c>
      <c r="G520" s="9"/>
      <c r="H520" s="9"/>
    </row>
    <row r="521" spans="1:8" x14ac:dyDescent="0.3">
      <c r="A521" s="9"/>
      <c r="B521" s="9"/>
      <c r="C521" s="9"/>
      <c r="D521" s="9" t="s">
        <v>4115</v>
      </c>
      <c r="E521" s="9" t="s">
        <v>574</v>
      </c>
      <c r="F521" s="9" t="s">
        <v>4181</v>
      </c>
      <c r="G521" s="9" t="s">
        <v>4182</v>
      </c>
      <c r="H521" s="9" t="s">
        <v>4183</v>
      </c>
    </row>
    <row r="522" spans="1:8" x14ac:dyDescent="0.3">
      <c r="A522" s="9"/>
      <c r="B522" s="9"/>
      <c r="C522" s="9"/>
      <c r="D522" s="9" t="s">
        <v>4116</v>
      </c>
      <c r="E522" s="9" t="s">
        <v>261</v>
      </c>
      <c r="F522" s="9" t="s">
        <v>4193</v>
      </c>
      <c r="G522" s="9" t="s">
        <v>4194</v>
      </c>
      <c r="H522" s="9" t="s">
        <v>4195</v>
      </c>
    </row>
    <row r="523" spans="1:8" ht="40.5" x14ac:dyDescent="0.3">
      <c r="A523" s="9"/>
      <c r="B523" s="9"/>
      <c r="C523" s="9"/>
      <c r="D523" s="9" t="s">
        <v>4184</v>
      </c>
      <c r="E523" s="9" t="s">
        <v>4119</v>
      </c>
      <c r="F523" s="50" t="s">
        <v>4196</v>
      </c>
      <c r="G523" s="9" t="s">
        <v>4197</v>
      </c>
      <c r="H523" s="9" t="s">
        <v>235</v>
      </c>
    </row>
    <row r="524" spans="1:8" x14ac:dyDescent="0.3">
      <c r="A524" s="9"/>
      <c r="B524" s="9"/>
      <c r="C524" s="9"/>
      <c r="D524" s="9" t="s">
        <v>4185</v>
      </c>
      <c r="E524" s="9" t="s">
        <v>261</v>
      </c>
      <c r="F524" s="9" t="s">
        <v>4201</v>
      </c>
      <c r="G524" s="9" t="s">
        <v>4202</v>
      </c>
      <c r="H524" s="9" t="s">
        <v>4203</v>
      </c>
    </row>
    <row r="525" spans="1:8" x14ac:dyDescent="0.3">
      <c r="A525" s="9"/>
      <c r="B525" s="9"/>
      <c r="C525" s="9"/>
      <c r="D525" s="9" t="s">
        <v>4186</v>
      </c>
      <c r="E525" s="9"/>
      <c r="F525" s="9"/>
      <c r="G525" s="9"/>
      <c r="H525" s="9"/>
    </row>
    <row r="526" spans="1:8" x14ac:dyDescent="0.3">
      <c r="A526" s="9"/>
      <c r="B526" s="9"/>
      <c r="C526" s="9"/>
      <c r="D526" s="9" t="s">
        <v>4187</v>
      </c>
      <c r="E526" s="9"/>
      <c r="F526" s="9"/>
      <c r="G526" s="9"/>
      <c r="H526" s="9"/>
    </row>
    <row r="527" spans="1:8" x14ac:dyDescent="0.3">
      <c r="A527" s="9"/>
      <c r="B527" s="9"/>
      <c r="C527" s="9"/>
      <c r="D527" s="9" t="s">
        <v>4188</v>
      </c>
      <c r="E527" s="9"/>
      <c r="F527" s="9"/>
      <c r="G527" s="9"/>
      <c r="H527" s="9"/>
    </row>
    <row r="528" spans="1:8" x14ac:dyDescent="0.3">
      <c r="A528" s="9"/>
      <c r="B528" s="9"/>
      <c r="C528" s="9"/>
      <c r="D528" s="9" t="s">
        <v>4189</v>
      </c>
      <c r="E528" s="9"/>
      <c r="F528" s="9"/>
      <c r="G528" s="9"/>
      <c r="H528" s="9"/>
    </row>
    <row r="529" spans="1:8" x14ac:dyDescent="0.3">
      <c r="A529" s="9"/>
      <c r="B529" s="9"/>
      <c r="C529" s="9"/>
      <c r="D529" s="9" t="s">
        <v>4190</v>
      </c>
      <c r="E529" s="9"/>
      <c r="F529" s="9"/>
      <c r="G529" s="9"/>
      <c r="H529" s="9"/>
    </row>
    <row r="530" spans="1:8" x14ac:dyDescent="0.3">
      <c r="A530" s="9"/>
      <c r="B530" s="9"/>
      <c r="C530" s="9"/>
      <c r="D530" s="9" t="s">
        <v>4191</v>
      </c>
      <c r="E530" s="9"/>
      <c r="F530" s="9"/>
      <c r="G530" s="9"/>
      <c r="H530" s="9"/>
    </row>
    <row r="531" spans="1:8" x14ac:dyDescent="0.3">
      <c r="A531" s="9"/>
      <c r="B531" s="9"/>
      <c r="C531" s="9"/>
      <c r="D531" s="9" t="s">
        <v>4192</v>
      </c>
      <c r="E531" s="9"/>
      <c r="F531" s="9"/>
      <c r="G531" s="9"/>
      <c r="H531" s="9"/>
    </row>
    <row r="532" spans="1:8" x14ac:dyDescent="0.3">
      <c r="A532" s="9"/>
      <c r="B532" s="9"/>
      <c r="C532" s="9"/>
      <c r="D532" s="9"/>
      <c r="E532" s="9"/>
      <c r="F532" s="9"/>
      <c r="G532" s="9"/>
      <c r="H532" s="9"/>
    </row>
    <row r="533" spans="1:8" x14ac:dyDescent="0.3">
      <c r="A533" s="9"/>
      <c r="B533" s="9"/>
      <c r="C533" s="9"/>
      <c r="D533" s="9"/>
      <c r="E533" s="9"/>
      <c r="F533" s="9"/>
      <c r="G533" s="9"/>
      <c r="H533" s="9"/>
    </row>
    <row r="534" spans="1:8" x14ac:dyDescent="0.3">
      <c r="A534" s="9"/>
      <c r="B534" s="9"/>
      <c r="C534" s="9"/>
      <c r="D534" s="9"/>
      <c r="E534" s="9"/>
      <c r="F534" s="9"/>
      <c r="G534" s="9"/>
      <c r="H534" s="9"/>
    </row>
    <row r="535" spans="1:8" x14ac:dyDescent="0.3">
      <c r="A535" s="9"/>
      <c r="B535" s="9"/>
      <c r="C535" s="9"/>
      <c r="D535" s="9"/>
      <c r="E535" s="9"/>
      <c r="F535" s="9"/>
      <c r="G535" s="9"/>
      <c r="H535" s="9"/>
    </row>
    <row r="536" spans="1:8" x14ac:dyDescent="0.3">
      <c r="A536" s="9"/>
      <c r="B536" s="9"/>
      <c r="C536" s="9"/>
      <c r="D536" s="9"/>
      <c r="E536" s="9"/>
      <c r="F536" s="9"/>
      <c r="G536" s="9"/>
      <c r="H536" s="9"/>
    </row>
    <row r="537" spans="1:8" x14ac:dyDescent="0.3">
      <c r="A537" s="9"/>
      <c r="B537" s="9"/>
      <c r="C537" s="9"/>
      <c r="D537" s="9"/>
      <c r="E537" s="9"/>
      <c r="F537" s="9"/>
      <c r="G537" s="9"/>
      <c r="H537" s="9"/>
    </row>
    <row r="538" spans="1:8" x14ac:dyDescent="0.3">
      <c r="A538" s="9"/>
      <c r="B538" s="9"/>
      <c r="C538" s="9"/>
      <c r="D538" s="9"/>
      <c r="E538" s="9"/>
      <c r="F538" s="9"/>
      <c r="G538" s="9"/>
      <c r="H538" s="9"/>
    </row>
    <row r="539" spans="1:8" x14ac:dyDescent="0.3">
      <c r="A539" s="9"/>
      <c r="B539" s="9"/>
      <c r="C539" s="9"/>
      <c r="D539" s="9"/>
      <c r="E539" s="9"/>
      <c r="F539" s="9"/>
      <c r="G539" s="9"/>
      <c r="H539" s="9"/>
    </row>
    <row r="540" spans="1:8" x14ac:dyDescent="0.3">
      <c r="A540" s="9"/>
      <c r="B540" s="9"/>
      <c r="C540" s="9"/>
      <c r="D540" s="9"/>
      <c r="E540" s="9"/>
      <c r="F540" s="9"/>
      <c r="G540" s="9"/>
      <c r="H540" s="9"/>
    </row>
    <row r="541" spans="1:8" x14ac:dyDescent="0.3">
      <c r="A541" s="9"/>
      <c r="B541" s="9"/>
      <c r="C541" s="9"/>
      <c r="D541" s="9"/>
      <c r="E541" s="9"/>
      <c r="F541" s="9"/>
      <c r="G541" s="9"/>
      <c r="H541" s="9"/>
    </row>
    <row r="542" spans="1:8" x14ac:dyDescent="0.3">
      <c r="A542" s="9"/>
      <c r="B542" s="9"/>
      <c r="C542" s="9"/>
      <c r="D542" s="9"/>
      <c r="E542" s="9"/>
      <c r="F542" s="9"/>
      <c r="G542" s="9"/>
      <c r="H542" s="9"/>
    </row>
    <row r="543" spans="1:8" x14ac:dyDescent="0.3">
      <c r="A543" s="9"/>
      <c r="B543" s="9"/>
      <c r="C543" s="9"/>
      <c r="D543" s="9"/>
      <c r="E543" s="9"/>
      <c r="F543" s="9"/>
      <c r="G543" s="9"/>
      <c r="H543" s="9"/>
    </row>
    <row r="544" spans="1:8" x14ac:dyDescent="0.3">
      <c r="A544" s="9"/>
      <c r="B544" s="9"/>
      <c r="C544" s="9"/>
      <c r="D544" s="9"/>
      <c r="E544" s="9"/>
      <c r="F544" s="9"/>
      <c r="G544" s="9"/>
      <c r="H544" s="9"/>
    </row>
    <row r="545" spans="1:8" x14ac:dyDescent="0.3">
      <c r="A545" s="9"/>
      <c r="B545" s="9"/>
      <c r="C545" s="9"/>
      <c r="D545" s="9"/>
      <c r="E545" s="9"/>
      <c r="F545" s="9"/>
      <c r="G545" s="9"/>
      <c r="H545" s="9"/>
    </row>
    <row r="546" spans="1:8" x14ac:dyDescent="0.3">
      <c r="A546" s="9"/>
      <c r="B546" s="9"/>
      <c r="C546" s="9"/>
      <c r="D546" s="9"/>
      <c r="E546" s="9"/>
      <c r="F546" s="9"/>
      <c r="G546" s="9"/>
      <c r="H546" s="9"/>
    </row>
    <row r="547" spans="1:8" x14ac:dyDescent="0.3">
      <c r="A547" s="9"/>
      <c r="B547" s="9"/>
      <c r="C547" s="9"/>
      <c r="D547" s="9"/>
      <c r="E547" s="9"/>
      <c r="F547" s="9"/>
      <c r="G547" s="9"/>
      <c r="H547" s="9"/>
    </row>
    <row r="548" spans="1:8" x14ac:dyDescent="0.3">
      <c r="A548" s="9"/>
      <c r="B548" s="9"/>
      <c r="C548" s="9"/>
      <c r="D548" s="9"/>
      <c r="E548" s="9"/>
      <c r="F548" s="9"/>
      <c r="G548" s="9"/>
      <c r="H548" s="9"/>
    </row>
    <row r="549" spans="1:8" x14ac:dyDescent="0.3">
      <c r="A549" s="9"/>
      <c r="B549" s="9"/>
      <c r="C549" s="9"/>
      <c r="D549" s="9"/>
      <c r="E549" s="9"/>
      <c r="F549" s="9"/>
      <c r="G549" s="9"/>
      <c r="H549" s="9"/>
    </row>
    <row r="550" spans="1:8" x14ac:dyDescent="0.3">
      <c r="A550" s="9"/>
      <c r="B550" s="9"/>
      <c r="C550" s="9"/>
      <c r="D550" s="9"/>
      <c r="E550" s="9"/>
      <c r="F550" s="9"/>
      <c r="G550" s="9"/>
      <c r="H550" s="9"/>
    </row>
    <row r="551" spans="1:8" x14ac:dyDescent="0.3">
      <c r="A551" s="9"/>
      <c r="B551" s="9"/>
      <c r="C551" s="9"/>
      <c r="D551" s="9"/>
      <c r="E551" s="9"/>
      <c r="F551" s="9"/>
      <c r="G551" s="9"/>
      <c r="H551" s="9"/>
    </row>
    <row r="552" spans="1:8" x14ac:dyDescent="0.3">
      <c r="A552" s="9"/>
      <c r="B552" s="9"/>
      <c r="C552" s="9"/>
      <c r="D552" s="9"/>
      <c r="E552" s="9"/>
      <c r="F552" s="9"/>
      <c r="G552" s="9"/>
      <c r="H552" s="9"/>
    </row>
    <row r="553" spans="1:8" x14ac:dyDescent="0.3">
      <c r="A553" s="9"/>
      <c r="B553" s="9"/>
      <c r="C553" s="9"/>
      <c r="D553" s="9"/>
      <c r="E553" s="9"/>
      <c r="F553" s="9"/>
      <c r="G553" s="9"/>
      <c r="H553" s="9"/>
    </row>
    <row r="554" spans="1:8" x14ac:dyDescent="0.3">
      <c r="A554" s="9"/>
      <c r="B554" s="9"/>
      <c r="C554" s="9"/>
      <c r="D554" s="9"/>
      <c r="E554" s="9"/>
      <c r="F554" s="9"/>
      <c r="G554" s="9"/>
      <c r="H554" s="9"/>
    </row>
    <row r="555" spans="1:8" x14ac:dyDescent="0.3">
      <c r="A555" s="9"/>
      <c r="B555" s="9"/>
      <c r="C555" s="9"/>
      <c r="D555" s="9"/>
      <c r="E555" s="9"/>
      <c r="F555" s="9"/>
      <c r="G555" s="9"/>
      <c r="H555" s="9"/>
    </row>
    <row r="556" spans="1:8" x14ac:dyDescent="0.3">
      <c r="A556" s="9"/>
      <c r="B556" s="9"/>
      <c r="C556" s="9"/>
      <c r="D556" s="9"/>
      <c r="E556" s="9"/>
      <c r="F556" s="9"/>
      <c r="G556" s="9"/>
      <c r="H556" s="9"/>
    </row>
    <row r="557" spans="1:8" x14ac:dyDescent="0.3">
      <c r="A557" s="9"/>
      <c r="B557" s="9"/>
      <c r="C557" s="9"/>
      <c r="D557" s="9"/>
      <c r="E557" s="9"/>
      <c r="F557" s="9"/>
      <c r="G557" s="9"/>
      <c r="H557" s="9"/>
    </row>
    <row r="558" spans="1:8" x14ac:dyDescent="0.3">
      <c r="A558" s="9"/>
      <c r="B558" s="9"/>
      <c r="C558" s="9"/>
      <c r="D558" s="9"/>
      <c r="E558" s="9"/>
      <c r="F558" s="9"/>
      <c r="G558" s="9"/>
      <c r="H558" s="9"/>
    </row>
    <row r="559" spans="1:8" x14ac:dyDescent="0.3">
      <c r="A559" s="9"/>
      <c r="B559" s="9"/>
      <c r="C559" s="9"/>
      <c r="D559" s="9"/>
      <c r="E559" s="9"/>
      <c r="F559" s="9"/>
      <c r="G559" s="9"/>
      <c r="H559" s="9"/>
    </row>
    <row r="560" spans="1:8" x14ac:dyDescent="0.3">
      <c r="A560" s="9"/>
      <c r="B560" s="9"/>
      <c r="C560" s="9"/>
      <c r="D560" s="9"/>
      <c r="E560" s="9"/>
      <c r="F560" s="9"/>
      <c r="G560" s="9"/>
      <c r="H560" s="9"/>
    </row>
    <row r="561" spans="1:8" x14ac:dyDescent="0.3">
      <c r="A561" s="9"/>
      <c r="B561" s="9"/>
      <c r="C561" s="9"/>
      <c r="D561" s="9"/>
      <c r="E561" s="9"/>
      <c r="F561" s="9"/>
      <c r="G561" s="9"/>
      <c r="H561" s="9"/>
    </row>
    <row r="562" spans="1:8" x14ac:dyDescent="0.3">
      <c r="A562" s="9"/>
      <c r="B562" s="9"/>
      <c r="C562" s="9"/>
      <c r="D562" s="9"/>
      <c r="E562" s="9"/>
      <c r="F562" s="9"/>
      <c r="G562" s="9"/>
      <c r="H562" s="9"/>
    </row>
    <row r="563" spans="1:8" x14ac:dyDescent="0.3">
      <c r="A563" s="9"/>
      <c r="B563" s="9"/>
      <c r="C563" s="9"/>
      <c r="D563" s="9"/>
      <c r="E563" s="9"/>
      <c r="F563" s="9"/>
      <c r="G563" s="9"/>
      <c r="H563" s="9"/>
    </row>
    <row r="564" spans="1:8" x14ac:dyDescent="0.3">
      <c r="A564" s="9"/>
      <c r="B564" s="9"/>
      <c r="C564" s="9"/>
      <c r="D564" s="9"/>
      <c r="E564" s="9"/>
      <c r="F564" s="9"/>
      <c r="G564" s="9"/>
      <c r="H564" s="9"/>
    </row>
    <row r="565" spans="1:8" x14ac:dyDescent="0.3">
      <c r="A565" s="9"/>
      <c r="B565" s="9"/>
      <c r="C565" s="9"/>
      <c r="D565" s="9"/>
      <c r="E565" s="9"/>
      <c r="F565" s="9"/>
      <c r="G565" s="9"/>
      <c r="H565" s="9"/>
    </row>
  </sheetData>
  <mergeCells count="10">
    <mergeCell ref="J3:J4"/>
    <mergeCell ref="A1:I1"/>
    <mergeCell ref="A3:B3"/>
    <mergeCell ref="C3:C4"/>
    <mergeCell ref="E3:E4"/>
    <mergeCell ref="F3:F4"/>
    <mergeCell ref="G3:G4"/>
    <mergeCell ref="H3:H4"/>
    <mergeCell ref="I3:I4"/>
    <mergeCell ref="D3:D4"/>
  </mergeCells>
  <phoneticPr fontId="5" type="noConversion"/>
  <pageMargins left="0.7" right="0.7" top="0.75" bottom="0.75" header="0.3" footer="0.3"/>
  <pageSetup orientation="portrait" horizontalDpi="360" verticalDpi="36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5722E-ED1D-4177-99FA-2DBA316E8639}">
  <dimension ref="A1:D10"/>
  <sheetViews>
    <sheetView workbookViewId="0">
      <pane ySplit="1" topLeftCell="A2" activePane="bottomLeft" state="frozen"/>
      <selection pane="bottomLeft" activeCell="B10" sqref="B10"/>
    </sheetView>
  </sheetViews>
  <sheetFormatPr defaultRowHeight="15" x14ac:dyDescent="0.25"/>
  <cols>
    <col min="1" max="1" width="18.140625" customWidth="1"/>
    <col min="2" max="2" width="52" customWidth="1"/>
    <col min="3" max="3" width="37.140625" style="62" customWidth="1"/>
    <col min="4" max="4" width="36.7109375" customWidth="1"/>
  </cols>
  <sheetData>
    <row r="1" spans="1:4" x14ac:dyDescent="0.25">
      <c r="A1" s="70" t="s">
        <v>1</v>
      </c>
      <c r="B1" s="69" t="s">
        <v>1454</v>
      </c>
      <c r="C1" s="68" t="s">
        <v>125</v>
      </c>
      <c r="D1" s="67" t="s">
        <v>1456</v>
      </c>
    </row>
    <row r="2" spans="1:4" x14ac:dyDescent="0.25">
      <c r="A2" s="65">
        <v>46268</v>
      </c>
      <c r="B2" s="66" t="s">
        <v>1455</v>
      </c>
      <c r="C2" s="62" t="s">
        <v>403</v>
      </c>
      <c r="D2" t="s">
        <v>1457</v>
      </c>
    </row>
    <row r="3" spans="1:4" ht="30" x14ac:dyDescent="0.25">
      <c r="B3" s="62" t="s">
        <v>1458</v>
      </c>
      <c r="C3" s="62" t="s">
        <v>403</v>
      </c>
      <c r="D3" t="s">
        <v>23</v>
      </c>
    </row>
    <row r="4" spans="1:4" x14ac:dyDescent="0.25">
      <c r="A4" s="65">
        <v>46298</v>
      </c>
      <c r="B4" t="s">
        <v>1524</v>
      </c>
      <c r="D4" t="s">
        <v>52</v>
      </c>
    </row>
    <row r="5" spans="1:4" ht="30" x14ac:dyDescent="0.25">
      <c r="A5" s="65">
        <v>46117</v>
      </c>
      <c r="B5" s="62" t="s">
        <v>2380</v>
      </c>
      <c r="C5" s="62" t="s">
        <v>403</v>
      </c>
      <c r="D5" t="s">
        <v>2381</v>
      </c>
    </row>
    <row r="6" spans="1:4" x14ac:dyDescent="0.25">
      <c r="B6" t="s">
        <v>2406</v>
      </c>
      <c r="C6" s="62" t="s">
        <v>403</v>
      </c>
      <c r="D6" t="s">
        <v>89</v>
      </c>
    </row>
    <row r="7" spans="1:4" ht="45" x14ac:dyDescent="0.25">
      <c r="A7" s="65">
        <v>46178</v>
      </c>
      <c r="B7" s="62" t="s">
        <v>2463</v>
      </c>
      <c r="C7" s="62" t="s">
        <v>403</v>
      </c>
      <c r="D7" t="s">
        <v>85</v>
      </c>
    </row>
    <row r="8" spans="1:4" ht="45" x14ac:dyDescent="0.25">
      <c r="A8" s="81" t="s">
        <v>2681</v>
      </c>
      <c r="B8" s="62" t="s">
        <v>2463</v>
      </c>
      <c r="C8" s="62" t="s">
        <v>403</v>
      </c>
      <c r="D8" t="s">
        <v>2683</v>
      </c>
    </row>
    <row r="9" spans="1:4" ht="45" x14ac:dyDescent="0.25">
      <c r="A9" s="65">
        <v>46120</v>
      </c>
      <c r="B9" s="62" t="s">
        <v>2463</v>
      </c>
      <c r="C9" s="62" t="s">
        <v>403</v>
      </c>
      <c r="D9" t="s">
        <v>85</v>
      </c>
    </row>
    <row r="10" spans="1:4" ht="45" x14ac:dyDescent="0.25">
      <c r="A10" s="65">
        <v>46181</v>
      </c>
      <c r="B10" s="62" t="s">
        <v>2463</v>
      </c>
      <c r="C10" s="62" t="s">
        <v>403</v>
      </c>
      <c r="D10" t="s">
        <v>85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A580-6842-4B25-BAFB-06559BEC4E94}">
  <dimension ref="A2:E80"/>
  <sheetViews>
    <sheetView workbookViewId="0">
      <pane ySplit="3" topLeftCell="A58" activePane="bottomLeft" state="frozen"/>
      <selection pane="bottomLeft" activeCell="D80" sqref="D80"/>
    </sheetView>
  </sheetViews>
  <sheetFormatPr defaultRowHeight="15" x14ac:dyDescent="0.25"/>
  <cols>
    <col min="1" max="1" width="27.85546875" customWidth="1"/>
    <col min="2" max="2" width="19.5703125" customWidth="1"/>
    <col min="3" max="3" width="45.7109375" customWidth="1"/>
    <col min="4" max="4" width="36.7109375" customWidth="1"/>
    <col min="5" max="5" width="27.28515625" customWidth="1"/>
  </cols>
  <sheetData>
    <row r="2" spans="1:5" x14ac:dyDescent="0.25">
      <c r="A2" s="53" t="s">
        <v>529</v>
      </c>
      <c r="B2" s="53" t="s">
        <v>530</v>
      </c>
      <c r="C2" s="53" t="s">
        <v>202</v>
      </c>
      <c r="D2" s="53" t="s">
        <v>531</v>
      </c>
      <c r="E2" s="53" t="s">
        <v>141</v>
      </c>
    </row>
    <row r="4" spans="1:5" x14ac:dyDescent="0.25">
      <c r="A4" t="s">
        <v>514</v>
      </c>
      <c r="B4" s="53">
        <v>150</v>
      </c>
      <c r="C4" t="s">
        <v>532</v>
      </c>
      <c r="E4" t="s">
        <v>15</v>
      </c>
    </row>
    <row r="5" spans="1:5" x14ac:dyDescent="0.25">
      <c r="A5" t="s">
        <v>547</v>
      </c>
      <c r="B5" s="53" t="s">
        <v>554</v>
      </c>
      <c r="C5" t="s">
        <v>555</v>
      </c>
      <c r="D5" t="s">
        <v>556</v>
      </c>
      <c r="E5" t="s">
        <v>16</v>
      </c>
    </row>
    <row r="6" spans="1:5" x14ac:dyDescent="0.25">
      <c r="B6" s="53" t="s">
        <v>557</v>
      </c>
      <c r="C6" t="s">
        <v>558</v>
      </c>
      <c r="D6" t="s">
        <v>559</v>
      </c>
      <c r="E6" t="s">
        <v>16</v>
      </c>
    </row>
    <row r="7" spans="1:5" ht="45" x14ac:dyDescent="0.25">
      <c r="A7" t="s">
        <v>772</v>
      </c>
      <c r="B7" s="53" t="s">
        <v>773</v>
      </c>
      <c r="C7" s="62" t="s">
        <v>774</v>
      </c>
      <c r="D7" s="62" t="s">
        <v>775</v>
      </c>
      <c r="E7" t="s">
        <v>16</v>
      </c>
    </row>
    <row r="8" spans="1:5" ht="45" x14ac:dyDescent="0.25">
      <c r="B8" s="53" t="s">
        <v>776</v>
      </c>
      <c r="C8" t="s">
        <v>777</v>
      </c>
      <c r="D8" s="62" t="s">
        <v>778</v>
      </c>
      <c r="E8" t="s">
        <v>16</v>
      </c>
    </row>
    <row r="9" spans="1:5" x14ac:dyDescent="0.25">
      <c r="A9" t="s">
        <v>856</v>
      </c>
      <c r="B9" s="53" t="s">
        <v>857</v>
      </c>
      <c r="C9" t="s">
        <v>858</v>
      </c>
      <c r="D9" t="s">
        <v>859</v>
      </c>
      <c r="E9" t="s">
        <v>54</v>
      </c>
    </row>
    <row r="10" spans="1:5" x14ac:dyDescent="0.25">
      <c r="A10" t="s">
        <v>896</v>
      </c>
      <c r="B10" s="53" t="s">
        <v>897</v>
      </c>
      <c r="C10" t="s">
        <v>898</v>
      </c>
      <c r="D10" t="s">
        <v>899</v>
      </c>
      <c r="E10" t="s">
        <v>18</v>
      </c>
    </row>
    <row r="11" spans="1:5" ht="30" x14ac:dyDescent="0.25">
      <c r="A11" t="s">
        <v>1134</v>
      </c>
      <c r="B11" s="53" t="s">
        <v>1164</v>
      </c>
      <c r="C11" t="s">
        <v>1165</v>
      </c>
      <c r="D11" s="62" t="s">
        <v>1166</v>
      </c>
      <c r="E11" t="s">
        <v>16</v>
      </c>
    </row>
    <row r="12" spans="1:5" x14ac:dyDescent="0.25">
      <c r="B12" s="53" t="s">
        <v>1167</v>
      </c>
      <c r="C12" t="s">
        <v>1168</v>
      </c>
    </row>
    <row r="13" spans="1:5" ht="30" x14ac:dyDescent="0.25">
      <c r="B13" s="53" t="s">
        <v>1167</v>
      </c>
      <c r="C13" s="62" t="s">
        <v>1174</v>
      </c>
    </row>
    <row r="14" spans="1:5" x14ac:dyDescent="0.25">
      <c r="B14" s="53" t="s">
        <v>1164</v>
      </c>
      <c r="C14" t="s">
        <v>1175</v>
      </c>
    </row>
    <row r="15" spans="1:5" ht="30" x14ac:dyDescent="0.25">
      <c r="A15" t="s">
        <v>1547</v>
      </c>
      <c r="C15" s="62" t="s">
        <v>1581</v>
      </c>
      <c r="E15" t="s">
        <v>23</v>
      </c>
    </row>
    <row r="16" spans="1:5" x14ac:dyDescent="0.25">
      <c r="A16" t="s">
        <v>1571</v>
      </c>
      <c r="B16" s="53" t="s">
        <v>1774</v>
      </c>
      <c r="C16" t="s">
        <v>1775</v>
      </c>
      <c r="D16" t="s">
        <v>1777</v>
      </c>
      <c r="E16" t="s">
        <v>15</v>
      </c>
    </row>
    <row r="17" spans="1:5" x14ac:dyDescent="0.25">
      <c r="C17" s="62" t="s">
        <v>1776</v>
      </c>
      <c r="D17" t="s">
        <v>1777</v>
      </c>
      <c r="E17" t="s">
        <v>15</v>
      </c>
    </row>
    <row r="18" spans="1:5" x14ac:dyDescent="0.25">
      <c r="B18" s="53" t="s">
        <v>1778</v>
      </c>
      <c r="C18" t="s">
        <v>1779</v>
      </c>
      <c r="D18" t="s">
        <v>1780</v>
      </c>
      <c r="E18" t="s">
        <v>15</v>
      </c>
    </row>
    <row r="19" spans="1:5" x14ac:dyDescent="0.25">
      <c r="A19" t="s">
        <v>1844</v>
      </c>
      <c r="B19" s="53" t="s">
        <v>1961</v>
      </c>
      <c r="C19" s="62" t="s">
        <v>1962</v>
      </c>
      <c r="E19" t="s">
        <v>42</v>
      </c>
    </row>
    <row r="20" spans="1:5" x14ac:dyDescent="0.25">
      <c r="B20" s="53" t="s">
        <v>1963</v>
      </c>
      <c r="C20" t="s">
        <v>1964</v>
      </c>
      <c r="E20" t="s">
        <v>42</v>
      </c>
    </row>
    <row r="21" spans="1:5" x14ac:dyDescent="0.25">
      <c r="B21" s="53" t="s">
        <v>1965</v>
      </c>
      <c r="C21" s="62" t="s">
        <v>1966</v>
      </c>
      <c r="E21" t="s">
        <v>42</v>
      </c>
    </row>
    <row r="22" spans="1:5" x14ac:dyDescent="0.25">
      <c r="B22" s="53" t="s">
        <v>1967</v>
      </c>
      <c r="C22" t="s">
        <v>1968</v>
      </c>
      <c r="E22" t="s">
        <v>42</v>
      </c>
    </row>
    <row r="23" spans="1:5" x14ac:dyDescent="0.25">
      <c r="A23" t="s">
        <v>1983</v>
      </c>
      <c r="B23" s="53" t="s">
        <v>1984</v>
      </c>
      <c r="C23" s="62" t="s">
        <v>1985</v>
      </c>
      <c r="E23" t="s">
        <v>15</v>
      </c>
    </row>
    <row r="24" spans="1:5" x14ac:dyDescent="0.25">
      <c r="B24" s="53" t="s">
        <v>1984</v>
      </c>
      <c r="C24" t="s">
        <v>1986</v>
      </c>
      <c r="E24" t="s">
        <v>15</v>
      </c>
    </row>
    <row r="25" spans="1:5" x14ac:dyDescent="0.25">
      <c r="B25" s="53" t="s">
        <v>1987</v>
      </c>
      <c r="C25" t="s">
        <v>1988</v>
      </c>
      <c r="E25" t="s">
        <v>15</v>
      </c>
    </row>
    <row r="26" spans="1:5" ht="30" x14ac:dyDescent="0.25">
      <c r="B26" s="53" t="s">
        <v>1995</v>
      </c>
      <c r="C26" t="s">
        <v>1996</v>
      </c>
      <c r="D26" s="62" t="s">
        <v>1997</v>
      </c>
      <c r="E26" t="s">
        <v>16</v>
      </c>
    </row>
    <row r="27" spans="1:5" ht="30" x14ac:dyDescent="0.25">
      <c r="B27" s="53" t="s">
        <v>1995</v>
      </c>
      <c r="C27" t="s">
        <v>558</v>
      </c>
      <c r="D27" s="62" t="s">
        <v>1998</v>
      </c>
      <c r="E27" t="s">
        <v>16</v>
      </c>
    </row>
    <row r="28" spans="1:5" ht="30" x14ac:dyDescent="0.25">
      <c r="B28" s="53" t="s">
        <v>1995</v>
      </c>
      <c r="C28" t="s">
        <v>1999</v>
      </c>
      <c r="D28" s="62" t="s">
        <v>1998</v>
      </c>
      <c r="E28" t="s">
        <v>16</v>
      </c>
    </row>
    <row r="29" spans="1:5" x14ac:dyDescent="0.25">
      <c r="B29" s="53" t="s">
        <v>2000</v>
      </c>
      <c r="C29" t="s">
        <v>797</v>
      </c>
      <c r="E29" t="s">
        <v>16</v>
      </c>
    </row>
    <row r="30" spans="1:5" x14ac:dyDescent="0.25">
      <c r="B30" s="53" t="s">
        <v>2001</v>
      </c>
      <c r="C30" t="s">
        <v>2002</v>
      </c>
      <c r="E30" t="s">
        <v>16</v>
      </c>
    </row>
    <row r="31" spans="1:5" x14ac:dyDescent="0.25">
      <c r="B31" s="53" t="s">
        <v>2020</v>
      </c>
      <c r="C31" t="s">
        <v>2021</v>
      </c>
      <c r="E31" t="s">
        <v>165</v>
      </c>
    </row>
    <row r="32" spans="1:5" x14ac:dyDescent="0.25">
      <c r="B32" s="53" t="s">
        <v>2022</v>
      </c>
      <c r="C32" s="76" t="s">
        <v>2023</v>
      </c>
      <c r="E32" t="s">
        <v>165</v>
      </c>
    </row>
    <row r="33" spans="1:5" x14ac:dyDescent="0.25">
      <c r="B33" s="53" t="s">
        <v>2022</v>
      </c>
      <c r="C33" t="s">
        <v>2024</v>
      </c>
      <c r="E33" t="s">
        <v>165</v>
      </c>
    </row>
    <row r="34" spans="1:5" x14ac:dyDescent="0.25">
      <c r="B34" s="53" t="s">
        <v>2022</v>
      </c>
      <c r="C34" t="s">
        <v>2025</v>
      </c>
      <c r="E34" t="s">
        <v>165</v>
      </c>
    </row>
    <row r="35" spans="1:5" x14ac:dyDescent="0.25">
      <c r="B35" s="53" t="s">
        <v>2026</v>
      </c>
      <c r="C35" t="s">
        <v>2027</v>
      </c>
      <c r="E35" t="s">
        <v>165</v>
      </c>
    </row>
    <row r="36" spans="1:5" x14ac:dyDescent="0.25">
      <c r="B36" s="53" t="s">
        <v>2022</v>
      </c>
      <c r="C36" t="s">
        <v>2028</v>
      </c>
      <c r="E36" t="s">
        <v>165</v>
      </c>
    </row>
    <row r="37" spans="1:5" x14ac:dyDescent="0.25">
      <c r="A37" t="s">
        <v>2190</v>
      </c>
      <c r="B37" s="53" t="s">
        <v>2191</v>
      </c>
      <c r="C37" t="s">
        <v>2192</v>
      </c>
      <c r="E37" t="s">
        <v>2066</v>
      </c>
    </row>
    <row r="38" spans="1:5" x14ac:dyDescent="0.25">
      <c r="B38" s="53" t="s">
        <v>2193</v>
      </c>
      <c r="C38" t="s">
        <v>1966</v>
      </c>
      <c r="E38" t="s">
        <v>2066</v>
      </c>
    </row>
    <row r="39" spans="1:5" x14ac:dyDescent="0.25">
      <c r="B39" s="53" t="s">
        <v>2194</v>
      </c>
      <c r="C39" t="s">
        <v>732</v>
      </c>
      <c r="E39" t="s">
        <v>2066</v>
      </c>
    </row>
    <row r="40" spans="1:5" x14ac:dyDescent="0.25">
      <c r="B40" s="53" t="s">
        <v>2194</v>
      </c>
      <c r="C40" t="s">
        <v>1964</v>
      </c>
      <c r="E40" t="s">
        <v>2066</v>
      </c>
    </row>
    <row r="41" spans="1:5" x14ac:dyDescent="0.25">
      <c r="A41" t="s">
        <v>2238</v>
      </c>
      <c r="B41" s="53" t="s">
        <v>2250</v>
      </c>
      <c r="C41" t="s">
        <v>2251</v>
      </c>
      <c r="D41" t="s">
        <v>2252</v>
      </c>
      <c r="E41" t="s">
        <v>2253</v>
      </c>
    </row>
    <row r="42" spans="1:5" x14ac:dyDescent="0.25">
      <c r="A42" t="s">
        <v>2254</v>
      </c>
      <c r="B42" s="53" t="s">
        <v>2282</v>
      </c>
      <c r="C42" t="s">
        <v>2283</v>
      </c>
      <c r="D42" t="s">
        <v>2284</v>
      </c>
      <c r="E42" t="s">
        <v>2301</v>
      </c>
    </row>
    <row r="43" spans="1:5" x14ac:dyDescent="0.25">
      <c r="B43" s="53" t="s">
        <v>2285</v>
      </c>
      <c r="C43" t="s">
        <v>2286</v>
      </c>
      <c r="D43" t="s">
        <v>2284</v>
      </c>
      <c r="E43" t="s">
        <v>2301</v>
      </c>
    </row>
    <row r="44" spans="1:5" x14ac:dyDescent="0.25">
      <c r="B44" s="53" t="s">
        <v>2022</v>
      </c>
      <c r="C44" t="s">
        <v>2287</v>
      </c>
      <c r="D44" t="s">
        <v>2284</v>
      </c>
      <c r="E44" t="s">
        <v>2301</v>
      </c>
    </row>
    <row r="45" spans="1:5" x14ac:dyDescent="0.25">
      <c r="B45" s="53" t="s">
        <v>2022</v>
      </c>
      <c r="C45" t="s">
        <v>2024</v>
      </c>
      <c r="D45" t="s">
        <v>2284</v>
      </c>
      <c r="E45" t="s">
        <v>2301</v>
      </c>
    </row>
    <row r="46" spans="1:5" x14ac:dyDescent="0.25">
      <c r="B46" s="53" t="s">
        <v>2022</v>
      </c>
      <c r="C46" t="s">
        <v>2288</v>
      </c>
      <c r="D46" t="s">
        <v>2284</v>
      </c>
      <c r="E46" t="s">
        <v>2301</v>
      </c>
    </row>
    <row r="47" spans="1:5" x14ac:dyDescent="0.25">
      <c r="B47" s="53" t="s">
        <v>2022</v>
      </c>
      <c r="C47" t="s">
        <v>2289</v>
      </c>
      <c r="D47" t="s">
        <v>2284</v>
      </c>
      <c r="E47" t="s">
        <v>2301</v>
      </c>
    </row>
    <row r="48" spans="1:5" x14ac:dyDescent="0.25">
      <c r="B48" s="53" t="s">
        <v>2022</v>
      </c>
      <c r="C48" t="s">
        <v>2290</v>
      </c>
      <c r="D48" t="s">
        <v>2284</v>
      </c>
      <c r="E48" t="s">
        <v>2301</v>
      </c>
    </row>
    <row r="49" spans="1:5" x14ac:dyDescent="0.25">
      <c r="B49" s="53" t="s">
        <v>2291</v>
      </c>
      <c r="C49" t="s">
        <v>2292</v>
      </c>
      <c r="D49" t="s">
        <v>2284</v>
      </c>
      <c r="E49" t="s">
        <v>2301</v>
      </c>
    </row>
    <row r="50" spans="1:5" x14ac:dyDescent="0.25">
      <c r="B50" s="53" t="s">
        <v>2293</v>
      </c>
      <c r="C50" t="s">
        <v>2294</v>
      </c>
      <c r="D50" t="s">
        <v>2284</v>
      </c>
      <c r="E50" t="s">
        <v>2301</v>
      </c>
    </row>
    <row r="51" spans="1:5" x14ac:dyDescent="0.25">
      <c r="B51" s="53" t="s">
        <v>2022</v>
      </c>
      <c r="C51" t="s">
        <v>2295</v>
      </c>
      <c r="D51" t="s">
        <v>2284</v>
      </c>
      <c r="E51" t="s">
        <v>2301</v>
      </c>
    </row>
    <row r="52" spans="1:5" x14ac:dyDescent="0.25">
      <c r="B52" s="53" t="s">
        <v>2022</v>
      </c>
      <c r="C52" t="s">
        <v>2296</v>
      </c>
      <c r="D52" t="s">
        <v>2284</v>
      </c>
      <c r="E52" t="s">
        <v>2301</v>
      </c>
    </row>
    <row r="53" spans="1:5" x14ac:dyDescent="0.25">
      <c r="B53" s="53" t="s">
        <v>2300</v>
      </c>
      <c r="C53" t="s">
        <v>2297</v>
      </c>
      <c r="D53" t="s">
        <v>2284</v>
      </c>
      <c r="E53" t="s">
        <v>2301</v>
      </c>
    </row>
    <row r="54" spans="1:5" x14ac:dyDescent="0.25">
      <c r="B54" s="53" t="s">
        <v>2299</v>
      </c>
      <c r="C54" t="s">
        <v>2298</v>
      </c>
      <c r="D54" t="s">
        <v>2284</v>
      </c>
      <c r="E54" t="s">
        <v>2301</v>
      </c>
    </row>
    <row r="55" spans="1:5" x14ac:dyDescent="0.25">
      <c r="B55" s="53" t="s">
        <v>2302</v>
      </c>
      <c r="C55" t="s">
        <v>732</v>
      </c>
      <c r="D55" t="s">
        <v>2303</v>
      </c>
      <c r="E55" t="s">
        <v>2066</v>
      </c>
    </row>
    <row r="56" spans="1:5" ht="30" x14ac:dyDescent="0.25">
      <c r="A56" s="78">
        <v>46147</v>
      </c>
      <c r="B56" s="79" t="s">
        <v>2409</v>
      </c>
    </row>
    <row r="57" spans="1:5" x14ac:dyDescent="0.25">
      <c r="B57" s="53" t="s">
        <v>2194</v>
      </c>
      <c r="C57" t="s">
        <v>2410</v>
      </c>
      <c r="E57" t="s">
        <v>2428</v>
      </c>
    </row>
    <row r="58" spans="1:5" x14ac:dyDescent="0.25">
      <c r="B58" s="53" t="s">
        <v>2411</v>
      </c>
      <c r="C58" t="s">
        <v>2412</v>
      </c>
      <c r="E58" t="s">
        <v>2428</v>
      </c>
    </row>
    <row r="59" spans="1:5" x14ac:dyDescent="0.25">
      <c r="B59" s="79" t="s">
        <v>2413</v>
      </c>
      <c r="C59" t="s">
        <v>2414</v>
      </c>
      <c r="E59" t="s">
        <v>2428</v>
      </c>
    </row>
    <row r="60" spans="1:5" x14ac:dyDescent="0.25">
      <c r="B60" s="53" t="s">
        <v>2411</v>
      </c>
      <c r="C60" t="s">
        <v>2415</v>
      </c>
      <c r="E60" t="s">
        <v>2428</v>
      </c>
    </row>
    <row r="61" spans="1:5" ht="30" x14ac:dyDescent="0.25">
      <c r="B61" s="53" t="s">
        <v>2413</v>
      </c>
      <c r="C61" s="62" t="s">
        <v>2416</v>
      </c>
      <c r="E61" t="s">
        <v>2428</v>
      </c>
    </row>
    <row r="62" spans="1:5" x14ac:dyDescent="0.25">
      <c r="B62" s="53" t="s">
        <v>2417</v>
      </c>
      <c r="C62" t="s">
        <v>2418</v>
      </c>
      <c r="E62" t="s">
        <v>2428</v>
      </c>
    </row>
    <row r="63" spans="1:5" x14ac:dyDescent="0.25">
      <c r="B63" s="53" t="s">
        <v>2417</v>
      </c>
      <c r="C63" t="s">
        <v>2419</v>
      </c>
      <c r="E63" t="s">
        <v>2428</v>
      </c>
    </row>
    <row r="64" spans="1:5" x14ac:dyDescent="0.25">
      <c r="B64" s="79" t="s">
        <v>2421</v>
      </c>
      <c r="C64" s="79" t="s">
        <v>2420</v>
      </c>
      <c r="E64" t="s">
        <v>2428</v>
      </c>
    </row>
    <row r="65" spans="1:5" x14ac:dyDescent="0.25">
      <c r="B65" s="53" t="s">
        <v>2417</v>
      </c>
      <c r="C65" t="s">
        <v>2422</v>
      </c>
      <c r="E65" t="s">
        <v>2428</v>
      </c>
    </row>
    <row r="66" spans="1:5" x14ac:dyDescent="0.25">
      <c r="B66" s="53" t="s">
        <v>2302</v>
      </c>
      <c r="C66" t="s">
        <v>2423</v>
      </c>
      <c r="E66" t="s">
        <v>2428</v>
      </c>
    </row>
    <row r="67" spans="1:5" x14ac:dyDescent="0.25">
      <c r="B67" s="53" t="s">
        <v>2302</v>
      </c>
      <c r="C67" t="s">
        <v>2424</v>
      </c>
      <c r="E67" t="s">
        <v>2428</v>
      </c>
    </row>
    <row r="68" spans="1:5" x14ac:dyDescent="0.25">
      <c r="B68" s="53" t="s">
        <v>2302</v>
      </c>
      <c r="C68" t="s">
        <v>2425</v>
      </c>
      <c r="E68" t="s">
        <v>2428</v>
      </c>
    </row>
    <row r="69" spans="1:5" x14ac:dyDescent="0.25">
      <c r="B69" s="53" t="s">
        <v>2426</v>
      </c>
      <c r="C69" t="s">
        <v>2427</v>
      </c>
      <c r="E69" t="s">
        <v>2428</v>
      </c>
    </row>
    <row r="70" spans="1:5" x14ac:dyDescent="0.25">
      <c r="A70" t="s">
        <v>2554</v>
      </c>
      <c r="C70" t="s">
        <v>2555</v>
      </c>
      <c r="E70" t="s">
        <v>2066</v>
      </c>
    </row>
    <row r="71" spans="1:5" x14ac:dyDescent="0.25">
      <c r="C71" t="s">
        <v>1964</v>
      </c>
      <c r="E71" t="s">
        <v>2066</v>
      </c>
    </row>
    <row r="72" spans="1:5" x14ac:dyDescent="0.25">
      <c r="A72" t="s">
        <v>2681</v>
      </c>
    </row>
    <row r="73" spans="1:5" x14ac:dyDescent="0.25">
      <c r="A73" s="92">
        <v>46028</v>
      </c>
      <c r="B73" t="s">
        <v>2783</v>
      </c>
      <c r="C73" t="s">
        <v>2782</v>
      </c>
      <c r="D73" t="s">
        <v>2984</v>
      </c>
      <c r="E73" t="s">
        <v>407</v>
      </c>
    </row>
    <row r="74" spans="1:5" x14ac:dyDescent="0.25">
      <c r="A74" s="92">
        <v>46028</v>
      </c>
      <c r="B74" t="s">
        <v>2250</v>
      </c>
      <c r="C74" t="s">
        <v>2251</v>
      </c>
      <c r="D74" t="s">
        <v>2984</v>
      </c>
      <c r="E74" t="s">
        <v>2066</v>
      </c>
    </row>
    <row r="75" spans="1:5" x14ac:dyDescent="0.25">
      <c r="A75" s="92" t="s">
        <v>654</v>
      </c>
      <c r="B75" t="s">
        <v>2979</v>
      </c>
      <c r="C75" t="s">
        <v>2980</v>
      </c>
      <c r="D75" t="s">
        <v>2984</v>
      </c>
      <c r="E75" t="s">
        <v>2066</v>
      </c>
    </row>
    <row r="76" spans="1:5" x14ac:dyDescent="0.25">
      <c r="B76" t="s">
        <v>2981</v>
      </c>
      <c r="C76" t="s">
        <v>2251</v>
      </c>
      <c r="D76" t="s">
        <v>2984</v>
      </c>
      <c r="E76" t="s">
        <v>2066</v>
      </c>
    </row>
    <row r="77" spans="1:5" x14ac:dyDescent="0.25">
      <c r="B77" t="s">
        <v>2982</v>
      </c>
      <c r="C77" t="s">
        <v>2983</v>
      </c>
      <c r="D77" t="s">
        <v>2984</v>
      </c>
      <c r="E77" t="s">
        <v>2066</v>
      </c>
    </row>
    <row r="78" spans="1:5" x14ac:dyDescent="0.25">
      <c r="B78" t="s">
        <v>3853</v>
      </c>
      <c r="C78" t="s">
        <v>3854</v>
      </c>
      <c r="E78" t="s">
        <v>2066</v>
      </c>
    </row>
    <row r="79" spans="1:5" x14ac:dyDescent="0.25">
      <c r="B79" t="s">
        <v>3855</v>
      </c>
      <c r="C79" t="s">
        <v>3856</v>
      </c>
    </row>
    <row r="80" spans="1:5" x14ac:dyDescent="0.25">
      <c r="B80" t="s">
        <v>4090</v>
      </c>
      <c r="C80" t="s">
        <v>3856</v>
      </c>
      <c r="D80" t="s">
        <v>4091</v>
      </c>
      <c r="E80" t="s">
        <v>3679</v>
      </c>
    </row>
  </sheetData>
  <phoneticPr fontId="5"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353B-4E13-4511-B1CA-D9A488AEB644}">
  <dimension ref="A1:D2"/>
  <sheetViews>
    <sheetView workbookViewId="0">
      <selection activeCell="C25" sqref="C25"/>
    </sheetView>
  </sheetViews>
  <sheetFormatPr defaultRowHeight="12.75" x14ac:dyDescent="0.2"/>
  <cols>
    <col min="1" max="1" width="9.7109375" style="85" bestFit="1" customWidth="1"/>
    <col min="2" max="2" width="69" style="85" bestFit="1" customWidth="1"/>
    <col min="3" max="3" width="44.7109375" style="85" bestFit="1" customWidth="1"/>
    <col min="4" max="4" width="12.42578125" style="85" bestFit="1" customWidth="1"/>
    <col min="5" max="16384" width="9.140625" style="85"/>
  </cols>
  <sheetData>
    <row r="1" spans="1:4" x14ac:dyDescent="0.2">
      <c r="A1" s="84" t="s">
        <v>1</v>
      </c>
      <c r="B1" s="84" t="s">
        <v>202</v>
      </c>
      <c r="C1" s="84" t="s">
        <v>2744</v>
      </c>
      <c r="D1" s="84" t="s">
        <v>2745</v>
      </c>
    </row>
    <row r="2" spans="1:4" x14ac:dyDescent="0.2">
      <c r="A2" s="85" t="s">
        <v>2754</v>
      </c>
      <c r="B2" s="85" t="s">
        <v>2746</v>
      </c>
      <c r="C2" s="85" t="s">
        <v>2747</v>
      </c>
      <c r="D2" s="85" t="s">
        <v>2748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F5698-5D07-4EAA-9071-17C6A4BFC4F8}">
  <dimension ref="A1:F312"/>
  <sheetViews>
    <sheetView workbookViewId="0">
      <selection activeCell="C20" sqref="C20"/>
    </sheetView>
  </sheetViews>
  <sheetFormatPr defaultRowHeight="12.75" x14ac:dyDescent="0.2"/>
  <cols>
    <col min="1" max="1" width="9.7109375" style="85" bestFit="1" customWidth="1"/>
    <col min="2" max="2" width="69" style="85" bestFit="1" customWidth="1"/>
    <col min="3" max="3" width="69" style="85" customWidth="1"/>
    <col min="4" max="4" width="14" style="85" customWidth="1"/>
    <col min="5" max="5" width="44.7109375" style="85" bestFit="1" customWidth="1"/>
    <col min="6" max="6" width="17.85546875" style="85" bestFit="1" customWidth="1"/>
    <col min="7" max="16384" width="9.140625" style="85"/>
  </cols>
  <sheetData>
    <row r="1" spans="1:6" ht="15.75" x14ac:dyDescent="0.2">
      <c r="A1" s="83" t="s">
        <v>1</v>
      </c>
      <c r="B1" s="83" t="s">
        <v>202</v>
      </c>
      <c r="C1" s="83" t="s">
        <v>2750</v>
      </c>
      <c r="D1" s="83" t="s">
        <v>103</v>
      </c>
      <c r="E1" s="83" t="s">
        <v>2744</v>
      </c>
      <c r="F1" s="83" t="s">
        <v>2752</v>
      </c>
    </row>
    <row r="2" spans="1:6" x14ac:dyDescent="0.2">
      <c r="A2" s="87" t="s">
        <v>2754</v>
      </c>
      <c r="B2" s="87" t="s">
        <v>2749</v>
      </c>
      <c r="C2" s="87" t="s">
        <v>2751</v>
      </c>
      <c r="D2" s="88">
        <v>8250</v>
      </c>
      <c r="E2" s="87" t="s">
        <v>2747</v>
      </c>
      <c r="F2" s="87" t="s">
        <v>2753</v>
      </c>
    </row>
    <row r="3" spans="1:6" x14ac:dyDescent="0.2">
      <c r="D3" s="86"/>
    </row>
    <row r="4" spans="1:6" x14ac:dyDescent="0.2">
      <c r="D4" s="86"/>
    </row>
    <row r="5" spans="1:6" x14ac:dyDescent="0.2">
      <c r="D5" s="86"/>
    </row>
    <row r="6" spans="1:6" x14ac:dyDescent="0.2">
      <c r="D6" s="86"/>
    </row>
    <row r="7" spans="1:6" x14ac:dyDescent="0.2">
      <c r="D7" s="86"/>
    </row>
    <row r="8" spans="1:6" x14ac:dyDescent="0.2">
      <c r="D8" s="86"/>
    </row>
    <row r="9" spans="1:6" x14ac:dyDescent="0.2">
      <c r="D9" s="86"/>
    </row>
    <row r="10" spans="1:6" x14ac:dyDescent="0.2">
      <c r="D10" s="86"/>
    </row>
    <row r="11" spans="1:6" x14ac:dyDescent="0.2">
      <c r="D11" s="86"/>
    </row>
    <row r="12" spans="1:6" x14ac:dyDescent="0.2">
      <c r="D12" s="86"/>
    </row>
    <row r="13" spans="1:6" x14ac:dyDescent="0.2">
      <c r="D13" s="86"/>
    </row>
    <row r="14" spans="1:6" x14ac:dyDescent="0.2">
      <c r="D14" s="86"/>
    </row>
    <row r="15" spans="1:6" x14ac:dyDescent="0.2">
      <c r="D15" s="86"/>
    </row>
    <row r="16" spans="1:6" x14ac:dyDescent="0.2">
      <c r="D16" s="86"/>
    </row>
    <row r="17" spans="4:4" x14ac:dyDescent="0.2">
      <c r="D17" s="86"/>
    </row>
    <row r="18" spans="4:4" x14ac:dyDescent="0.2">
      <c r="D18" s="86"/>
    </row>
    <row r="19" spans="4:4" x14ac:dyDescent="0.2">
      <c r="D19" s="86"/>
    </row>
    <row r="20" spans="4:4" x14ac:dyDescent="0.2">
      <c r="D20" s="86"/>
    </row>
    <row r="21" spans="4:4" x14ac:dyDescent="0.2">
      <c r="D21" s="86"/>
    </row>
    <row r="22" spans="4:4" x14ac:dyDescent="0.2">
      <c r="D22" s="86"/>
    </row>
    <row r="23" spans="4:4" x14ac:dyDescent="0.2">
      <c r="D23" s="86"/>
    </row>
    <row r="24" spans="4:4" x14ac:dyDescent="0.2">
      <c r="D24" s="86"/>
    </row>
    <row r="25" spans="4:4" x14ac:dyDescent="0.2">
      <c r="D25" s="86"/>
    </row>
    <row r="26" spans="4:4" x14ac:dyDescent="0.2">
      <c r="D26" s="86"/>
    </row>
    <row r="27" spans="4:4" x14ac:dyDescent="0.2">
      <c r="D27" s="86"/>
    </row>
    <row r="28" spans="4:4" x14ac:dyDescent="0.2">
      <c r="D28" s="86"/>
    </row>
    <row r="29" spans="4:4" x14ac:dyDescent="0.2">
      <c r="D29" s="86"/>
    </row>
    <row r="30" spans="4:4" x14ac:dyDescent="0.2">
      <c r="D30" s="86"/>
    </row>
    <row r="31" spans="4:4" x14ac:dyDescent="0.2">
      <c r="D31" s="86"/>
    </row>
    <row r="32" spans="4:4" x14ac:dyDescent="0.2">
      <c r="D32" s="86"/>
    </row>
    <row r="33" spans="4:4" x14ac:dyDescent="0.2">
      <c r="D33" s="86"/>
    </row>
    <row r="34" spans="4:4" x14ac:dyDescent="0.2">
      <c r="D34" s="86"/>
    </row>
    <row r="35" spans="4:4" x14ac:dyDescent="0.2">
      <c r="D35" s="86"/>
    </row>
    <row r="36" spans="4:4" x14ac:dyDescent="0.2">
      <c r="D36" s="86"/>
    </row>
    <row r="37" spans="4:4" x14ac:dyDescent="0.2">
      <c r="D37" s="86"/>
    </row>
    <row r="38" spans="4:4" x14ac:dyDescent="0.2">
      <c r="D38" s="86"/>
    </row>
    <row r="39" spans="4:4" x14ac:dyDescent="0.2">
      <c r="D39" s="86"/>
    </row>
    <row r="40" spans="4:4" x14ac:dyDescent="0.2">
      <c r="D40" s="86"/>
    </row>
    <row r="41" spans="4:4" x14ac:dyDescent="0.2">
      <c r="D41" s="86"/>
    </row>
    <row r="42" spans="4:4" x14ac:dyDescent="0.2">
      <c r="D42" s="86"/>
    </row>
    <row r="43" spans="4:4" x14ac:dyDescent="0.2">
      <c r="D43" s="86"/>
    </row>
    <row r="44" spans="4:4" x14ac:dyDescent="0.2">
      <c r="D44" s="86"/>
    </row>
    <row r="45" spans="4:4" x14ac:dyDescent="0.2">
      <c r="D45" s="86"/>
    </row>
    <row r="46" spans="4:4" x14ac:dyDescent="0.2">
      <c r="D46" s="86"/>
    </row>
    <row r="47" spans="4:4" x14ac:dyDescent="0.2">
      <c r="D47" s="86"/>
    </row>
    <row r="48" spans="4:4" x14ac:dyDescent="0.2">
      <c r="D48" s="86"/>
    </row>
    <row r="49" spans="4:4" x14ac:dyDescent="0.2">
      <c r="D49" s="86"/>
    </row>
    <row r="50" spans="4:4" x14ac:dyDescent="0.2">
      <c r="D50" s="86"/>
    </row>
    <row r="51" spans="4:4" x14ac:dyDescent="0.2">
      <c r="D51" s="86"/>
    </row>
    <row r="52" spans="4:4" x14ac:dyDescent="0.2">
      <c r="D52" s="86"/>
    </row>
    <row r="53" spans="4:4" x14ac:dyDescent="0.2">
      <c r="D53" s="86"/>
    </row>
    <row r="54" spans="4:4" x14ac:dyDescent="0.2">
      <c r="D54" s="86"/>
    </row>
    <row r="55" spans="4:4" x14ac:dyDescent="0.2">
      <c r="D55" s="86"/>
    </row>
    <row r="56" spans="4:4" x14ac:dyDescent="0.2">
      <c r="D56" s="86"/>
    </row>
    <row r="57" spans="4:4" x14ac:dyDescent="0.2">
      <c r="D57" s="86"/>
    </row>
    <row r="58" spans="4:4" x14ac:dyDescent="0.2">
      <c r="D58" s="86"/>
    </row>
    <row r="59" spans="4:4" x14ac:dyDescent="0.2">
      <c r="D59" s="86"/>
    </row>
    <row r="60" spans="4:4" x14ac:dyDescent="0.2">
      <c r="D60" s="86"/>
    </row>
    <row r="61" spans="4:4" x14ac:dyDescent="0.2">
      <c r="D61" s="86"/>
    </row>
    <row r="62" spans="4:4" x14ac:dyDescent="0.2">
      <c r="D62" s="86"/>
    </row>
    <row r="63" spans="4:4" x14ac:dyDescent="0.2">
      <c r="D63" s="86"/>
    </row>
    <row r="64" spans="4:4" x14ac:dyDescent="0.2">
      <c r="D64" s="86"/>
    </row>
    <row r="65" spans="4:4" x14ac:dyDescent="0.2">
      <c r="D65" s="86"/>
    </row>
    <row r="66" spans="4:4" x14ac:dyDescent="0.2">
      <c r="D66" s="86"/>
    </row>
    <row r="67" spans="4:4" x14ac:dyDescent="0.2">
      <c r="D67" s="86"/>
    </row>
    <row r="68" spans="4:4" x14ac:dyDescent="0.2">
      <c r="D68" s="86"/>
    </row>
    <row r="69" spans="4:4" x14ac:dyDescent="0.2">
      <c r="D69" s="86"/>
    </row>
    <row r="70" spans="4:4" x14ac:dyDescent="0.2">
      <c r="D70" s="86"/>
    </row>
    <row r="71" spans="4:4" x14ac:dyDescent="0.2">
      <c r="D71" s="86"/>
    </row>
    <row r="72" spans="4:4" x14ac:dyDescent="0.2">
      <c r="D72" s="86"/>
    </row>
    <row r="73" spans="4:4" x14ac:dyDescent="0.2">
      <c r="D73" s="86"/>
    </row>
    <row r="74" spans="4:4" x14ac:dyDescent="0.2">
      <c r="D74" s="86"/>
    </row>
    <row r="75" spans="4:4" x14ac:dyDescent="0.2">
      <c r="D75" s="86"/>
    </row>
    <row r="76" spans="4:4" x14ac:dyDescent="0.2">
      <c r="D76" s="86"/>
    </row>
    <row r="77" spans="4:4" x14ac:dyDescent="0.2">
      <c r="D77" s="86"/>
    </row>
    <row r="78" spans="4:4" x14ac:dyDescent="0.2">
      <c r="D78" s="86"/>
    </row>
    <row r="79" spans="4:4" x14ac:dyDescent="0.2">
      <c r="D79" s="86"/>
    </row>
    <row r="80" spans="4:4" x14ac:dyDescent="0.2">
      <c r="D80" s="86"/>
    </row>
    <row r="81" spans="4:4" x14ac:dyDescent="0.2">
      <c r="D81" s="86"/>
    </row>
    <row r="82" spans="4:4" x14ac:dyDescent="0.2">
      <c r="D82" s="86"/>
    </row>
    <row r="83" spans="4:4" x14ac:dyDescent="0.2">
      <c r="D83" s="86"/>
    </row>
    <row r="84" spans="4:4" x14ac:dyDescent="0.2">
      <c r="D84" s="86"/>
    </row>
    <row r="85" spans="4:4" x14ac:dyDescent="0.2">
      <c r="D85" s="86"/>
    </row>
    <row r="86" spans="4:4" x14ac:dyDescent="0.2">
      <c r="D86" s="86"/>
    </row>
    <row r="87" spans="4:4" x14ac:dyDescent="0.2">
      <c r="D87" s="86"/>
    </row>
    <row r="88" spans="4:4" x14ac:dyDescent="0.2">
      <c r="D88" s="86"/>
    </row>
    <row r="89" spans="4:4" x14ac:dyDescent="0.2">
      <c r="D89" s="86"/>
    </row>
    <row r="90" spans="4:4" x14ac:dyDescent="0.2">
      <c r="D90" s="86"/>
    </row>
    <row r="91" spans="4:4" x14ac:dyDescent="0.2">
      <c r="D91" s="86"/>
    </row>
    <row r="92" spans="4:4" x14ac:dyDescent="0.2">
      <c r="D92" s="86"/>
    </row>
    <row r="93" spans="4:4" x14ac:dyDescent="0.2">
      <c r="D93" s="86"/>
    </row>
    <row r="94" spans="4:4" x14ac:dyDescent="0.2">
      <c r="D94" s="86"/>
    </row>
    <row r="95" spans="4:4" x14ac:dyDescent="0.2">
      <c r="D95" s="86"/>
    </row>
    <row r="96" spans="4:4" x14ac:dyDescent="0.2">
      <c r="D96" s="86"/>
    </row>
    <row r="97" spans="4:4" x14ac:dyDescent="0.2">
      <c r="D97" s="86"/>
    </row>
    <row r="98" spans="4:4" x14ac:dyDescent="0.2">
      <c r="D98" s="86"/>
    </row>
    <row r="99" spans="4:4" x14ac:dyDescent="0.2">
      <c r="D99" s="86"/>
    </row>
    <row r="100" spans="4:4" x14ac:dyDescent="0.2">
      <c r="D100" s="86"/>
    </row>
    <row r="101" spans="4:4" x14ac:dyDescent="0.2">
      <c r="D101" s="86"/>
    </row>
    <row r="102" spans="4:4" x14ac:dyDescent="0.2">
      <c r="D102" s="86"/>
    </row>
    <row r="103" spans="4:4" x14ac:dyDescent="0.2">
      <c r="D103" s="86"/>
    </row>
    <row r="104" spans="4:4" x14ac:dyDescent="0.2">
      <c r="D104" s="86"/>
    </row>
    <row r="105" spans="4:4" x14ac:dyDescent="0.2">
      <c r="D105" s="86"/>
    </row>
    <row r="106" spans="4:4" x14ac:dyDescent="0.2">
      <c r="D106" s="86"/>
    </row>
    <row r="107" spans="4:4" x14ac:dyDescent="0.2">
      <c r="D107" s="86"/>
    </row>
    <row r="108" spans="4:4" x14ac:dyDescent="0.2">
      <c r="D108" s="86"/>
    </row>
    <row r="109" spans="4:4" x14ac:dyDescent="0.2">
      <c r="D109" s="86"/>
    </row>
    <row r="110" spans="4:4" x14ac:dyDescent="0.2">
      <c r="D110" s="86"/>
    </row>
    <row r="111" spans="4:4" x14ac:dyDescent="0.2">
      <c r="D111" s="86"/>
    </row>
    <row r="112" spans="4:4" x14ac:dyDescent="0.2">
      <c r="D112" s="86"/>
    </row>
    <row r="113" spans="4:4" x14ac:dyDescent="0.2">
      <c r="D113" s="86"/>
    </row>
    <row r="114" spans="4:4" x14ac:dyDescent="0.2">
      <c r="D114" s="86"/>
    </row>
    <row r="115" spans="4:4" x14ac:dyDescent="0.2">
      <c r="D115" s="86"/>
    </row>
    <row r="116" spans="4:4" x14ac:dyDescent="0.2">
      <c r="D116" s="86"/>
    </row>
    <row r="117" spans="4:4" x14ac:dyDescent="0.2">
      <c r="D117" s="86"/>
    </row>
    <row r="118" spans="4:4" x14ac:dyDescent="0.2">
      <c r="D118" s="86"/>
    </row>
    <row r="119" spans="4:4" x14ac:dyDescent="0.2">
      <c r="D119" s="86"/>
    </row>
    <row r="120" spans="4:4" x14ac:dyDescent="0.2">
      <c r="D120" s="86"/>
    </row>
    <row r="121" spans="4:4" x14ac:dyDescent="0.2">
      <c r="D121" s="86"/>
    </row>
    <row r="122" spans="4:4" x14ac:dyDescent="0.2">
      <c r="D122" s="86"/>
    </row>
    <row r="123" spans="4:4" x14ac:dyDescent="0.2">
      <c r="D123" s="86"/>
    </row>
    <row r="124" spans="4:4" x14ac:dyDescent="0.2">
      <c r="D124" s="86"/>
    </row>
    <row r="125" spans="4:4" x14ac:dyDescent="0.2">
      <c r="D125" s="86"/>
    </row>
    <row r="126" spans="4:4" x14ac:dyDescent="0.2">
      <c r="D126" s="86"/>
    </row>
    <row r="127" spans="4:4" x14ac:dyDescent="0.2">
      <c r="D127" s="86"/>
    </row>
    <row r="128" spans="4:4" x14ac:dyDescent="0.2">
      <c r="D128" s="86"/>
    </row>
    <row r="129" spans="4:4" x14ac:dyDescent="0.2">
      <c r="D129" s="86"/>
    </row>
    <row r="130" spans="4:4" x14ac:dyDescent="0.2">
      <c r="D130" s="86"/>
    </row>
    <row r="131" spans="4:4" x14ac:dyDescent="0.2">
      <c r="D131" s="86"/>
    </row>
    <row r="132" spans="4:4" x14ac:dyDescent="0.2">
      <c r="D132" s="86"/>
    </row>
    <row r="133" spans="4:4" x14ac:dyDescent="0.2">
      <c r="D133" s="86"/>
    </row>
    <row r="134" spans="4:4" x14ac:dyDescent="0.2">
      <c r="D134" s="86"/>
    </row>
    <row r="135" spans="4:4" x14ac:dyDescent="0.2">
      <c r="D135" s="86"/>
    </row>
    <row r="136" spans="4:4" x14ac:dyDescent="0.2">
      <c r="D136" s="86"/>
    </row>
    <row r="137" spans="4:4" x14ac:dyDescent="0.2">
      <c r="D137" s="86"/>
    </row>
    <row r="138" spans="4:4" x14ac:dyDescent="0.2">
      <c r="D138" s="86"/>
    </row>
    <row r="139" spans="4:4" x14ac:dyDescent="0.2">
      <c r="D139" s="86"/>
    </row>
    <row r="140" spans="4:4" x14ac:dyDescent="0.2">
      <c r="D140" s="86"/>
    </row>
    <row r="141" spans="4:4" x14ac:dyDescent="0.2">
      <c r="D141" s="86"/>
    </row>
    <row r="142" spans="4:4" x14ac:dyDescent="0.2">
      <c r="D142" s="86"/>
    </row>
    <row r="143" spans="4:4" x14ac:dyDescent="0.2">
      <c r="D143" s="86"/>
    </row>
    <row r="144" spans="4:4" x14ac:dyDescent="0.2">
      <c r="D144" s="86"/>
    </row>
    <row r="145" spans="4:4" x14ac:dyDescent="0.2">
      <c r="D145" s="86"/>
    </row>
    <row r="146" spans="4:4" x14ac:dyDescent="0.2">
      <c r="D146" s="86"/>
    </row>
    <row r="147" spans="4:4" x14ac:dyDescent="0.2">
      <c r="D147" s="86"/>
    </row>
    <row r="148" spans="4:4" x14ac:dyDescent="0.2">
      <c r="D148" s="86"/>
    </row>
    <row r="149" spans="4:4" x14ac:dyDescent="0.2">
      <c r="D149" s="86"/>
    </row>
    <row r="150" spans="4:4" x14ac:dyDescent="0.2">
      <c r="D150" s="86"/>
    </row>
    <row r="151" spans="4:4" x14ac:dyDescent="0.2">
      <c r="D151" s="86"/>
    </row>
    <row r="152" spans="4:4" x14ac:dyDescent="0.2">
      <c r="D152" s="86"/>
    </row>
    <row r="153" spans="4:4" x14ac:dyDescent="0.2">
      <c r="D153" s="86"/>
    </row>
    <row r="154" spans="4:4" x14ac:dyDescent="0.2">
      <c r="D154" s="86"/>
    </row>
    <row r="155" spans="4:4" x14ac:dyDescent="0.2">
      <c r="D155" s="86"/>
    </row>
    <row r="156" spans="4:4" x14ac:dyDescent="0.2">
      <c r="D156" s="86"/>
    </row>
    <row r="157" spans="4:4" x14ac:dyDescent="0.2">
      <c r="D157" s="86"/>
    </row>
    <row r="158" spans="4:4" x14ac:dyDescent="0.2">
      <c r="D158" s="86"/>
    </row>
    <row r="159" spans="4:4" x14ac:dyDescent="0.2">
      <c r="D159" s="86"/>
    </row>
    <row r="160" spans="4:4" x14ac:dyDescent="0.2">
      <c r="D160" s="86"/>
    </row>
    <row r="161" spans="4:4" x14ac:dyDescent="0.2">
      <c r="D161" s="86"/>
    </row>
    <row r="162" spans="4:4" x14ac:dyDescent="0.2">
      <c r="D162" s="86"/>
    </row>
    <row r="163" spans="4:4" x14ac:dyDescent="0.2">
      <c r="D163" s="86"/>
    </row>
    <row r="164" spans="4:4" x14ac:dyDescent="0.2">
      <c r="D164" s="86"/>
    </row>
    <row r="165" spans="4:4" x14ac:dyDescent="0.2">
      <c r="D165" s="86"/>
    </row>
    <row r="166" spans="4:4" x14ac:dyDescent="0.2">
      <c r="D166" s="86"/>
    </row>
    <row r="167" spans="4:4" x14ac:dyDescent="0.2">
      <c r="D167" s="86"/>
    </row>
    <row r="168" spans="4:4" x14ac:dyDescent="0.2">
      <c r="D168" s="86"/>
    </row>
    <row r="169" spans="4:4" x14ac:dyDescent="0.2">
      <c r="D169" s="86"/>
    </row>
    <row r="170" spans="4:4" x14ac:dyDescent="0.2">
      <c r="D170" s="86"/>
    </row>
    <row r="171" spans="4:4" x14ac:dyDescent="0.2">
      <c r="D171" s="86"/>
    </row>
    <row r="172" spans="4:4" x14ac:dyDescent="0.2">
      <c r="D172" s="86"/>
    </row>
    <row r="173" spans="4:4" x14ac:dyDescent="0.2">
      <c r="D173" s="86"/>
    </row>
    <row r="174" spans="4:4" x14ac:dyDescent="0.2">
      <c r="D174" s="86"/>
    </row>
    <row r="175" spans="4:4" x14ac:dyDescent="0.2">
      <c r="D175" s="86"/>
    </row>
    <row r="176" spans="4:4" x14ac:dyDescent="0.2">
      <c r="D176" s="86"/>
    </row>
    <row r="177" spans="4:4" x14ac:dyDescent="0.2">
      <c r="D177" s="86"/>
    </row>
    <row r="178" spans="4:4" x14ac:dyDescent="0.2">
      <c r="D178" s="86"/>
    </row>
    <row r="179" spans="4:4" x14ac:dyDescent="0.2">
      <c r="D179" s="86"/>
    </row>
    <row r="180" spans="4:4" x14ac:dyDescent="0.2">
      <c r="D180" s="86"/>
    </row>
    <row r="181" spans="4:4" x14ac:dyDescent="0.2">
      <c r="D181" s="86"/>
    </row>
    <row r="182" spans="4:4" x14ac:dyDescent="0.2">
      <c r="D182" s="86"/>
    </row>
    <row r="183" spans="4:4" x14ac:dyDescent="0.2">
      <c r="D183" s="86"/>
    </row>
    <row r="184" spans="4:4" x14ac:dyDescent="0.2">
      <c r="D184" s="86"/>
    </row>
    <row r="185" spans="4:4" x14ac:dyDescent="0.2">
      <c r="D185" s="86"/>
    </row>
    <row r="186" spans="4:4" x14ac:dyDescent="0.2">
      <c r="D186" s="86"/>
    </row>
    <row r="187" spans="4:4" x14ac:dyDescent="0.2">
      <c r="D187" s="86"/>
    </row>
    <row r="188" spans="4:4" x14ac:dyDescent="0.2">
      <c r="D188" s="86"/>
    </row>
    <row r="189" spans="4:4" x14ac:dyDescent="0.2">
      <c r="D189" s="86"/>
    </row>
    <row r="190" spans="4:4" x14ac:dyDescent="0.2">
      <c r="D190" s="86"/>
    </row>
    <row r="191" spans="4:4" x14ac:dyDescent="0.2">
      <c r="D191" s="86"/>
    </row>
    <row r="192" spans="4:4" x14ac:dyDescent="0.2">
      <c r="D192" s="86"/>
    </row>
    <row r="193" spans="4:4" x14ac:dyDescent="0.2">
      <c r="D193" s="86"/>
    </row>
    <row r="194" spans="4:4" x14ac:dyDescent="0.2">
      <c r="D194" s="86"/>
    </row>
    <row r="195" spans="4:4" x14ac:dyDescent="0.2">
      <c r="D195" s="86"/>
    </row>
    <row r="196" spans="4:4" x14ac:dyDescent="0.2">
      <c r="D196" s="86"/>
    </row>
    <row r="197" spans="4:4" x14ac:dyDescent="0.2">
      <c r="D197" s="86"/>
    </row>
    <row r="198" spans="4:4" x14ac:dyDescent="0.2">
      <c r="D198" s="86"/>
    </row>
    <row r="199" spans="4:4" x14ac:dyDescent="0.2">
      <c r="D199" s="86"/>
    </row>
    <row r="200" spans="4:4" x14ac:dyDescent="0.2">
      <c r="D200" s="86"/>
    </row>
    <row r="201" spans="4:4" x14ac:dyDescent="0.2">
      <c r="D201" s="86"/>
    </row>
    <row r="202" spans="4:4" x14ac:dyDescent="0.2">
      <c r="D202" s="86"/>
    </row>
    <row r="203" spans="4:4" x14ac:dyDescent="0.2">
      <c r="D203" s="86"/>
    </row>
    <row r="204" spans="4:4" x14ac:dyDescent="0.2">
      <c r="D204" s="86"/>
    </row>
    <row r="205" spans="4:4" x14ac:dyDescent="0.2">
      <c r="D205" s="86"/>
    </row>
    <row r="206" spans="4:4" x14ac:dyDescent="0.2">
      <c r="D206" s="86"/>
    </row>
    <row r="207" spans="4:4" x14ac:dyDescent="0.2">
      <c r="D207" s="86"/>
    </row>
    <row r="208" spans="4:4" x14ac:dyDescent="0.2">
      <c r="D208" s="86"/>
    </row>
    <row r="209" spans="4:4" x14ac:dyDescent="0.2">
      <c r="D209" s="86"/>
    </row>
    <row r="210" spans="4:4" x14ac:dyDescent="0.2">
      <c r="D210" s="86"/>
    </row>
    <row r="211" spans="4:4" x14ac:dyDescent="0.2">
      <c r="D211" s="86"/>
    </row>
    <row r="212" spans="4:4" x14ac:dyDescent="0.2">
      <c r="D212" s="86"/>
    </row>
    <row r="213" spans="4:4" x14ac:dyDescent="0.2">
      <c r="D213" s="86"/>
    </row>
    <row r="214" spans="4:4" x14ac:dyDescent="0.2">
      <c r="D214" s="86"/>
    </row>
    <row r="215" spans="4:4" x14ac:dyDescent="0.2">
      <c r="D215" s="86"/>
    </row>
    <row r="216" spans="4:4" x14ac:dyDescent="0.2">
      <c r="D216" s="86"/>
    </row>
    <row r="217" spans="4:4" x14ac:dyDescent="0.2">
      <c r="D217" s="86"/>
    </row>
    <row r="218" spans="4:4" x14ac:dyDescent="0.2">
      <c r="D218" s="86"/>
    </row>
    <row r="219" spans="4:4" x14ac:dyDescent="0.2">
      <c r="D219" s="86"/>
    </row>
    <row r="220" spans="4:4" x14ac:dyDescent="0.2">
      <c r="D220" s="86"/>
    </row>
    <row r="221" spans="4:4" x14ac:dyDescent="0.2">
      <c r="D221" s="86"/>
    </row>
    <row r="222" spans="4:4" x14ac:dyDescent="0.2">
      <c r="D222" s="86"/>
    </row>
    <row r="223" spans="4:4" x14ac:dyDescent="0.2">
      <c r="D223" s="86"/>
    </row>
    <row r="224" spans="4:4" x14ac:dyDescent="0.2">
      <c r="D224" s="86"/>
    </row>
    <row r="225" spans="4:4" x14ac:dyDescent="0.2">
      <c r="D225" s="86"/>
    </row>
    <row r="226" spans="4:4" x14ac:dyDescent="0.2">
      <c r="D226" s="86"/>
    </row>
    <row r="227" spans="4:4" x14ac:dyDescent="0.2">
      <c r="D227" s="86"/>
    </row>
    <row r="228" spans="4:4" x14ac:dyDescent="0.2">
      <c r="D228" s="86"/>
    </row>
    <row r="229" spans="4:4" x14ac:dyDescent="0.2">
      <c r="D229" s="86"/>
    </row>
    <row r="230" spans="4:4" x14ac:dyDescent="0.2">
      <c r="D230" s="86"/>
    </row>
    <row r="231" spans="4:4" x14ac:dyDescent="0.2">
      <c r="D231" s="86"/>
    </row>
    <row r="232" spans="4:4" x14ac:dyDescent="0.2">
      <c r="D232" s="86"/>
    </row>
    <row r="233" spans="4:4" x14ac:dyDescent="0.2">
      <c r="D233" s="86"/>
    </row>
    <row r="234" spans="4:4" x14ac:dyDescent="0.2">
      <c r="D234" s="86"/>
    </row>
    <row r="235" spans="4:4" x14ac:dyDescent="0.2">
      <c r="D235" s="86"/>
    </row>
    <row r="236" spans="4:4" x14ac:dyDescent="0.2">
      <c r="D236" s="86"/>
    </row>
    <row r="237" spans="4:4" x14ac:dyDescent="0.2">
      <c r="D237" s="86"/>
    </row>
    <row r="238" spans="4:4" x14ac:dyDescent="0.2">
      <c r="D238" s="86"/>
    </row>
    <row r="239" spans="4:4" x14ac:dyDescent="0.2">
      <c r="D239" s="86"/>
    </row>
    <row r="240" spans="4:4" x14ac:dyDescent="0.2">
      <c r="D240" s="86"/>
    </row>
    <row r="241" spans="4:4" x14ac:dyDescent="0.2">
      <c r="D241" s="86"/>
    </row>
    <row r="242" spans="4:4" x14ac:dyDescent="0.2">
      <c r="D242" s="86"/>
    </row>
    <row r="243" spans="4:4" x14ac:dyDescent="0.2">
      <c r="D243" s="86"/>
    </row>
    <row r="244" spans="4:4" x14ac:dyDescent="0.2">
      <c r="D244" s="86"/>
    </row>
    <row r="245" spans="4:4" x14ac:dyDescent="0.2">
      <c r="D245" s="86"/>
    </row>
    <row r="246" spans="4:4" x14ac:dyDescent="0.2">
      <c r="D246" s="86"/>
    </row>
    <row r="247" spans="4:4" x14ac:dyDescent="0.2">
      <c r="D247" s="86"/>
    </row>
    <row r="248" spans="4:4" x14ac:dyDescent="0.2">
      <c r="D248" s="86"/>
    </row>
    <row r="249" spans="4:4" x14ac:dyDescent="0.2">
      <c r="D249" s="86"/>
    </row>
    <row r="250" spans="4:4" x14ac:dyDescent="0.2">
      <c r="D250" s="86"/>
    </row>
    <row r="251" spans="4:4" x14ac:dyDescent="0.2">
      <c r="D251" s="86"/>
    </row>
    <row r="252" spans="4:4" x14ac:dyDescent="0.2">
      <c r="D252" s="86"/>
    </row>
    <row r="253" spans="4:4" x14ac:dyDescent="0.2">
      <c r="D253" s="86"/>
    </row>
    <row r="254" spans="4:4" x14ac:dyDescent="0.2">
      <c r="D254" s="86"/>
    </row>
    <row r="255" spans="4:4" x14ac:dyDescent="0.2">
      <c r="D255" s="86"/>
    </row>
    <row r="256" spans="4:4" x14ac:dyDescent="0.2">
      <c r="D256" s="86"/>
    </row>
    <row r="257" spans="4:4" x14ac:dyDescent="0.2">
      <c r="D257" s="86"/>
    </row>
    <row r="258" spans="4:4" x14ac:dyDescent="0.2">
      <c r="D258" s="86"/>
    </row>
    <row r="259" spans="4:4" x14ac:dyDescent="0.2">
      <c r="D259" s="86"/>
    </row>
    <row r="260" spans="4:4" x14ac:dyDescent="0.2">
      <c r="D260" s="86"/>
    </row>
    <row r="261" spans="4:4" x14ac:dyDescent="0.2">
      <c r="D261" s="86"/>
    </row>
    <row r="262" spans="4:4" x14ac:dyDescent="0.2">
      <c r="D262" s="86"/>
    </row>
    <row r="263" spans="4:4" x14ac:dyDescent="0.2">
      <c r="D263" s="86"/>
    </row>
    <row r="264" spans="4:4" x14ac:dyDescent="0.2">
      <c r="D264" s="86"/>
    </row>
    <row r="265" spans="4:4" x14ac:dyDescent="0.2">
      <c r="D265" s="86"/>
    </row>
    <row r="266" spans="4:4" x14ac:dyDescent="0.2">
      <c r="D266" s="86"/>
    </row>
    <row r="267" spans="4:4" x14ac:dyDescent="0.2">
      <c r="D267" s="86"/>
    </row>
    <row r="268" spans="4:4" x14ac:dyDescent="0.2">
      <c r="D268" s="86"/>
    </row>
    <row r="269" spans="4:4" x14ac:dyDescent="0.2">
      <c r="D269" s="86"/>
    </row>
    <row r="270" spans="4:4" x14ac:dyDescent="0.2">
      <c r="D270" s="86"/>
    </row>
    <row r="271" spans="4:4" x14ac:dyDescent="0.2">
      <c r="D271" s="86"/>
    </row>
    <row r="272" spans="4:4" x14ac:dyDescent="0.2">
      <c r="D272" s="86"/>
    </row>
    <row r="273" spans="4:4" x14ac:dyDescent="0.2">
      <c r="D273" s="86"/>
    </row>
    <row r="274" spans="4:4" x14ac:dyDescent="0.2">
      <c r="D274" s="86"/>
    </row>
    <row r="275" spans="4:4" x14ac:dyDescent="0.2">
      <c r="D275" s="86"/>
    </row>
    <row r="276" spans="4:4" x14ac:dyDescent="0.2">
      <c r="D276" s="86"/>
    </row>
    <row r="277" spans="4:4" x14ac:dyDescent="0.2">
      <c r="D277" s="86"/>
    </row>
    <row r="278" spans="4:4" x14ac:dyDescent="0.2">
      <c r="D278" s="86"/>
    </row>
    <row r="279" spans="4:4" x14ac:dyDescent="0.2">
      <c r="D279" s="86"/>
    </row>
    <row r="280" spans="4:4" x14ac:dyDescent="0.2">
      <c r="D280" s="86"/>
    </row>
    <row r="281" spans="4:4" x14ac:dyDescent="0.2">
      <c r="D281" s="86"/>
    </row>
    <row r="282" spans="4:4" x14ac:dyDescent="0.2">
      <c r="D282" s="86"/>
    </row>
    <row r="283" spans="4:4" x14ac:dyDescent="0.2">
      <c r="D283" s="86"/>
    </row>
    <row r="284" spans="4:4" x14ac:dyDescent="0.2">
      <c r="D284" s="86"/>
    </row>
    <row r="285" spans="4:4" x14ac:dyDescent="0.2">
      <c r="D285" s="86"/>
    </row>
    <row r="286" spans="4:4" x14ac:dyDescent="0.2">
      <c r="D286" s="86"/>
    </row>
    <row r="287" spans="4:4" x14ac:dyDescent="0.2">
      <c r="D287" s="86"/>
    </row>
    <row r="288" spans="4:4" x14ac:dyDescent="0.2">
      <c r="D288" s="86"/>
    </row>
    <row r="289" spans="4:4" x14ac:dyDescent="0.2">
      <c r="D289" s="86"/>
    </row>
    <row r="290" spans="4:4" x14ac:dyDescent="0.2">
      <c r="D290" s="86"/>
    </row>
    <row r="291" spans="4:4" x14ac:dyDescent="0.2">
      <c r="D291" s="86"/>
    </row>
    <row r="292" spans="4:4" x14ac:dyDescent="0.2">
      <c r="D292" s="86"/>
    </row>
    <row r="293" spans="4:4" x14ac:dyDescent="0.2">
      <c r="D293" s="86"/>
    </row>
    <row r="294" spans="4:4" x14ac:dyDescent="0.2">
      <c r="D294" s="86"/>
    </row>
    <row r="295" spans="4:4" x14ac:dyDescent="0.2">
      <c r="D295" s="86"/>
    </row>
    <row r="296" spans="4:4" x14ac:dyDescent="0.2">
      <c r="D296" s="86"/>
    </row>
    <row r="297" spans="4:4" x14ac:dyDescent="0.2">
      <c r="D297" s="86"/>
    </row>
    <row r="298" spans="4:4" x14ac:dyDescent="0.2">
      <c r="D298" s="86"/>
    </row>
    <row r="299" spans="4:4" x14ac:dyDescent="0.2">
      <c r="D299" s="86"/>
    </row>
    <row r="300" spans="4:4" x14ac:dyDescent="0.2">
      <c r="D300" s="86"/>
    </row>
    <row r="301" spans="4:4" x14ac:dyDescent="0.2">
      <c r="D301" s="86"/>
    </row>
    <row r="302" spans="4:4" x14ac:dyDescent="0.2">
      <c r="D302" s="86"/>
    </row>
    <row r="303" spans="4:4" x14ac:dyDescent="0.2">
      <c r="D303" s="86"/>
    </row>
    <row r="304" spans="4:4" x14ac:dyDescent="0.2">
      <c r="D304" s="86"/>
    </row>
    <row r="305" spans="4:4" x14ac:dyDescent="0.2">
      <c r="D305" s="86"/>
    </row>
    <row r="306" spans="4:4" x14ac:dyDescent="0.2">
      <c r="D306" s="86"/>
    </row>
    <row r="307" spans="4:4" x14ac:dyDescent="0.2">
      <c r="D307" s="86"/>
    </row>
    <row r="308" spans="4:4" x14ac:dyDescent="0.2">
      <c r="D308" s="86"/>
    </row>
    <row r="309" spans="4:4" x14ac:dyDescent="0.2">
      <c r="D309" s="86"/>
    </row>
    <row r="310" spans="4:4" x14ac:dyDescent="0.2">
      <c r="D310" s="86"/>
    </row>
    <row r="311" spans="4:4" x14ac:dyDescent="0.2">
      <c r="D311" s="86"/>
    </row>
    <row r="312" spans="4:4" x14ac:dyDescent="0.2">
      <c r="D312" s="8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85266-060C-49D0-88FA-2A8972A72698}">
  <dimension ref="A1:F312"/>
  <sheetViews>
    <sheetView workbookViewId="0">
      <selection activeCell="B8" sqref="B8"/>
    </sheetView>
  </sheetViews>
  <sheetFormatPr defaultRowHeight="12.75" x14ac:dyDescent="0.2"/>
  <cols>
    <col min="1" max="1" width="9.7109375" style="85" bestFit="1" customWidth="1"/>
    <col min="2" max="2" width="69" style="85" bestFit="1" customWidth="1"/>
    <col min="3" max="3" width="69" style="85" customWidth="1"/>
    <col min="4" max="4" width="14" style="85" customWidth="1"/>
    <col min="5" max="5" width="44.7109375" style="85" bestFit="1" customWidth="1"/>
    <col min="6" max="6" width="17.85546875" style="85" bestFit="1" customWidth="1"/>
    <col min="7" max="16384" width="9.140625" style="85"/>
  </cols>
  <sheetData>
    <row r="1" spans="1:6" ht="15.75" x14ac:dyDescent="0.2">
      <c r="A1" s="83" t="s">
        <v>1</v>
      </c>
      <c r="B1" s="83" t="s">
        <v>202</v>
      </c>
      <c r="C1" s="83" t="s">
        <v>2750</v>
      </c>
      <c r="D1" s="83" t="s">
        <v>103</v>
      </c>
      <c r="E1" s="83" t="s">
        <v>2744</v>
      </c>
      <c r="F1" s="83" t="s">
        <v>2752</v>
      </c>
    </row>
    <row r="2" spans="1:6" x14ac:dyDescent="0.2">
      <c r="A2" s="93">
        <v>46028</v>
      </c>
      <c r="B2" s="87" t="s">
        <v>2784</v>
      </c>
      <c r="C2" s="87"/>
      <c r="D2" s="88">
        <v>252000</v>
      </c>
      <c r="E2" s="87"/>
      <c r="F2" s="87"/>
    </row>
    <row r="3" spans="1:6" x14ac:dyDescent="0.2">
      <c r="B3" s="87" t="s">
        <v>2785</v>
      </c>
      <c r="D3" s="88">
        <v>14000</v>
      </c>
    </row>
    <row r="4" spans="1:6" x14ac:dyDescent="0.2">
      <c r="B4" s="87" t="s">
        <v>2786</v>
      </c>
      <c r="D4" s="88">
        <v>49000</v>
      </c>
    </row>
    <row r="5" spans="1:6" x14ac:dyDescent="0.2">
      <c r="B5" s="87" t="s">
        <v>2787</v>
      </c>
      <c r="D5" s="88">
        <v>7000</v>
      </c>
    </row>
    <row r="6" spans="1:6" x14ac:dyDescent="0.2">
      <c r="D6" s="88"/>
    </row>
    <row r="7" spans="1:6" x14ac:dyDescent="0.2">
      <c r="D7" s="88"/>
    </row>
    <row r="8" spans="1:6" x14ac:dyDescent="0.2">
      <c r="D8" s="88"/>
    </row>
    <row r="9" spans="1:6" x14ac:dyDescent="0.2">
      <c r="D9" s="88"/>
    </row>
    <row r="10" spans="1:6" x14ac:dyDescent="0.2">
      <c r="D10" s="88"/>
    </row>
    <row r="11" spans="1:6" x14ac:dyDescent="0.2">
      <c r="D11" s="88"/>
    </row>
    <row r="12" spans="1:6" x14ac:dyDescent="0.2">
      <c r="D12" s="88"/>
    </row>
    <row r="13" spans="1:6" x14ac:dyDescent="0.2">
      <c r="D13" s="88"/>
    </row>
    <row r="14" spans="1:6" x14ac:dyDescent="0.2">
      <c r="D14" s="88"/>
    </row>
    <row r="15" spans="1:6" x14ac:dyDescent="0.2">
      <c r="D15" s="88"/>
    </row>
    <row r="16" spans="1:6" x14ac:dyDescent="0.2">
      <c r="D16" s="88"/>
    </row>
    <row r="17" spans="4:4" x14ac:dyDescent="0.2">
      <c r="D17" s="88"/>
    </row>
    <row r="18" spans="4:4" x14ac:dyDescent="0.2">
      <c r="D18" s="88"/>
    </row>
    <row r="19" spans="4:4" x14ac:dyDescent="0.2">
      <c r="D19" s="88"/>
    </row>
    <row r="20" spans="4:4" x14ac:dyDescent="0.2">
      <c r="D20" s="88"/>
    </row>
    <row r="21" spans="4:4" x14ac:dyDescent="0.2">
      <c r="D21" s="88"/>
    </row>
    <row r="22" spans="4:4" x14ac:dyDescent="0.2">
      <c r="D22" s="88"/>
    </row>
    <row r="23" spans="4:4" x14ac:dyDescent="0.2">
      <c r="D23" s="88"/>
    </row>
    <row r="24" spans="4:4" x14ac:dyDescent="0.2">
      <c r="D24" s="88"/>
    </row>
    <row r="25" spans="4:4" x14ac:dyDescent="0.2">
      <c r="D25" s="88"/>
    </row>
    <row r="26" spans="4:4" x14ac:dyDescent="0.2">
      <c r="D26" s="88"/>
    </row>
    <row r="27" spans="4:4" x14ac:dyDescent="0.2">
      <c r="D27" s="88"/>
    </row>
    <row r="28" spans="4:4" x14ac:dyDescent="0.2">
      <c r="D28" s="88"/>
    </row>
    <row r="29" spans="4:4" x14ac:dyDescent="0.2">
      <c r="D29" s="88"/>
    </row>
    <row r="30" spans="4:4" x14ac:dyDescent="0.2">
      <c r="D30" s="88"/>
    </row>
    <row r="31" spans="4:4" x14ac:dyDescent="0.2">
      <c r="D31" s="88"/>
    </row>
    <row r="32" spans="4:4" x14ac:dyDescent="0.2">
      <c r="D32" s="88"/>
    </row>
    <row r="33" spans="4:4" x14ac:dyDescent="0.2">
      <c r="D33" s="88"/>
    </row>
    <row r="34" spans="4:4" x14ac:dyDescent="0.2">
      <c r="D34" s="88"/>
    </row>
    <row r="35" spans="4:4" x14ac:dyDescent="0.2">
      <c r="D35" s="88"/>
    </row>
    <row r="36" spans="4:4" x14ac:dyDescent="0.2">
      <c r="D36" s="88"/>
    </row>
    <row r="37" spans="4:4" x14ac:dyDescent="0.2">
      <c r="D37" s="88"/>
    </row>
    <row r="38" spans="4:4" x14ac:dyDescent="0.2">
      <c r="D38" s="86"/>
    </row>
    <row r="39" spans="4:4" x14ac:dyDescent="0.2">
      <c r="D39" s="86"/>
    </row>
    <row r="40" spans="4:4" x14ac:dyDescent="0.2">
      <c r="D40" s="86"/>
    </row>
    <row r="41" spans="4:4" x14ac:dyDescent="0.2">
      <c r="D41" s="86"/>
    </row>
    <row r="42" spans="4:4" x14ac:dyDescent="0.2">
      <c r="D42" s="86"/>
    </row>
    <row r="43" spans="4:4" x14ac:dyDescent="0.2">
      <c r="D43" s="86"/>
    </row>
    <row r="44" spans="4:4" x14ac:dyDescent="0.2">
      <c r="D44" s="86"/>
    </row>
    <row r="45" spans="4:4" x14ac:dyDescent="0.2">
      <c r="D45" s="86"/>
    </row>
    <row r="46" spans="4:4" x14ac:dyDescent="0.2">
      <c r="D46" s="86"/>
    </row>
    <row r="47" spans="4:4" x14ac:dyDescent="0.2">
      <c r="D47" s="86"/>
    </row>
    <row r="48" spans="4:4" x14ac:dyDescent="0.2">
      <c r="D48" s="86"/>
    </row>
    <row r="49" spans="4:4" x14ac:dyDescent="0.2">
      <c r="D49" s="86"/>
    </row>
    <row r="50" spans="4:4" x14ac:dyDescent="0.2">
      <c r="D50" s="86"/>
    </row>
    <row r="51" spans="4:4" x14ac:dyDescent="0.2">
      <c r="D51" s="86"/>
    </row>
    <row r="52" spans="4:4" x14ac:dyDescent="0.2">
      <c r="D52" s="86"/>
    </row>
    <row r="53" spans="4:4" x14ac:dyDescent="0.2">
      <c r="D53" s="86"/>
    </row>
    <row r="54" spans="4:4" x14ac:dyDescent="0.2">
      <c r="D54" s="86"/>
    </row>
    <row r="55" spans="4:4" x14ac:dyDescent="0.2">
      <c r="D55" s="86"/>
    </row>
    <row r="56" spans="4:4" x14ac:dyDescent="0.2">
      <c r="D56" s="86"/>
    </row>
    <row r="57" spans="4:4" x14ac:dyDescent="0.2">
      <c r="D57" s="86"/>
    </row>
    <row r="58" spans="4:4" x14ac:dyDescent="0.2">
      <c r="D58" s="86"/>
    </row>
    <row r="59" spans="4:4" x14ac:dyDescent="0.2">
      <c r="D59" s="86"/>
    </row>
    <row r="60" spans="4:4" x14ac:dyDescent="0.2">
      <c r="D60" s="86"/>
    </row>
    <row r="61" spans="4:4" x14ac:dyDescent="0.2">
      <c r="D61" s="86"/>
    </row>
    <row r="62" spans="4:4" x14ac:dyDescent="0.2">
      <c r="D62" s="86"/>
    </row>
    <row r="63" spans="4:4" x14ac:dyDescent="0.2">
      <c r="D63" s="86"/>
    </row>
    <row r="64" spans="4:4" x14ac:dyDescent="0.2">
      <c r="D64" s="86"/>
    </row>
    <row r="65" spans="4:4" x14ac:dyDescent="0.2">
      <c r="D65" s="86"/>
    </row>
    <row r="66" spans="4:4" x14ac:dyDescent="0.2">
      <c r="D66" s="86"/>
    </row>
    <row r="67" spans="4:4" x14ac:dyDescent="0.2">
      <c r="D67" s="86"/>
    </row>
    <row r="68" spans="4:4" x14ac:dyDescent="0.2">
      <c r="D68" s="86"/>
    </row>
    <row r="69" spans="4:4" x14ac:dyDescent="0.2">
      <c r="D69" s="86"/>
    </row>
    <row r="70" spans="4:4" x14ac:dyDescent="0.2">
      <c r="D70" s="86"/>
    </row>
    <row r="71" spans="4:4" x14ac:dyDescent="0.2">
      <c r="D71" s="86"/>
    </row>
    <row r="72" spans="4:4" x14ac:dyDescent="0.2">
      <c r="D72" s="86"/>
    </row>
    <row r="73" spans="4:4" x14ac:dyDescent="0.2">
      <c r="D73" s="86"/>
    </row>
    <row r="74" spans="4:4" x14ac:dyDescent="0.2">
      <c r="D74" s="86"/>
    </row>
    <row r="75" spans="4:4" x14ac:dyDescent="0.2">
      <c r="D75" s="86"/>
    </row>
    <row r="76" spans="4:4" x14ac:dyDescent="0.2">
      <c r="D76" s="86"/>
    </row>
    <row r="77" spans="4:4" x14ac:dyDescent="0.2">
      <c r="D77" s="86"/>
    </row>
    <row r="78" spans="4:4" x14ac:dyDescent="0.2">
      <c r="D78" s="86"/>
    </row>
    <row r="79" spans="4:4" x14ac:dyDescent="0.2">
      <c r="D79" s="86"/>
    </row>
    <row r="80" spans="4:4" x14ac:dyDescent="0.2">
      <c r="D80" s="86"/>
    </row>
    <row r="81" spans="4:4" x14ac:dyDescent="0.2">
      <c r="D81" s="86"/>
    </row>
    <row r="82" spans="4:4" x14ac:dyDescent="0.2">
      <c r="D82" s="86"/>
    </row>
    <row r="83" spans="4:4" x14ac:dyDescent="0.2">
      <c r="D83" s="86"/>
    </row>
    <row r="84" spans="4:4" x14ac:dyDescent="0.2">
      <c r="D84" s="86"/>
    </row>
    <row r="85" spans="4:4" x14ac:dyDescent="0.2">
      <c r="D85" s="86"/>
    </row>
    <row r="86" spans="4:4" x14ac:dyDescent="0.2">
      <c r="D86" s="86"/>
    </row>
    <row r="87" spans="4:4" x14ac:dyDescent="0.2">
      <c r="D87" s="86"/>
    </row>
    <row r="88" spans="4:4" x14ac:dyDescent="0.2">
      <c r="D88" s="86"/>
    </row>
    <row r="89" spans="4:4" x14ac:dyDescent="0.2">
      <c r="D89" s="86"/>
    </row>
    <row r="90" spans="4:4" x14ac:dyDescent="0.2">
      <c r="D90" s="86"/>
    </row>
    <row r="91" spans="4:4" x14ac:dyDescent="0.2">
      <c r="D91" s="86"/>
    </row>
    <row r="92" spans="4:4" x14ac:dyDescent="0.2">
      <c r="D92" s="86"/>
    </row>
    <row r="93" spans="4:4" x14ac:dyDescent="0.2">
      <c r="D93" s="86"/>
    </row>
    <row r="94" spans="4:4" x14ac:dyDescent="0.2">
      <c r="D94" s="86"/>
    </row>
    <row r="95" spans="4:4" x14ac:dyDescent="0.2">
      <c r="D95" s="86"/>
    </row>
    <row r="96" spans="4:4" x14ac:dyDescent="0.2">
      <c r="D96" s="86"/>
    </row>
    <row r="97" spans="4:4" x14ac:dyDescent="0.2">
      <c r="D97" s="86"/>
    </row>
    <row r="98" spans="4:4" x14ac:dyDescent="0.2">
      <c r="D98" s="86"/>
    </row>
    <row r="99" spans="4:4" x14ac:dyDescent="0.2">
      <c r="D99" s="86"/>
    </row>
    <row r="100" spans="4:4" x14ac:dyDescent="0.2">
      <c r="D100" s="86"/>
    </row>
    <row r="101" spans="4:4" x14ac:dyDescent="0.2">
      <c r="D101" s="86"/>
    </row>
    <row r="102" spans="4:4" x14ac:dyDescent="0.2">
      <c r="D102" s="86"/>
    </row>
    <row r="103" spans="4:4" x14ac:dyDescent="0.2">
      <c r="D103" s="86"/>
    </row>
    <row r="104" spans="4:4" x14ac:dyDescent="0.2">
      <c r="D104" s="86"/>
    </row>
    <row r="105" spans="4:4" x14ac:dyDescent="0.2">
      <c r="D105" s="86"/>
    </row>
    <row r="106" spans="4:4" x14ac:dyDescent="0.2">
      <c r="D106" s="86"/>
    </row>
    <row r="107" spans="4:4" x14ac:dyDescent="0.2">
      <c r="D107" s="86"/>
    </row>
    <row r="108" spans="4:4" x14ac:dyDescent="0.2">
      <c r="D108" s="86"/>
    </row>
    <row r="109" spans="4:4" x14ac:dyDescent="0.2">
      <c r="D109" s="86"/>
    </row>
    <row r="110" spans="4:4" x14ac:dyDescent="0.2">
      <c r="D110" s="86"/>
    </row>
    <row r="111" spans="4:4" x14ac:dyDescent="0.2">
      <c r="D111" s="86"/>
    </row>
    <row r="112" spans="4:4" x14ac:dyDescent="0.2">
      <c r="D112" s="86"/>
    </row>
    <row r="113" spans="4:4" x14ac:dyDescent="0.2">
      <c r="D113" s="86"/>
    </row>
    <row r="114" spans="4:4" x14ac:dyDescent="0.2">
      <c r="D114" s="86"/>
    </row>
    <row r="115" spans="4:4" x14ac:dyDescent="0.2">
      <c r="D115" s="86"/>
    </row>
    <row r="116" spans="4:4" x14ac:dyDescent="0.2">
      <c r="D116" s="86"/>
    </row>
    <row r="117" spans="4:4" x14ac:dyDescent="0.2">
      <c r="D117" s="86"/>
    </row>
    <row r="118" spans="4:4" x14ac:dyDescent="0.2">
      <c r="D118" s="86"/>
    </row>
    <row r="119" spans="4:4" x14ac:dyDescent="0.2">
      <c r="D119" s="86"/>
    </row>
    <row r="120" spans="4:4" x14ac:dyDescent="0.2">
      <c r="D120" s="86"/>
    </row>
    <row r="121" spans="4:4" x14ac:dyDescent="0.2">
      <c r="D121" s="86"/>
    </row>
    <row r="122" spans="4:4" x14ac:dyDescent="0.2">
      <c r="D122" s="86"/>
    </row>
    <row r="123" spans="4:4" x14ac:dyDescent="0.2">
      <c r="D123" s="86"/>
    </row>
    <row r="124" spans="4:4" x14ac:dyDescent="0.2">
      <c r="D124" s="86"/>
    </row>
    <row r="125" spans="4:4" x14ac:dyDescent="0.2">
      <c r="D125" s="86"/>
    </row>
    <row r="126" spans="4:4" x14ac:dyDescent="0.2">
      <c r="D126" s="86"/>
    </row>
    <row r="127" spans="4:4" x14ac:dyDescent="0.2">
      <c r="D127" s="86"/>
    </row>
    <row r="128" spans="4:4" x14ac:dyDescent="0.2">
      <c r="D128" s="86"/>
    </row>
    <row r="129" spans="4:4" x14ac:dyDescent="0.2">
      <c r="D129" s="86"/>
    </row>
    <row r="130" spans="4:4" x14ac:dyDescent="0.2">
      <c r="D130" s="86"/>
    </row>
    <row r="131" spans="4:4" x14ac:dyDescent="0.2">
      <c r="D131" s="86"/>
    </row>
    <row r="132" spans="4:4" x14ac:dyDescent="0.2">
      <c r="D132" s="86"/>
    </row>
    <row r="133" spans="4:4" x14ac:dyDescent="0.2">
      <c r="D133" s="86"/>
    </row>
    <row r="134" spans="4:4" x14ac:dyDescent="0.2">
      <c r="D134" s="86"/>
    </row>
    <row r="135" spans="4:4" x14ac:dyDescent="0.2">
      <c r="D135" s="86"/>
    </row>
    <row r="136" spans="4:4" x14ac:dyDescent="0.2">
      <c r="D136" s="86"/>
    </row>
    <row r="137" spans="4:4" x14ac:dyDescent="0.2">
      <c r="D137" s="86"/>
    </row>
    <row r="138" spans="4:4" x14ac:dyDescent="0.2">
      <c r="D138" s="86"/>
    </row>
    <row r="139" spans="4:4" x14ac:dyDescent="0.2">
      <c r="D139" s="86"/>
    </row>
    <row r="140" spans="4:4" x14ac:dyDescent="0.2">
      <c r="D140" s="86"/>
    </row>
    <row r="141" spans="4:4" x14ac:dyDescent="0.2">
      <c r="D141" s="86"/>
    </row>
    <row r="142" spans="4:4" x14ac:dyDescent="0.2">
      <c r="D142" s="86"/>
    </row>
    <row r="143" spans="4:4" x14ac:dyDescent="0.2">
      <c r="D143" s="86"/>
    </row>
    <row r="144" spans="4:4" x14ac:dyDescent="0.2">
      <c r="D144" s="86"/>
    </row>
    <row r="145" spans="4:4" x14ac:dyDescent="0.2">
      <c r="D145" s="86"/>
    </row>
    <row r="146" spans="4:4" x14ac:dyDescent="0.2">
      <c r="D146" s="86"/>
    </row>
    <row r="147" spans="4:4" x14ac:dyDescent="0.2">
      <c r="D147" s="86"/>
    </row>
    <row r="148" spans="4:4" x14ac:dyDescent="0.2">
      <c r="D148" s="86"/>
    </row>
    <row r="149" spans="4:4" x14ac:dyDescent="0.2">
      <c r="D149" s="86"/>
    </row>
    <row r="150" spans="4:4" x14ac:dyDescent="0.2">
      <c r="D150" s="86"/>
    </row>
    <row r="151" spans="4:4" x14ac:dyDescent="0.2">
      <c r="D151" s="86"/>
    </row>
    <row r="152" spans="4:4" x14ac:dyDescent="0.2">
      <c r="D152" s="86"/>
    </row>
    <row r="153" spans="4:4" x14ac:dyDescent="0.2">
      <c r="D153" s="86"/>
    </row>
    <row r="154" spans="4:4" x14ac:dyDescent="0.2">
      <c r="D154" s="86"/>
    </row>
    <row r="155" spans="4:4" x14ac:dyDescent="0.2">
      <c r="D155" s="86"/>
    </row>
    <row r="156" spans="4:4" x14ac:dyDescent="0.2">
      <c r="D156" s="86"/>
    </row>
    <row r="157" spans="4:4" x14ac:dyDescent="0.2">
      <c r="D157" s="86"/>
    </row>
    <row r="158" spans="4:4" x14ac:dyDescent="0.2">
      <c r="D158" s="86"/>
    </row>
    <row r="159" spans="4:4" x14ac:dyDescent="0.2">
      <c r="D159" s="86"/>
    </row>
    <row r="160" spans="4:4" x14ac:dyDescent="0.2">
      <c r="D160" s="86"/>
    </row>
    <row r="161" spans="4:4" x14ac:dyDescent="0.2">
      <c r="D161" s="86"/>
    </row>
    <row r="162" spans="4:4" x14ac:dyDescent="0.2">
      <c r="D162" s="86"/>
    </row>
    <row r="163" spans="4:4" x14ac:dyDescent="0.2">
      <c r="D163" s="86"/>
    </row>
    <row r="164" spans="4:4" x14ac:dyDescent="0.2">
      <c r="D164" s="86"/>
    </row>
    <row r="165" spans="4:4" x14ac:dyDescent="0.2">
      <c r="D165" s="86"/>
    </row>
    <row r="166" spans="4:4" x14ac:dyDescent="0.2">
      <c r="D166" s="86"/>
    </row>
    <row r="167" spans="4:4" x14ac:dyDescent="0.2">
      <c r="D167" s="86"/>
    </row>
    <row r="168" spans="4:4" x14ac:dyDescent="0.2">
      <c r="D168" s="86"/>
    </row>
    <row r="169" spans="4:4" x14ac:dyDescent="0.2">
      <c r="D169" s="86"/>
    </row>
    <row r="170" spans="4:4" x14ac:dyDescent="0.2">
      <c r="D170" s="86"/>
    </row>
    <row r="171" spans="4:4" x14ac:dyDescent="0.2">
      <c r="D171" s="86"/>
    </row>
    <row r="172" spans="4:4" x14ac:dyDescent="0.2">
      <c r="D172" s="86"/>
    </row>
    <row r="173" spans="4:4" x14ac:dyDescent="0.2">
      <c r="D173" s="86"/>
    </row>
    <row r="174" spans="4:4" x14ac:dyDescent="0.2">
      <c r="D174" s="86"/>
    </row>
    <row r="175" spans="4:4" x14ac:dyDescent="0.2">
      <c r="D175" s="86"/>
    </row>
    <row r="176" spans="4:4" x14ac:dyDescent="0.2">
      <c r="D176" s="86"/>
    </row>
    <row r="177" spans="4:4" x14ac:dyDescent="0.2">
      <c r="D177" s="86"/>
    </row>
    <row r="178" spans="4:4" x14ac:dyDescent="0.2">
      <c r="D178" s="86"/>
    </row>
    <row r="179" spans="4:4" x14ac:dyDescent="0.2">
      <c r="D179" s="86"/>
    </row>
    <row r="180" spans="4:4" x14ac:dyDescent="0.2">
      <c r="D180" s="86"/>
    </row>
    <row r="181" spans="4:4" x14ac:dyDescent="0.2">
      <c r="D181" s="86"/>
    </row>
    <row r="182" spans="4:4" x14ac:dyDescent="0.2">
      <c r="D182" s="86"/>
    </row>
    <row r="183" spans="4:4" x14ac:dyDescent="0.2">
      <c r="D183" s="86"/>
    </row>
    <row r="184" spans="4:4" x14ac:dyDescent="0.2">
      <c r="D184" s="86"/>
    </row>
    <row r="185" spans="4:4" x14ac:dyDescent="0.2">
      <c r="D185" s="86"/>
    </row>
    <row r="186" spans="4:4" x14ac:dyDescent="0.2">
      <c r="D186" s="86"/>
    </row>
    <row r="187" spans="4:4" x14ac:dyDescent="0.2">
      <c r="D187" s="86"/>
    </row>
    <row r="188" spans="4:4" x14ac:dyDescent="0.2">
      <c r="D188" s="86"/>
    </row>
    <row r="189" spans="4:4" x14ac:dyDescent="0.2">
      <c r="D189" s="86"/>
    </row>
    <row r="190" spans="4:4" x14ac:dyDescent="0.2">
      <c r="D190" s="86"/>
    </row>
    <row r="191" spans="4:4" x14ac:dyDescent="0.2">
      <c r="D191" s="86"/>
    </row>
    <row r="192" spans="4:4" x14ac:dyDescent="0.2">
      <c r="D192" s="86"/>
    </row>
    <row r="193" spans="4:4" x14ac:dyDescent="0.2">
      <c r="D193" s="86"/>
    </row>
    <row r="194" spans="4:4" x14ac:dyDescent="0.2">
      <c r="D194" s="86"/>
    </row>
    <row r="195" spans="4:4" x14ac:dyDescent="0.2">
      <c r="D195" s="86"/>
    </row>
    <row r="196" spans="4:4" x14ac:dyDescent="0.2">
      <c r="D196" s="86"/>
    </row>
    <row r="197" spans="4:4" x14ac:dyDescent="0.2">
      <c r="D197" s="86"/>
    </row>
    <row r="198" spans="4:4" x14ac:dyDescent="0.2">
      <c r="D198" s="86"/>
    </row>
    <row r="199" spans="4:4" x14ac:dyDescent="0.2">
      <c r="D199" s="86"/>
    </row>
    <row r="200" spans="4:4" x14ac:dyDescent="0.2">
      <c r="D200" s="86"/>
    </row>
    <row r="201" spans="4:4" x14ac:dyDescent="0.2">
      <c r="D201" s="86"/>
    </row>
    <row r="202" spans="4:4" x14ac:dyDescent="0.2">
      <c r="D202" s="86"/>
    </row>
    <row r="203" spans="4:4" x14ac:dyDescent="0.2">
      <c r="D203" s="86"/>
    </row>
    <row r="204" spans="4:4" x14ac:dyDescent="0.2">
      <c r="D204" s="86"/>
    </row>
    <row r="205" spans="4:4" x14ac:dyDescent="0.2">
      <c r="D205" s="86"/>
    </row>
    <row r="206" spans="4:4" x14ac:dyDescent="0.2">
      <c r="D206" s="86"/>
    </row>
    <row r="207" spans="4:4" x14ac:dyDescent="0.2">
      <c r="D207" s="86"/>
    </row>
    <row r="208" spans="4:4" x14ac:dyDescent="0.2">
      <c r="D208" s="86"/>
    </row>
    <row r="209" spans="4:4" x14ac:dyDescent="0.2">
      <c r="D209" s="86"/>
    </row>
    <row r="210" spans="4:4" x14ac:dyDescent="0.2">
      <c r="D210" s="86"/>
    </row>
    <row r="211" spans="4:4" x14ac:dyDescent="0.2">
      <c r="D211" s="86"/>
    </row>
    <row r="212" spans="4:4" x14ac:dyDescent="0.2">
      <c r="D212" s="86"/>
    </row>
    <row r="213" spans="4:4" x14ac:dyDescent="0.2">
      <c r="D213" s="86"/>
    </row>
    <row r="214" spans="4:4" x14ac:dyDescent="0.2">
      <c r="D214" s="86"/>
    </row>
    <row r="215" spans="4:4" x14ac:dyDescent="0.2">
      <c r="D215" s="86"/>
    </row>
    <row r="216" spans="4:4" x14ac:dyDescent="0.2">
      <c r="D216" s="86"/>
    </row>
    <row r="217" spans="4:4" x14ac:dyDescent="0.2">
      <c r="D217" s="86"/>
    </row>
    <row r="218" spans="4:4" x14ac:dyDescent="0.2">
      <c r="D218" s="86"/>
    </row>
    <row r="219" spans="4:4" x14ac:dyDescent="0.2">
      <c r="D219" s="86"/>
    </row>
    <row r="220" spans="4:4" x14ac:dyDescent="0.2">
      <c r="D220" s="86"/>
    </row>
    <row r="221" spans="4:4" x14ac:dyDescent="0.2">
      <c r="D221" s="86"/>
    </row>
    <row r="222" spans="4:4" x14ac:dyDescent="0.2">
      <c r="D222" s="86"/>
    </row>
    <row r="223" spans="4:4" x14ac:dyDescent="0.2">
      <c r="D223" s="86"/>
    </row>
    <row r="224" spans="4:4" x14ac:dyDescent="0.2">
      <c r="D224" s="86"/>
    </row>
    <row r="225" spans="4:4" x14ac:dyDescent="0.2">
      <c r="D225" s="86"/>
    </row>
    <row r="226" spans="4:4" x14ac:dyDescent="0.2">
      <c r="D226" s="86"/>
    </row>
    <row r="227" spans="4:4" x14ac:dyDescent="0.2">
      <c r="D227" s="86"/>
    </row>
    <row r="228" spans="4:4" x14ac:dyDescent="0.2">
      <c r="D228" s="86"/>
    </row>
    <row r="229" spans="4:4" x14ac:dyDescent="0.2">
      <c r="D229" s="86"/>
    </row>
    <row r="230" spans="4:4" x14ac:dyDescent="0.2">
      <c r="D230" s="86"/>
    </row>
    <row r="231" spans="4:4" x14ac:dyDescent="0.2">
      <c r="D231" s="86"/>
    </row>
    <row r="232" spans="4:4" x14ac:dyDescent="0.2">
      <c r="D232" s="86"/>
    </row>
    <row r="233" spans="4:4" x14ac:dyDescent="0.2">
      <c r="D233" s="86"/>
    </row>
    <row r="234" spans="4:4" x14ac:dyDescent="0.2">
      <c r="D234" s="86"/>
    </row>
    <row r="235" spans="4:4" x14ac:dyDescent="0.2">
      <c r="D235" s="86"/>
    </row>
    <row r="236" spans="4:4" x14ac:dyDescent="0.2">
      <c r="D236" s="86"/>
    </row>
    <row r="237" spans="4:4" x14ac:dyDescent="0.2">
      <c r="D237" s="86"/>
    </row>
    <row r="238" spans="4:4" x14ac:dyDescent="0.2">
      <c r="D238" s="86"/>
    </row>
    <row r="239" spans="4:4" x14ac:dyDescent="0.2">
      <c r="D239" s="86"/>
    </row>
    <row r="240" spans="4:4" x14ac:dyDescent="0.2">
      <c r="D240" s="86"/>
    </row>
    <row r="241" spans="4:4" x14ac:dyDescent="0.2">
      <c r="D241" s="86"/>
    </row>
    <row r="242" spans="4:4" x14ac:dyDescent="0.2">
      <c r="D242" s="86"/>
    </row>
    <row r="243" spans="4:4" x14ac:dyDescent="0.2">
      <c r="D243" s="86"/>
    </row>
    <row r="244" spans="4:4" x14ac:dyDescent="0.2">
      <c r="D244" s="86"/>
    </row>
    <row r="245" spans="4:4" x14ac:dyDescent="0.2">
      <c r="D245" s="86"/>
    </row>
    <row r="246" spans="4:4" x14ac:dyDescent="0.2">
      <c r="D246" s="86"/>
    </row>
    <row r="247" spans="4:4" x14ac:dyDescent="0.2">
      <c r="D247" s="86"/>
    </row>
    <row r="248" spans="4:4" x14ac:dyDescent="0.2">
      <c r="D248" s="86"/>
    </row>
    <row r="249" spans="4:4" x14ac:dyDescent="0.2">
      <c r="D249" s="86"/>
    </row>
    <row r="250" spans="4:4" x14ac:dyDescent="0.2">
      <c r="D250" s="86"/>
    </row>
    <row r="251" spans="4:4" x14ac:dyDescent="0.2">
      <c r="D251" s="86"/>
    </row>
    <row r="252" spans="4:4" x14ac:dyDescent="0.2">
      <c r="D252" s="86"/>
    </row>
    <row r="253" spans="4:4" x14ac:dyDescent="0.2">
      <c r="D253" s="86"/>
    </row>
    <row r="254" spans="4:4" x14ac:dyDescent="0.2">
      <c r="D254" s="86"/>
    </row>
    <row r="255" spans="4:4" x14ac:dyDescent="0.2">
      <c r="D255" s="86"/>
    </row>
    <row r="256" spans="4:4" x14ac:dyDescent="0.2">
      <c r="D256" s="86"/>
    </row>
    <row r="257" spans="4:4" x14ac:dyDescent="0.2">
      <c r="D257" s="86"/>
    </row>
    <row r="258" spans="4:4" x14ac:dyDescent="0.2">
      <c r="D258" s="86"/>
    </row>
    <row r="259" spans="4:4" x14ac:dyDescent="0.2">
      <c r="D259" s="86"/>
    </row>
    <row r="260" spans="4:4" x14ac:dyDescent="0.2">
      <c r="D260" s="86"/>
    </row>
    <row r="261" spans="4:4" x14ac:dyDescent="0.2">
      <c r="D261" s="86"/>
    </row>
    <row r="262" spans="4:4" x14ac:dyDescent="0.2">
      <c r="D262" s="86"/>
    </row>
    <row r="263" spans="4:4" x14ac:dyDescent="0.2">
      <c r="D263" s="86"/>
    </row>
    <row r="264" spans="4:4" x14ac:dyDescent="0.2">
      <c r="D264" s="86"/>
    </row>
    <row r="265" spans="4:4" x14ac:dyDescent="0.2">
      <c r="D265" s="86"/>
    </row>
    <row r="266" spans="4:4" x14ac:dyDescent="0.2">
      <c r="D266" s="86"/>
    </row>
    <row r="267" spans="4:4" x14ac:dyDescent="0.2">
      <c r="D267" s="86"/>
    </row>
    <row r="268" spans="4:4" x14ac:dyDescent="0.2">
      <c r="D268" s="86"/>
    </row>
    <row r="269" spans="4:4" x14ac:dyDescent="0.2">
      <c r="D269" s="86"/>
    </row>
    <row r="270" spans="4:4" x14ac:dyDescent="0.2">
      <c r="D270" s="86"/>
    </row>
    <row r="271" spans="4:4" x14ac:dyDescent="0.2">
      <c r="D271" s="86"/>
    </row>
    <row r="272" spans="4:4" x14ac:dyDescent="0.2">
      <c r="D272" s="86"/>
    </row>
    <row r="273" spans="4:4" x14ac:dyDescent="0.2">
      <c r="D273" s="86"/>
    </row>
    <row r="274" spans="4:4" x14ac:dyDescent="0.2">
      <c r="D274" s="86"/>
    </row>
    <row r="275" spans="4:4" x14ac:dyDescent="0.2">
      <c r="D275" s="86"/>
    </row>
    <row r="276" spans="4:4" x14ac:dyDescent="0.2">
      <c r="D276" s="86"/>
    </row>
    <row r="277" spans="4:4" x14ac:dyDescent="0.2">
      <c r="D277" s="86"/>
    </row>
    <row r="278" spans="4:4" x14ac:dyDescent="0.2">
      <c r="D278" s="86"/>
    </row>
    <row r="279" spans="4:4" x14ac:dyDescent="0.2">
      <c r="D279" s="86"/>
    </row>
    <row r="280" spans="4:4" x14ac:dyDescent="0.2">
      <c r="D280" s="86"/>
    </row>
    <row r="281" spans="4:4" x14ac:dyDescent="0.2">
      <c r="D281" s="86"/>
    </row>
    <row r="282" spans="4:4" x14ac:dyDescent="0.2">
      <c r="D282" s="86"/>
    </row>
    <row r="283" spans="4:4" x14ac:dyDescent="0.2">
      <c r="D283" s="86"/>
    </row>
    <row r="284" spans="4:4" x14ac:dyDescent="0.2">
      <c r="D284" s="86"/>
    </row>
    <row r="285" spans="4:4" x14ac:dyDescent="0.2">
      <c r="D285" s="86"/>
    </row>
    <row r="286" spans="4:4" x14ac:dyDescent="0.2">
      <c r="D286" s="86"/>
    </row>
    <row r="287" spans="4:4" x14ac:dyDescent="0.2">
      <c r="D287" s="86"/>
    </row>
    <row r="288" spans="4:4" x14ac:dyDescent="0.2">
      <c r="D288" s="86"/>
    </row>
    <row r="289" spans="4:4" x14ac:dyDescent="0.2">
      <c r="D289" s="86"/>
    </row>
    <row r="290" spans="4:4" x14ac:dyDescent="0.2">
      <c r="D290" s="86"/>
    </row>
    <row r="291" spans="4:4" x14ac:dyDescent="0.2">
      <c r="D291" s="86"/>
    </row>
    <row r="292" spans="4:4" x14ac:dyDescent="0.2">
      <c r="D292" s="86"/>
    </row>
    <row r="293" spans="4:4" x14ac:dyDescent="0.2">
      <c r="D293" s="86"/>
    </row>
    <row r="294" spans="4:4" x14ac:dyDescent="0.2">
      <c r="D294" s="86"/>
    </row>
    <row r="295" spans="4:4" x14ac:dyDescent="0.2">
      <c r="D295" s="86"/>
    </row>
    <row r="296" spans="4:4" x14ac:dyDescent="0.2">
      <c r="D296" s="86"/>
    </row>
    <row r="297" spans="4:4" x14ac:dyDescent="0.2">
      <c r="D297" s="86"/>
    </row>
    <row r="298" spans="4:4" x14ac:dyDescent="0.2">
      <c r="D298" s="86"/>
    </row>
    <row r="299" spans="4:4" x14ac:dyDescent="0.2">
      <c r="D299" s="86"/>
    </row>
    <row r="300" spans="4:4" x14ac:dyDescent="0.2">
      <c r="D300" s="86"/>
    </row>
    <row r="301" spans="4:4" x14ac:dyDescent="0.2">
      <c r="D301" s="86"/>
    </row>
    <row r="302" spans="4:4" x14ac:dyDescent="0.2">
      <c r="D302" s="86"/>
    </row>
    <row r="303" spans="4:4" x14ac:dyDescent="0.2">
      <c r="D303" s="86"/>
    </row>
    <row r="304" spans="4:4" x14ac:dyDescent="0.2">
      <c r="D304" s="86"/>
    </row>
    <row r="305" spans="4:4" x14ac:dyDescent="0.2">
      <c r="D305" s="86"/>
    </row>
    <row r="306" spans="4:4" x14ac:dyDescent="0.2">
      <c r="D306" s="86"/>
    </row>
    <row r="307" spans="4:4" x14ac:dyDescent="0.2">
      <c r="D307" s="86"/>
    </row>
    <row r="308" spans="4:4" x14ac:dyDescent="0.2">
      <c r="D308" s="86"/>
    </row>
    <row r="309" spans="4:4" x14ac:dyDescent="0.2">
      <c r="D309" s="86"/>
    </row>
    <row r="310" spans="4:4" x14ac:dyDescent="0.2">
      <c r="D310" s="86"/>
    </row>
    <row r="311" spans="4:4" x14ac:dyDescent="0.2">
      <c r="D311" s="86"/>
    </row>
    <row r="312" spans="4:4" x14ac:dyDescent="0.2">
      <c r="D312" s="8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C6B3-40A3-48D7-A347-92E118B14565}">
  <dimension ref="A1:G37"/>
  <sheetViews>
    <sheetView zoomScale="70" zoomScaleNormal="70" workbookViewId="0">
      <selection activeCell="C37" sqref="C37"/>
    </sheetView>
  </sheetViews>
  <sheetFormatPr defaultRowHeight="12.75" x14ac:dyDescent="0.2"/>
  <cols>
    <col min="1" max="1" width="9.7109375" style="85" bestFit="1" customWidth="1"/>
    <col min="2" max="2" width="18.28515625" style="85" bestFit="1" customWidth="1"/>
    <col min="3" max="3" width="27" style="85" bestFit="1" customWidth="1"/>
    <col min="4" max="4" width="108.7109375" style="85" bestFit="1" customWidth="1"/>
    <col min="5" max="6" width="69" style="85" customWidth="1"/>
    <col min="7" max="7" width="44.7109375" style="85" bestFit="1" customWidth="1"/>
    <col min="8" max="16384" width="9.140625" style="85"/>
  </cols>
  <sheetData>
    <row r="1" spans="1:7" ht="15.75" x14ac:dyDescent="0.2">
      <c r="A1" s="89" t="s">
        <v>1</v>
      </c>
      <c r="B1" s="89" t="s">
        <v>2762</v>
      </c>
      <c r="C1" s="89" t="s">
        <v>2765</v>
      </c>
      <c r="D1" s="89" t="s">
        <v>8</v>
      </c>
      <c r="E1" s="89" t="s">
        <v>2761</v>
      </c>
      <c r="F1" s="89" t="s">
        <v>1</v>
      </c>
      <c r="G1" s="89" t="s">
        <v>11</v>
      </c>
    </row>
    <row r="2" spans="1:7" ht="25.5" x14ac:dyDescent="0.2">
      <c r="A2" s="87" t="s">
        <v>2754</v>
      </c>
      <c r="B2" s="87" t="s">
        <v>2764</v>
      </c>
      <c r="C2" s="87">
        <v>40</v>
      </c>
      <c r="D2" s="87" t="s">
        <v>2766</v>
      </c>
      <c r="E2" s="90" t="s">
        <v>2763</v>
      </c>
      <c r="F2" s="90" t="s">
        <v>2767</v>
      </c>
      <c r="G2" s="87" t="s">
        <v>2523</v>
      </c>
    </row>
    <row r="19" spans="4:4" x14ac:dyDescent="0.2">
      <c r="D19" s="85" t="s">
        <v>407</v>
      </c>
    </row>
    <row r="37" spans="3:3" x14ac:dyDescent="0.2">
      <c r="C37" s="85" t="s">
        <v>985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A2CA-01D0-4B25-B1CC-1883EE7D4929}">
  <dimension ref="A1:K414"/>
  <sheetViews>
    <sheetView topLeftCell="E1" zoomScale="55" zoomScaleNormal="55" workbookViewId="0">
      <pane ySplit="4" topLeftCell="A5" activePane="bottomLeft" state="frozen"/>
      <selection activeCell="E1" sqref="E1"/>
      <selection pane="bottomLeft" activeCell="E8" sqref="E8"/>
    </sheetView>
  </sheetViews>
  <sheetFormatPr defaultRowHeight="20.25" x14ac:dyDescent="0.3"/>
  <cols>
    <col min="1" max="2" width="20.7109375" style="1" customWidth="1"/>
    <col min="3" max="3" width="15.7109375" style="1" customWidth="1"/>
    <col min="4" max="4" width="30.7109375" style="1" customWidth="1"/>
    <col min="5" max="5" width="80.7109375" style="1" customWidth="1"/>
    <col min="6" max="6" width="178.85546875" style="1" customWidth="1"/>
    <col min="7" max="7" width="65" style="1" customWidth="1"/>
    <col min="8" max="8" width="109.5703125" style="1" customWidth="1"/>
    <col min="9" max="9" width="45.7109375" style="1" customWidth="1"/>
    <col min="10" max="10" width="29.42578125" style="1" customWidth="1"/>
    <col min="11" max="16384" width="9.140625" style="1"/>
  </cols>
  <sheetData>
    <row r="1" spans="1:10" ht="30" x14ac:dyDescent="0.4">
      <c r="A1" s="109" t="s">
        <v>2739</v>
      </c>
      <c r="B1" s="109"/>
      <c r="C1" s="109"/>
      <c r="D1" s="109"/>
      <c r="E1" s="109"/>
      <c r="F1" s="109"/>
      <c r="G1" s="109"/>
      <c r="H1" s="109"/>
      <c r="I1" s="109"/>
    </row>
    <row r="3" spans="1:10" x14ac:dyDescent="0.3">
      <c r="A3" s="110" t="s">
        <v>1</v>
      </c>
      <c r="B3" s="110"/>
      <c r="C3" s="110" t="s">
        <v>4</v>
      </c>
      <c r="D3" s="114" t="s">
        <v>123</v>
      </c>
      <c r="E3" s="110" t="s">
        <v>125</v>
      </c>
      <c r="F3" s="110" t="s">
        <v>122</v>
      </c>
      <c r="G3" s="110" t="s">
        <v>131</v>
      </c>
      <c r="H3" s="110" t="s">
        <v>129</v>
      </c>
      <c r="I3" s="117" t="s">
        <v>11</v>
      </c>
      <c r="J3" s="110" t="s">
        <v>706</v>
      </c>
    </row>
    <row r="4" spans="1:10" x14ac:dyDescent="0.3">
      <c r="A4" s="4" t="s">
        <v>2</v>
      </c>
      <c r="B4" s="4" t="s">
        <v>3</v>
      </c>
      <c r="C4" s="110"/>
      <c r="D4" s="115"/>
      <c r="E4" s="110"/>
      <c r="F4" s="110"/>
      <c r="G4" s="110"/>
      <c r="H4" s="110"/>
      <c r="I4" s="117"/>
      <c r="J4" s="110"/>
    </row>
    <row r="5" spans="1:10" ht="30" customHeight="1" x14ac:dyDescent="0.3">
      <c r="A5" s="7">
        <v>46028</v>
      </c>
      <c r="B5" s="8"/>
      <c r="C5" s="8"/>
      <c r="D5" s="28"/>
      <c r="E5" s="8" t="s">
        <v>277</v>
      </c>
      <c r="F5" s="32" t="s">
        <v>2790</v>
      </c>
      <c r="G5" s="23" t="s">
        <v>2791</v>
      </c>
      <c r="H5" s="23"/>
      <c r="I5" s="55" t="s">
        <v>2792</v>
      </c>
      <c r="J5" s="9"/>
    </row>
    <row r="6" spans="1:10" ht="30" customHeight="1" x14ac:dyDescent="0.3">
      <c r="A6" s="7">
        <v>46028</v>
      </c>
      <c r="B6" s="8"/>
      <c r="C6" s="8"/>
      <c r="D6" s="28"/>
      <c r="E6" s="6"/>
      <c r="F6" s="7" t="s">
        <v>2793</v>
      </c>
      <c r="G6" s="29"/>
      <c r="H6" s="23"/>
      <c r="I6" s="55"/>
      <c r="J6" s="9"/>
    </row>
    <row r="7" spans="1:10" ht="30" customHeight="1" x14ac:dyDescent="0.3">
      <c r="A7" s="7">
        <v>46028</v>
      </c>
      <c r="B7" s="8"/>
      <c r="C7" s="8"/>
      <c r="D7" s="27"/>
      <c r="E7" s="6"/>
      <c r="F7" s="7" t="s">
        <v>2794</v>
      </c>
      <c r="G7" s="23" t="s">
        <v>2795</v>
      </c>
      <c r="H7" s="23"/>
      <c r="I7" s="55"/>
      <c r="J7" s="9"/>
    </row>
    <row r="8" spans="1:10" ht="30" customHeight="1" x14ac:dyDescent="0.3">
      <c r="A8" s="8"/>
      <c r="B8" s="8"/>
      <c r="C8" s="8"/>
      <c r="D8" s="27"/>
      <c r="E8" s="6"/>
      <c r="F8" s="7"/>
      <c r="G8" s="23"/>
      <c r="H8" s="8"/>
      <c r="I8" s="55"/>
      <c r="J8" s="9"/>
    </row>
    <row r="9" spans="1:10" ht="30" customHeight="1" x14ac:dyDescent="0.3">
      <c r="A9" s="7"/>
      <c r="B9" s="8"/>
      <c r="C9" s="8"/>
      <c r="D9" s="27"/>
      <c r="E9" s="6"/>
      <c r="F9" s="6"/>
      <c r="G9" s="23"/>
      <c r="H9" s="23"/>
      <c r="I9" s="55"/>
      <c r="J9" s="9"/>
    </row>
    <row r="10" spans="1:10" s="26" customFormat="1" ht="30" customHeight="1" x14ac:dyDescent="0.3">
      <c r="A10" s="14"/>
      <c r="B10" s="15"/>
      <c r="C10" s="8"/>
      <c r="D10" s="27"/>
      <c r="E10" s="16"/>
      <c r="F10" s="34"/>
      <c r="G10" s="24"/>
      <c r="H10" s="24"/>
      <c r="I10" s="56"/>
      <c r="J10" s="20"/>
    </row>
    <row r="11" spans="1:10" ht="30" customHeight="1" x14ac:dyDescent="0.3">
      <c r="A11" s="8"/>
      <c r="B11" s="8"/>
      <c r="C11" s="8"/>
      <c r="D11" s="27"/>
      <c r="E11" s="6"/>
      <c r="F11" s="7"/>
      <c r="G11" s="23"/>
      <c r="H11" s="23"/>
      <c r="I11" s="55"/>
      <c r="J11" s="9"/>
    </row>
    <row r="12" spans="1:10" ht="30" customHeight="1" x14ac:dyDescent="0.3">
      <c r="A12" s="8"/>
      <c r="B12" s="8"/>
      <c r="C12" s="8"/>
      <c r="D12" s="28"/>
      <c r="E12" s="6"/>
      <c r="F12" s="32"/>
      <c r="G12" s="23"/>
      <c r="H12" s="23"/>
      <c r="I12" s="55"/>
      <c r="J12" s="9"/>
    </row>
    <row r="13" spans="1:10" ht="30" customHeight="1" x14ac:dyDescent="0.3">
      <c r="A13" s="8"/>
      <c r="B13" s="8"/>
      <c r="C13" s="8"/>
      <c r="D13" s="27"/>
      <c r="E13" s="6"/>
      <c r="F13" s="7"/>
      <c r="G13" s="23"/>
      <c r="H13" s="23"/>
      <c r="I13" s="55"/>
      <c r="J13" s="9"/>
    </row>
    <row r="14" spans="1:10" ht="30" customHeight="1" x14ac:dyDescent="0.3">
      <c r="A14" s="8"/>
      <c r="B14" s="8"/>
      <c r="C14" s="8"/>
      <c r="D14" s="27"/>
      <c r="E14" s="6"/>
      <c r="F14" s="7"/>
      <c r="G14" s="23"/>
      <c r="H14" s="23"/>
      <c r="I14" s="55"/>
      <c r="J14" s="9"/>
    </row>
    <row r="15" spans="1:10" ht="30" customHeight="1" x14ac:dyDescent="0.3">
      <c r="A15" s="8"/>
      <c r="B15" s="8"/>
      <c r="C15" s="8"/>
      <c r="D15" s="27"/>
      <c r="E15" s="6"/>
      <c r="F15" s="7"/>
      <c r="G15" s="23"/>
      <c r="H15" s="23"/>
      <c r="I15" s="55"/>
      <c r="J15" s="9"/>
    </row>
    <row r="16" spans="1:10" ht="30" customHeight="1" x14ac:dyDescent="0.3">
      <c r="A16" s="8"/>
      <c r="B16" s="8"/>
      <c r="C16" s="8"/>
      <c r="D16" s="27"/>
      <c r="E16" s="6"/>
      <c r="F16" s="7"/>
      <c r="G16" s="23"/>
      <c r="H16" s="23"/>
      <c r="I16" s="55"/>
      <c r="J16" s="9"/>
    </row>
    <row r="17" spans="1:10" ht="30" customHeight="1" x14ac:dyDescent="0.3">
      <c r="A17" s="8"/>
      <c r="B17" s="8"/>
      <c r="C17" s="8"/>
      <c r="D17" s="27"/>
      <c r="E17" s="6"/>
      <c r="F17" s="32"/>
      <c r="G17" s="23"/>
      <c r="H17" s="23"/>
      <c r="I17" s="55"/>
      <c r="J17" s="9"/>
    </row>
    <row r="18" spans="1:10" ht="30" customHeight="1" x14ac:dyDescent="0.3">
      <c r="A18" s="8"/>
      <c r="B18" s="8"/>
      <c r="C18" s="8"/>
      <c r="D18" s="27"/>
      <c r="E18" s="6"/>
      <c r="F18" s="7"/>
      <c r="G18" s="23"/>
      <c r="H18" s="23"/>
      <c r="I18" s="55"/>
      <c r="J18" s="9"/>
    </row>
    <row r="19" spans="1:10" ht="30" customHeight="1" x14ac:dyDescent="0.3">
      <c r="A19" s="8"/>
      <c r="B19" s="8"/>
      <c r="C19" s="8"/>
      <c r="D19" s="27"/>
      <c r="E19" s="6"/>
      <c r="F19" s="7"/>
      <c r="G19" s="23"/>
      <c r="H19" s="23"/>
      <c r="I19" s="55"/>
      <c r="J19" s="9"/>
    </row>
    <row r="20" spans="1:10" ht="30" customHeight="1" x14ac:dyDescent="0.3">
      <c r="A20" s="8"/>
      <c r="B20" s="8"/>
      <c r="C20" s="8"/>
      <c r="D20" s="27"/>
      <c r="E20" s="6"/>
      <c r="F20" s="7"/>
      <c r="G20" s="23"/>
      <c r="H20" s="23"/>
      <c r="I20" s="55"/>
      <c r="J20" s="9"/>
    </row>
    <row r="21" spans="1:10" ht="30" customHeight="1" x14ac:dyDescent="0.3">
      <c r="A21" s="8"/>
      <c r="B21" s="8"/>
      <c r="C21" s="8"/>
      <c r="D21" s="27"/>
      <c r="E21" s="6"/>
      <c r="F21" s="7"/>
      <c r="G21" s="23"/>
      <c r="H21" s="23"/>
      <c r="I21" s="55"/>
      <c r="J21" s="9"/>
    </row>
    <row r="22" spans="1:10" ht="30" customHeight="1" x14ac:dyDescent="0.3">
      <c r="A22" s="8"/>
      <c r="B22" s="8"/>
      <c r="C22" s="8"/>
      <c r="D22" s="27"/>
      <c r="E22" s="6"/>
      <c r="F22" s="7"/>
      <c r="G22" s="23"/>
      <c r="H22" s="23"/>
      <c r="I22" s="55"/>
      <c r="J22" s="9"/>
    </row>
    <row r="23" spans="1:10" ht="30" customHeight="1" x14ac:dyDescent="0.3">
      <c r="A23" s="8"/>
      <c r="B23" s="8"/>
      <c r="C23" s="8"/>
      <c r="D23" s="27"/>
      <c r="E23" s="6"/>
      <c r="F23" s="32"/>
      <c r="G23" s="23"/>
      <c r="H23" s="23"/>
      <c r="I23" s="55"/>
      <c r="J23" s="9"/>
    </row>
    <row r="24" spans="1:10" ht="30" customHeight="1" x14ac:dyDescent="0.3">
      <c r="A24" s="8"/>
      <c r="B24" s="8"/>
      <c r="C24" s="8"/>
      <c r="D24" s="27"/>
      <c r="E24" s="6"/>
      <c r="F24" s="7"/>
      <c r="G24" s="23"/>
      <c r="H24" s="23"/>
      <c r="I24" s="55"/>
      <c r="J24" s="9"/>
    </row>
    <row r="25" spans="1:10" ht="30" customHeight="1" x14ac:dyDescent="0.3">
      <c r="A25" s="8"/>
      <c r="B25" s="8"/>
      <c r="C25" s="8"/>
      <c r="D25" s="27"/>
      <c r="E25" s="6"/>
      <c r="F25" s="32"/>
      <c r="G25" s="23"/>
      <c r="H25" s="23"/>
      <c r="I25" s="55"/>
      <c r="J25" s="9"/>
    </row>
    <row r="26" spans="1:10" ht="30" customHeight="1" x14ac:dyDescent="0.3">
      <c r="A26" s="8"/>
      <c r="B26" s="8"/>
      <c r="C26" s="8"/>
      <c r="D26" s="27"/>
      <c r="E26" s="6"/>
      <c r="F26" s="7"/>
      <c r="G26" s="23"/>
      <c r="H26" s="23"/>
      <c r="I26" s="55"/>
      <c r="J26" s="9"/>
    </row>
    <row r="27" spans="1:10" ht="30" customHeight="1" x14ac:dyDescent="0.3">
      <c r="A27" s="8"/>
      <c r="B27" s="8"/>
      <c r="C27" s="27"/>
      <c r="D27" s="6"/>
      <c r="E27" s="7"/>
      <c r="F27" s="23"/>
      <c r="G27" s="23"/>
      <c r="H27" s="9"/>
      <c r="J27" s="9"/>
    </row>
    <row r="28" spans="1:10" ht="30" customHeight="1" x14ac:dyDescent="0.3">
      <c r="A28" s="8"/>
      <c r="B28" s="8"/>
      <c r="C28" s="8"/>
      <c r="D28" s="27"/>
      <c r="E28" s="6"/>
      <c r="F28" s="32"/>
      <c r="G28" s="23"/>
      <c r="H28" s="23"/>
      <c r="I28" s="55"/>
      <c r="J28" s="9"/>
    </row>
    <row r="29" spans="1:10" ht="30" customHeight="1" x14ac:dyDescent="0.3">
      <c r="A29" s="8"/>
      <c r="B29" s="8"/>
      <c r="C29" s="8"/>
      <c r="D29" s="27"/>
      <c r="E29" s="6"/>
      <c r="F29" s="32"/>
      <c r="G29" s="21"/>
      <c r="H29" s="21"/>
      <c r="I29" s="55"/>
      <c r="J29" s="9"/>
    </row>
    <row r="30" spans="1:10" ht="30" customHeight="1" x14ac:dyDescent="0.3">
      <c r="A30" s="8"/>
      <c r="B30" s="8"/>
      <c r="C30" s="8"/>
      <c r="D30" s="27"/>
      <c r="E30" s="6"/>
      <c r="F30" s="7"/>
      <c r="G30" s="21"/>
      <c r="H30" s="21"/>
      <c r="I30" s="55"/>
      <c r="J30" s="9"/>
    </row>
    <row r="31" spans="1:10" ht="30" customHeight="1" x14ac:dyDescent="0.3">
      <c r="A31" s="8"/>
      <c r="B31" s="8"/>
      <c r="C31" s="8"/>
      <c r="D31" s="27"/>
      <c r="E31" s="6"/>
      <c r="F31" s="8"/>
      <c r="G31" s="21"/>
      <c r="H31" s="21"/>
      <c r="I31" s="55"/>
      <c r="J31" s="9"/>
    </row>
    <row r="32" spans="1:10" ht="30" customHeight="1" x14ac:dyDescent="0.3">
      <c r="A32" s="8"/>
      <c r="B32" s="8"/>
      <c r="C32" s="8"/>
      <c r="D32" s="27"/>
      <c r="E32" s="6"/>
      <c r="F32" s="23"/>
      <c r="G32" s="21"/>
      <c r="H32" s="25"/>
      <c r="I32" s="55"/>
      <c r="J32" s="9"/>
    </row>
    <row r="33" spans="1:11" ht="30" customHeight="1" x14ac:dyDescent="0.3">
      <c r="A33" s="8"/>
      <c r="B33" s="8"/>
      <c r="C33" s="8"/>
      <c r="D33" s="27"/>
      <c r="E33" s="6"/>
      <c r="F33" s="23"/>
      <c r="G33" s="21"/>
      <c r="H33" s="21"/>
      <c r="I33" s="55"/>
      <c r="J33" s="9"/>
    </row>
    <row r="34" spans="1:11" ht="30" customHeight="1" x14ac:dyDescent="0.3">
      <c r="A34" s="8"/>
      <c r="B34" s="8"/>
      <c r="C34" s="8"/>
      <c r="D34" s="27"/>
      <c r="E34" s="6"/>
      <c r="F34" s="8"/>
      <c r="G34" s="21"/>
      <c r="H34" s="21"/>
      <c r="I34" s="55"/>
      <c r="J34" s="9"/>
    </row>
    <row r="35" spans="1:11" ht="30" customHeight="1" x14ac:dyDescent="0.3">
      <c r="A35" s="8"/>
      <c r="B35" s="8"/>
      <c r="C35" s="8"/>
      <c r="D35" s="27"/>
      <c r="E35" s="6"/>
      <c r="F35" s="8"/>
      <c r="G35" s="21"/>
      <c r="H35" s="21"/>
      <c r="I35" s="55"/>
      <c r="J35" s="9"/>
    </row>
    <row r="36" spans="1:11" ht="30" customHeight="1" x14ac:dyDescent="0.3">
      <c r="A36" s="8"/>
      <c r="B36" s="8"/>
      <c r="C36" s="8"/>
      <c r="D36" s="27"/>
      <c r="E36" s="6"/>
      <c r="F36" s="8"/>
      <c r="G36" s="21"/>
      <c r="H36" s="21"/>
      <c r="I36" s="55"/>
      <c r="J36" s="9"/>
    </row>
    <row r="37" spans="1:11" ht="30" customHeight="1" x14ac:dyDescent="0.3">
      <c r="A37" s="8"/>
      <c r="B37" s="8"/>
      <c r="C37" s="8"/>
      <c r="D37" s="27"/>
      <c r="E37" s="6"/>
      <c r="F37" s="8"/>
      <c r="G37" s="21"/>
      <c r="H37" s="21"/>
      <c r="I37" s="55"/>
      <c r="J37" s="9"/>
    </row>
    <row r="38" spans="1:11" ht="30" customHeight="1" x14ac:dyDescent="0.3">
      <c r="A38" s="8"/>
      <c r="B38" s="8"/>
      <c r="C38" s="8"/>
      <c r="D38" s="27"/>
      <c r="E38" s="6"/>
      <c r="F38" s="8"/>
      <c r="G38" s="21"/>
      <c r="H38" s="21"/>
      <c r="I38" s="55"/>
      <c r="J38" s="9"/>
    </row>
    <row r="39" spans="1:11" ht="30" customHeight="1" x14ac:dyDescent="0.3">
      <c r="A39" s="8"/>
      <c r="B39" s="8"/>
      <c r="C39" s="8"/>
      <c r="D39" s="27"/>
      <c r="E39" s="6"/>
      <c r="F39" s="23"/>
      <c r="G39" s="21"/>
      <c r="H39" s="21"/>
      <c r="I39" s="55"/>
      <c r="J39" s="9"/>
    </row>
    <row r="40" spans="1:11" ht="30" customHeight="1" x14ac:dyDescent="0.3">
      <c r="A40" s="8"/>
      <c r="B40" s="8"/>
      <c r="C40" s="8"/>
      <c r="D40" s="27"/>
      <c r="E40" s="6"/>
      <c r="F40" s="8"/>
      <c r="G40" s="21"/>
      <c r="H40" s="21"/>
      <c r="I40" s="55"/>
      <c r="J40" s="9"/>
    </row>
    <row r="41" spans="1:11" ht="30" customHeight="1" x14ac:dyDescent="0.3">
      <c r="A41" s="8"/>
      <c r="C41" s="8"/>
      <c r="D41" s="27"/>
      <c r="E41" s="6"/>
      <c r="F41" s="8"/>
      <c r="G41" s="21"/>
      <c r="H41" s="21"/>
      <c r="I41" s="55"/>
      <c r="J41" s="9"/>
    </row>
    <row r="42" spans="1:11" ht="30" customHeight="1" x14ac:dyDescent="0.3">
      <c r="A42" s="8"/>
      <c r="B42" s="8"/>
      <c r="C42" s="8"/>
      <c r="D42" s="27"/>
      <c r="E42" s="6"/>
      <c r="F42" s="23"/>
      <c r="G42" s="21"/>
      <c r="H42" s="21"/>
      <c r="I42" s="55"/>
      <c r="J42" s="9"/>
    </row>
    <row r="43" spans="1:11" ht="30" customHeight="1" x14ac:dyDescent="0.3">
      <c r="A43" s="8"/>
      <c r="B43" s="8"/>
      <c r="C43" s="8"/>
      <c r="D43" s="27"/>
      <c r="E43" s="6"/>
      <c r="F43" s="8"/>
      <c r="G43" s="21"/>
      <c r="H43" s="21"/>
      <c r="I43" s="55"/>
      <c r="J43" s="9"/>
    </row>
    <row r="44" spans="1:11" ht="30" customHeight="1" x14ac:dyDescent="0.35">
      <c r="A44" s="7"/>
      <c r="B44" s="8"/>
      <c r="C44" s="8"/>
      <c r="D44" s="27"/>
      <c r="E44" s="6"/>
      <c r="F44" s="23"/>
      <c r="G44" s="21"/>
      <c r="H44" s="21"/>
      <c r="I44" s="55"/>
      <c r="J44" s="57" t="str">
        <f>HYPERLINK("https://drive.google.com/file/d/1o3vnXfjpU2tk2A5ZU8xXxfqLabIoicUU/view?usp=sharing", "COA")</f>
        <v>COA</v>
      </c>
    </row>
    <row r="45" spans="1:11" ht="30" customHeight="1" x14ac:dyDescent="0.35">
      <c r="A45" s="8"/>
      <c r="B45" s="8"/>
      <c r="C45" s="8"/>
      <c r="D45" s="27"/>
      <c r="E45" s="6"/>
      <c r="F45" s="8"/>
      <c r="G45" s="21"/>
      <c r="H45" s="21"/>
      <c r="I45" s="55"/>
      <c r="J45" s="57" t="str">
        <f>HYPERLINK("https://drive.google.com/file/d/1a9ii179IhNxPMyi6vOVUSR8He67Nom6r/view?usp=sharing", "LORRAINE")</f>
        <v>LORRAINE</v>
      </c>
    </row>
    <row r="46" spans="1:11" ht="30" customHeight="1" x14ac:dyDescent="0.35">
      <c r="A46" s="8"/>
      <c r="B46" s="8"/>
      <c r="C46" s="8"/>
      <c r="D46" s="27"/>
      <c r="E46" s="6"/>
      <c r="F46" s="8"/>
      <c r="G46" s="21"/>
      <c r="H46" s="21"/>
      <c r="I46" s="55"/>
      <c r="J46" s="57" t="str">
        <f>HYPERLINK("https://drive.google.com/file/d/1occwCkeg_sQkc0ofz6JRbCedWG74gR6-/view?usp=sharing", "GAD")</f>
        <v>GAD</v>
      </c>
      <c r="K46" s="59"/>
    </row>
    <row r="47" spans="1:11" ht="30" customHeight="1" x14ac:dyDescent="0.35">
      <c r="A47" s="7"/>
      <c r="B47" s="8"/>
      <c r="C47" s="8"/>
      <c r="D47" s="27"/>
      <c r="E47" s="6"/>
      <c r="F47" s="8"/>
      <c r="G47" s="21"/>
      <c r="H47" s="21"/>
      <c r="I47" s="55"/>
      <c r="J47" s="57" t="str">
        <f>HYPERLINK("https://drive.google.com/file/d/1F1_KN9XTBxkFIuQko-1vsxayCqCb7XM_/view?usp=sharing", "Office of the Governor")</f>
        <v>Office of the Governor</v>
      </c>
    </row>
    <row r="48" spans="1:11" ht="30" customHeight="1" x14ac:dyDescent="0.3">
      <c r="A48" s="7"/>
      <c r="B48" s="8"/>
      <c r="C48" s="8"/>
      <c r="D48" s="27"/>
      <c r="E48" s="6"/>
      <c r="F48" s="23"/>
      <c r="G48" s="21"/>
      <c r="H48" s="21"/>
      <c r="I48" s="55"/>
      <c r="J48" s="54" t="str">
        <f>HYPERLINK("https://drive.google.com/file/d/1HoyUu-fHmg7g_I5022-SYkFfGs0Hl_rr/view?usp=sharing", "CITIZEN CHAPTER")</f>
        <v>CITIZEN CHAPTER</v>
      </c>
    </row>
    <row r="49" spans="1:10" ht="30" customHeight="1" x14ac:dyDescent="0.3">
      <c r="A49" s="8"/>
      <c r="B49" s="8"/>
      <c r="C49" s="8"/>
      <c r="D49" s="27"/>
      <c r="E49" s="6"/>
      <c r="F49" s="8"/>
      <c r="G49" s="21"/>
      <c r="H49" s="21"/>
      <c r="I49" s="55"/>
      <c r="J49" s="54" t="str">
        <f>HYPERLINK("https://drive.google.com/file/d/10nbVRVg7TTPJX6vqsB8g1z5EbXH1BSQn/view?usp=sharing", "COMMITTEE HEARING")</f>
        <v>COMMITTEE HEARING</v>
      </c>
    </row>
    <row r="50" spans="1:10" ht="30" customHeight="1" x14ac:dyDescent="0.3">
      <c r="A50" s="8"/>
      <c r="B50" s="8"/>
      <c r="C50" s="8"/>
      <c r="D50" s="27"/>
      <c r="E50" s="6"/>
      <c r="F50" s="23"/>
      <c r="G50" s="21"/>
      <c r="H50" s="21"/>
      <c r="I50" s="55"/>
      <c r="J50" s="9"/>
    </row>
    <row r="51" spans="1:10" ht="30" customHeight="1" x14ac:dyDescent="0.3">
      <c r="A51" s="8"/>
      <c r="B51" s="8"/>
      <c r="C51" s="8"/>
      <c r="D51" s="27"/>
      <c r="E51" s="6"/>
      <c r="F51" s="8"/>
      <c r="G51" s="21"/>
      <c r="H51" s="21"/>
      <c r="I51" s="55"/>
      <c r="J51" s="9"/>
    </row>
    <row r="52" spans="1:10" ht="30" customHeight="1" x14ac:dyDescent="0.3">
      <c r="A52" s="8"/>
      <c r="B52" s="8"/>
      <c r="C52" s="8"/>
      <c r="D52" s="27"/>
      <c r="E52" s="6"/>
      <c r="F52" s="8"/>
      <c r="G52" s="21"/>
      <c r="H52" s="6"/>
      <c r="I52" s="55"/>
      <c r="J52" s="9"/>
    </row>
    <row r="53" spans="1:10" ht="30" customHeight="1" x14ac:dyDescent="0.3">
      <c r="A53" s="8"/>
      <c r="B53" s="8"/>
      <c r="C53" s="8"/>
      <c r="D53" s="27"/>
      <c r="E53" s="6"/>
      <c r="F53" s="8"/>
      <c r="G53" s="21"/>
      <c r="H53" s="21"/>
      <c r="I53" s="55"/>
      <c r="J53" s="9"/>
    </row>
    <row r="54" spans="1:10" ht="30" customHeight="1" x14ac:dyDescent="0.3">
      <c r="A54" s="7"/>
      <c r="B54" s="8"/>
      <c r="C54" s="8"/>
      <c r="D54" s="27"/>
      <c r="E54" s="6"/>
      <c r="F54" s="6"/>
      <c r="G54" s="21"/>
      <c r="H54" s="21"/>
      <c r="I54" s="55"/>
      <c r="J54" s="9"/>
    </row>
    <row r="55" spans="1:10" ht="30" customHeight="1" x14ac:dyDescent="0.3">
      <c r="A55" s="8"/>
      <c r="B55" s="8"/>
      <c r="C55" s="8"/>
      <c r="D55" s="27"/>
      <c r="E55" s="6"/>
      <c r="F55" s="23"/>
      <c r="G55" s="21"/>
      <c r="H55" s="21"/>
      <c r="I55" s="55"/>
      <c r="J55" s="9"/>
    </row>
    <row r="56" spans="1:10" ht="30" customHeight="1" x14ac:dyDescent="0.3">
      <c r="A56" s="8"/>
      <c r="B56" s="8"/>
      <c r="C56" s="8"/>
      <c r="D56" s="27"/>
      <c r="E56" s="6"/>
      <c r="F56" s="8"/>
      <c r="G56" s="21"/>
      <c r="H56" s="21"/>
      <c r="I56" s="55"/>
      <c r="J56" s="9"/>
    </row>
    <row r="57" spans="1:10" ht="30" customHeight="1" x14ac:dyDescent="0.3">
      <c r="A57" s="8"/>
      <c r="B57" s="8"/>
      <c r="C57" s="8"/>
      <c r="D57" s="27"/>
      <c r="E57" s="6"/>
      <c r="F57" s="23"/>
      <c r="G57" s="21"/>
      <c r="H57" s="21"/>
      <c r="I57" s="55"/>
      <c r="J57" s="9"/>
    </row>
    <row r="58" spans="1:10" ht="30" customHeight="1" x14ac:dyDescent="0.3">
      <c r="A58" s="8"/>
      <c r="B58" s="8"/>
      <c r="C58" s="8"/>
      <c r="D58" s="27"/>
      <c r="E58" s="6"/>
      <c r="F58" s="23"/>
      <c r="G58" s="21"/>
      <c r="H58" s="21"/>
      <c r="I58" s="55"/>
      <c r="J58" s="9"/>
    </row>
    <row r="59" spans="1:10" ht="30" customHeight="1" x14ac:dyDescent="0.3">
      <c r="A59" s="8"/>
      <c r="B59" s="8"/>
      <c r="C59" s="8"/>
      <c r="D59" s="27"/>
      <c r="E59" s="31"/>
      <c r="F59" s="31"/>
      <c r="G59" s="21"/>
      <c r="H59" s="21"/>
      <c r="I59" s="55"/>
      <c r="J59" s="9"/>
    </row>
    <row r="60" spans="1:10" ht="30" customHeight="1" x14ac:dyDescent="0.3">
      <c r="A60" s="7"/>
      <c r="B60" s="8"/>
      <c r="C60" s="8"/>
      <c r="D60" s="27"/>
      <c r="E60" s="6"/>
      <c r="F60" s="8"/>
      <c r="G60" s="21"/>
      <c r="H60" s="21"/>
      <c r="I60" s="55"/>
      <c r="J60" s="9"/>
    </row>
    <row r="61" spans="1:10" ht="30" customHeight="1" x14ac:dyDescent="0.3">
      <c r="A61" s="8"/>
      <c r="B61" s="8"/>
      <c r="C61" s="8"/>
      <c r="D61" s="8"/>
      <c r="E61" s="6"/>
      <c r="F61" s="8"/>
      <c r="G61" s="21"/>
      <c r="H61" s="21"/>
      <c r="I61" s="55"/>
      <c r="J61" s="9"/>
    </row>
    <row r="62" spans="1:10" ht="30" customHeight="1" x14ac:dyDescent="0.3">
      <c r="A62" s="8"/>
      <c r="B62" s="8"/>
      <c r="C62" s="8"/>
      <c r="D62" s="27"/>
      <c r="E62" s="6"/>
      <c r="F62" s="8"/>
      <c r="G62" s="25"/>
      <c r="H62" s="25"/>
      <c r="I62" s="55"/>
      <c r="J62" s="9"/>
    </row>
    <row r="63" spans="1:10" ht="30" customHeight="1" x14ac:dyDescent="0.3">
      <c r="A63" s="8"/>
      <c r="B63" s="8"/>
      <c r="C63" s="8"/>
      <c r="D63" s="27"/>
      <c r="E63" s="6"/>
      <c r="F63" s="8"/>
      <c r="G63" s="25"/>
      <c r="H63" s="25"/>
      <c r="I63" s="55"/>
      <c r="J63" s="9"/>
    </row>
    <row r="64" spans="1:10" ht="30" customHeight="1" x14ac:dyDescent="0.3">
      <c r="A64" s="8"/>
      <c r="B64" s="8"/>
      <c r="C64" s="8"/>
      <c r="D64" s="27"/>
      <c r="E64" s="6"/>
      <c r="F64" s="23"/>
      <c r="G64" s="21"/>
      <c r="H64" s="21"/>
      <c r="I64" s="55"/>
      <c r="J64" s="9"/>
    </row>
    <row r="65" spans="1:10" ht="30" customHeight="1" x14ac:dyDescent="0.3">
      <c r="A65" s="8"/>
      <c r="B65" s="8"/>
      <c r="C65" s="8"/>
      <c r="D65" s="27"/>
      <c r="E65" s="6"/>
      <c r="F65" s="23"/>
      <c r="G65" s="21"/>
      <c r="H65" s="21"/>
      <c r="I65" s="55"/>
      <c r="J65" s="9"/>
    </row>
    <row r="66" spans="1:10" ht="30" customHeight="1" x14ac:dyDescent="0.3">
      <c r="A66" s="8"/>
      <c r="B66" s="8"/>
      <c r="C66" s="8"/>
      <c r="D66" s="27"/>
      <c r="E66" s="6"/>
      <c r="F66" s="8"/>
      <c r="G66" s="21"/>
      <c r="H66" s="21"/>
      <c r="I66" s="55"/>
      <c r="J66" s="9"/>
    </row>
    <row r="67" spans="1:10" ht="30" customHeight="1" x14ac:dyDescent="0.3">
      <c r="A67" s="8"/>
      <c r="B67" s="8"/>
      <c r="C67" s="8"/>
      <c r="D67" s="27"/>
      <c r="E67" s="6"/>
      <c r="F67" s="8"/>
      <c r="G67" s="21"/>
      <c r="H67" s="21"/>
      <c r="I67" s="55"/>
      <c r="J67" s="9"/>
    </row>
    <row r="68" spans="1:10" ht="30" customHeight="1" x14ac:dyDescent="0.3">
      <c r="A68" s="8"/>
      <c r="B68" s="8"/>
      <c r="C68" s="8"/>
      <c r="D68" s="27"/>
      <c r="E68" s="6"/>
      <c r="F68" s="8"/>
      <c r="G68" s="21"/>
      <c r="H68" s="21"/>
      <c r="I68" s="55"/>
      <c r="J68" s="9"/>
    </row>
    <row r="69" spans="1:10" ht="30" customHeight="1" x14ac:dyDescent="0.3">
      <c r="A69" s="8"/>
      <c r="B69" s="8"/>
      <c r="C69" s="8"/>
      <c r="D69" s="27"/>
      <c r="E69" s="6"/>
      <c r="F69" s="23"/>
      <c r="G69" s="21"/>
      <c r="H69" s="21"/>
      <c r="I69" s="55"/>
      <c r="J69" s="9"/>
    </row>
    <row r="70" spans="1:10" ht="30" customHeight="1" x14ac:dyDescent="0.3">
      <c r="A70" s="8"/>
      <c r="B70" s="8"/>
      <c r="C70" s="8"/>
      <c r="D70" s="27"/>
      <c r="E70" s="6"/>
      <c r="F70" s="8"/>
      <c r="G70" s="21"/>
      <c r="H70" s="21"/>
      <c r="I70" s="55"/>
      <c r="J70" s="9"/>
    </row>
    <row r="71" spans="1:10" ht="30" customHeight="1" x14ac:dyDescent="0.3">
      <c r="A71" s="8"/>
      <c r="B71" s="8"/>
      <c r="C71" s="8"/>
      <c r="D71" s="27"/>
      <c r="E71" s="6"/>
      <c r="F71" s="8"/>
      <c r="G71" s="21"/>
      <c r="H71" s="21"/>
      <c r="I71" s="55"/>
      <c r="J71" s="9"/>
    </row>
    <row r="72" spans="1:10" ht="30" customHeight="1" x14ac:dyDescent="0.3">
      <c r="A72" s="8"/>
      <c r="B72" s="8"/>
      <c r="C72" s="8"/>
      <c r="D72" s="27"/>
      <c r="E72" s="6"/>
      <c r="F72" s="8"/>
      <c r="G72" s="21"/>
      <c r="H72" s="21"/>
      <c r="I72" s="55"/>
      <c r="J72" s="9"/>
    </row>
    <row r="73" spans="1:10" ht="30" customHeight="1" x14ac:dyDescent="0.3">
      <c r="A73" s="8"/>
      <c r="B73" s="8"/>
      <c r="C73" s="8"/>
      <c r="D73" s="27"/>
      <c r="E73" s="6"/>
      <c r="F73" s="8"/>
      <c r="G73" s="25"/>
      <c r="H73" s="25"/>
      <c r="I73" s="55"/>
      <c r="J73" s="9"/>
    </row>
    <row r="74" spans="1:10" ht="30" customHeight="1" x14ac:dyDescent="0.3">
      <c r="A74" s="8"/>
      <c r="B74" s="8"/>
      <c r="C74" s="8"/>
      <c r="D74" s="27"/>
      <c r="E74" s="6"/>
      <c r="F74" s="8"/>
      <c r="G74" s="21"/>
      <c r="H74" s="21"/>
      <c r="I74" s="55"/>
      <c r="J74" s="9"/>
    </row>
    <row r="75" spans="1:10" ht="30" customHeight="1" x14ac:dyDescent="0.3">
      <c r="A75" s="8"/>
      <c r="B75" s="8"/>
      <c r="C75" s="8"/>
      <c r="D75" s="27"/>
      <c r="E75" s="6"/>
      <c r="F75" s="8"/>
      <c r="G75" s="25"/>
      <c r="H75" s="25"/>
      <c r="I75" s="55"/>
      <c r="J75" s="9"/>
    </row>
    <row r="76" spans="1:10" ht="38.25" customHeight="1" x14ac:dyDescent="0.3">
      <c r="A76" s="8"/>
      <c r="B76" s="8"/>
      <c r="C76" s="8"/>
      <c r="D76" s="27"/>
      <c r="E76" s="6"/>
      <c r="F76" s="8"/>
      <c r="G76" s="21"/>
      <c r="H76" s="21"/>
      <c r="I76" s="55"/>
      <c r="J76" s="9"/>
    </row>
    <row r="77" spans="1:10" ht="30" customHeight="1" x14ac:dyDescent="0.3">
      <c r="A77" s="8"/>
      <c r="B77" s="8"/>
      <c r="C77" s="8"/>
      <c r="D77" s="27"/>
      <c r="E77" s="6"/>
      <c r="F77" s="8"/>
      <c r="G77" s="21"/>
      <c r="H77" s="21"/>
      <c r="I77" s="55"/>
      <c r="J77" s="9"/>
    </row>
    <row r="78" spans="1:10" ht="30" customHeight="1" x14ac:dyDescent="0.3">
      <c r="A78" s="8"/>
      <c r="B78" s="8"/>
      <c r="C78" s="8"/>
      <c r="D78" s="27"/>
      <c r="E78" s="6"/>
      <c r="F78" s="23"/>
      <c r="G78" s="21"/>
      <c r="H78" s="21"/>
      <c r="I78" s="55"/>
      <c r="J78" s="9"/>
    </row>
    <row r="79" spans="1:10" ht="30" customHeight="1" x14ac:dyDescent="0.3">
      <c r="A79" s="8"/>
      <c r="B79" s="8"/>
      <c r="C79" s="8"/>
      <c r="D79" s="27"/>
      <c r="E79" s="6"/>
      <c r="F79" s="23"/>
      <c r="G79" s="21"/>
      <c r="H79" s="21"/>
      <c r="I79" s="55"/>
      <c r="J79" s="9"/>
    </row>
    <row r="80" spans="1:10" ht="30" customHeight="1" x14ac:dyDescent="0.3">
      <c r="A80" s="8"/>
      <c r="B80" s="8"/>
      <c r="C80" s="8"/>
      <c r="D80" s="27"/>
      <c r="E80" s="6"/>
      <c r="F80" s="8"/>
      <c r="G80" s="21"/>
      <c r="H80" s="21"/>
      <c r="I80" s="55"/>
      <c r="J80" s="9"/>
    </row>
    <row r="81" spans="1:10" ht="30" customHeight="1" x14ac:dyDescent="0.3">
      <c r="A81" s="7"/>
      <c r="B81" s="8"/>
      <c r="C81" s="8"/>
      <c r="D81" s="27"/>
      <c r="E81" s="6"/>
      <c r="F81" s="8"/>
      <c r="G81" s="21"/>
      <c r="H81" s="21"/>
      <c r="I81" s="55"/>
      <c r="J81" s="9"/>
    </row>
    <row r="82" spans="1:10" ht="30" customHeight="1" x14ac:dyDescent="0.3">
      <c r="A82" s="8"/>
      <c r="B82" s="8"/>
      <c r="C82" s="8"/>
      <c r="D82" s="27"/>
      <c r="E82" s="6"/>
      <c r="F82" s="8"/>
      <c r="G82" s="21"/>
      <c r="H82" s="21"/>
      <c r="I82" s="55"/>
      <c r="J82" s="9"/>
    </row>
    <row r="83" spans="1:10" ht="30" customHeight="1" x14ac:dyDescent="0.3">
      <c r="A83" s="8"/>
      <c r="B83" s="8"/>
      <c r="C83" s="8"/>
      <c r="D83" s="27"/>
      <c r="E83" s="6"/>
      <c r="F83" s="23"/>
      <c r="G83" s="21"/>
      <c r="H83" s="21"/>
      <c r="I83" s="55"/>
      <c r="J83" s="9"/>
    </row>
    <row r="84" spans="1:10" ht="30" customHeight="1" x14ac:dyDescent="0.3">
      <c r="A84" s="8"/>
      <c r="B84" s="8"/>
      <c r="C84" s="8"/>
      <c r="D84" s="27"/>
      <c r="E84" s="6"/>
      <c r="F84" s="8"/>
      <c r="G84" s="21"/>
      <c r="H84" s="21"/>
      <c r="I84" s="55"/>
      <c r="J84" s="9"/>
    </row>
    <row r="85" spans="1:10" ht="30" customHeight="1" x14ac:dyDescent="0.3">
      <c r="A85" s="8"/>
      <c r="B85" s="8"/>
      <c r="C85" s="8"/>
      <c r="D85" s="27"/>
      <c r="E85" s="6"/>
      <c r="F85" s="23"/>
      <c r="G85" s="21"/>
      <c r="H85" s="21"/>
      <c r="I85" s="55"/>
      <c r="J85" s="9"/>
    </row>
    <row r="86" spans="1:10" ht="30" customHeight="1" x14ac:dyDescent="0.3">
      <c r="A86" s="8"/>
      <c r="B86" s="8"/>
      <c r="C86" s="8"/>
      <c r="D86" s="27"/>
      <c r="E86" s="6"/>
      <c r="F86" s="23"/>
      <c r="G86" s="21"/>
      <c r="H86" s="21"/>
      <c r="I86" s="55"/>
      <c r="J86" s="9"/>
    </row>
    <row r="87" spans="1:10" ht="30" customHeight="1" x14ac:dyDescent="0.3">
      <c r="A87" s="8"/>
      <c r="B87" s="8"/>
      <c r="C87" s="8"/>
      <c r="D87" s="27"/>
      <c r="E87" s="6"/>
      <c r="F87" s="8"/>
      <c r="G87" s="21"/>
      <c r="H87" s="21"/>
      <c r="I87" s="55"/>
      <c r="J87" s="9"/>
    </row>
    <row r="88" spans="1:10" ht="30" customHeight="1" x14ac:dyDescent="0.3">
      <c r="A88" s="8"/>
      <c r="B88" s="8"/>
      <c r="C88" s="8"/>
      <c r="D88" s="27"/>
      <c r="E88" s="6"/>
      <c r="F88" s="8"/>
      <c r="G88" s="21"/>
      <c r="H88" s="21"/>
      <c r="I88" s="55"/>
      <c r="J88" s="9"/>
    </row>
    <row r="89" spans="1:10" ht="30" customHeight="1" x14ac:dyDescent="0.3">
      <c r="A89" s="8"/>
      <c r="B89" s="8"/>
      <c r="C89" s="8"/>
      <c r="D89" s="27"/>
      <c r="E89" s="6"/>
      <c r="F89" s="8"/>
      <c r="G89" s="21"/>
      <c r="H89" s="21"/>
      <c r="I89" s="55"/>
      <c r="J89" s="9"/>
    </row>
    <row r="90" spans="1:10" ht="30" customHeight="1" x14ac:dyDescent="0.3">
      <c r="A90" s="8"/>
      <c r="B90" s="8"/>
      <c r="C90" s="8"/>
      <c r="D90" s="27"/>
      <c r="E90" s="6"/>
      <c r="F90" s="8"/>
      <c r="G90" s="21"/>
      <c r="H90" s="21"/>
      <c r="I90" s="55"/>
      <c r="J90" s="9"/>
    </row>
    <row r="91" spans="1:10" ht="30" customHeight="1" x14ac:dyDescent="0.3">
      <c r="A91" s="8"/>
      <c r="B91" s="8"/>
      <c r="C91" s="8"/>
      <c r="D91" s="27"/>
      <c r="E91" s="6"/>
      <c r="F91" s="8"/>
      <c r="G91" s="21"/>
      <c r="H91" s="21"/>
      <c r="I91" s="55"/>
      <c r="J91" s="9"/>
    </row>
    <row r="92" spans="1:10" ht="30" customHeight="1" x14ac:dyDescent="0.3">
      <c r="A92" s="7"/>
      <c r="B92" s="8"/>
      <c r="C92" s="8"/>
      <c r="D92" s="27"/>
      <c r="E92" s="6"/>
      <c r="F92" s="8"/>
      <c r="G92" s="21"/>
      <c r="H92" s="21"/>
      <c r="I92" s="55"/>
      <c r="J92" s="9"/>
    </row>
    <row r="93" spans="1:10" ht="30" customHeight="1" x14ac:dyDescent="0.3">
      <c r="A93" s="8"/>
      <c r="B93" s="8"/>
      <c r="C93" s="8"/>
      <c r="D93" s="27"/>
      <c r="E93" s="6"/>
      <c r="F93" s="23"/>
      <c r="G93" s="21"/>
      <c r="H93" s="21"/>
      <c r="I93" s="55"/>
      <c r="J93" s="9"/>
    </row>
    <row r="94" spans="1:10" ht="30" customHeight="1" x14ac:dyDescent="0.3">
      <c r="A94" s="8"/>
      <c r="B94" s="8"/>
      <c r="C94" s="8"/>
      <c r="D94" s="27"/>
      <c r="E94" s="6"/>
      <c r="F94" s="23"/>
      <c r="G94" s="21"/>
      <c r="H94" s="21"/>
      <c r="I94" s="55"/>
      <c r="J94" s="9"/>
    </row>
    <row r="95" spans="1:10" ht="30" customHeight="1" x14ac:dyDescent="0.3">
      <c r="A95" s="8"/>
      <c r="B95" s="8"/>
      <c r="C95" s="8"/>
      <c r="D95" s="27"/>
      <c r="E95" s="6"/>
      <c r="F95" s="8"/>
      <c r="G95" s="21"/>
      <c r="H95" s="21"/>
      <c r="I95" s="55"/>
      <c r="J95" s="9"/>
    </row>
    <row r="96" spans="1:10" ht="30" customHeight="1" x14ac:dyDescent="0.3">
      <c r="A96" s="8"/>
      <c r="B96" s="8"/>
      <c r="C96" s="8"/>
      <c r="D96" s="27"/>
      <c r="E96" s="6"/>
      <c r="F96" s="23"/>
      <c r="G96" s="21"/>
      <c r="H96" s="21"/>
      <c r="I96" s="55"/>
      <c r="J96" s="9"/>
    </row>
    <row r="97" spans="1:10" ht="30" customHeight="1" x14ac:dyDescent="0.3">
      <c r="A97" s="8"/>
      <c r="B97" s="8"/>
      <c r="C97" s="8"/>
      <c r="D97" s="27"/>
      <c r="E97" s="6"/>
      <c r="F97" s="8"/>
      <c r="G97" s="21"/>
      <c r="H97" s="21"/>
      <c r="I97" s="55"/>
      <c r="J97" s="9"/>
    </row>
    <row r="98" spans="1:10" ht="30" customHeight="1" x14ac:dyDescent="0.3">
      <c r="A98" s="8"/>
      <c r="B98" s="7"/>
      <c r="C98" s="8"/>
      <c r="D98" s="27"/>
      <c r="E98" s="6"/>
      <c r="F98" s="23"/>
      <c r="G98" s="21"/>
      <c r="H98" s="21"/>
      <c r="I98" s="55"/>
      <c r="J98" s="9"/>
    </row>
    <row r="99" spans="1:10" ht="30" customHeight="1" x14ac:dyDescent="0.3">
      <c r="A99" s="5"/>
      <c r="B99" s="3"/>
      <c r="C99" s="8"/>
      <c r="D99" s="27"/>
      <c r="E99" s="6"/>
      <c r="F99" s="23"/>
      <c r="G99" s="21"/>
      <c r="H99" s="21"/>
      <c r="I99" s="55"/>
      <c r="J99" s="9"/>
    </row>
    <row r="100" spans="1:10" ht="30" customHeight="1" x14ac:dyDescent="0.3">
      <c r="A100" s="5"/>
      <c r="B100" s="3"/>
      <c r="C100" s="8"/>
      <c r="D100" s="27"/>
      <c r="E100" s="31"/>
      <c r="F100" s="8"/>
      <c r="G100" s="21"/>
      <c r="H100" s="21"/>
      <c r="I100" s="55"/>
      <c r="J100" s="9"/>
    </row>
    <row r="101" spans="1:10" ht="30" customHeight="1" x14ac:dyDescent="0.3">
      <c r="A101" s="5"/>
      <c r="B101" s="3"/>
      <c r="C101" s="8"/>
      <c r="D101" s="27"/>
      <c r="E101" s="6"/>
      <c r="F101" s="8"/>
      <c r="G101" s="21"/>
      <c r="H101" s="21"/>
      <c r="I101" s="55"/>
      <c r="J101" s="9"/>
    </row>
    <row r="102" spans="1:10" ht="30" customHeight="1" x14ac:dyDescent="0.3">
      <c r="A102" s="5"/>
      <c r="B102" s="3"/>
      <c r="C102" s="8"/>
      <c r="D102" s="27"/>
      <c r="E102" s="6"/>
      <c r="F102" s="23"/>
      <c r="G102" s="21"/>
      <c r="H102" s="21"/>
      <c r="I102" s="55"/>
      <c r="J102" s="9"/>
    </row>
    <row r="103" spans="1:10" ht="30" customHeight="1" x14ac:dyDescent="0.3">
      <c r="A103" s="5"/>
      <c r="B103" s="3"/>
      <c r="C103" s="8"/>
      <c r="D103" s="27"/>
      <c r="E103" s="6"/>
      <c r="F103" s="8"/>
      <c r="G103" s="21"/>
      <c r="H103" s="21"/>
      <c r="I103" s="55"/>
      <c r="J103" s="9"/>
    </row>
    <row r="104" spans="1:10" ht="30" customHeight="1" x14ac:dyDescent="0.3">
      <c r="A104" s="5"/>
      <c r="B104" s="3"/>
      <c r="C104" s="8"/>
      <c r="D104" s="27"/>
      <c r="E104" s="6"/>
      <c r="F104" s="8"/>
      <c r="G104" s="21"/>
      <c r="H104" s="21"/>
      <c r="I104" s="55"/>
      <c r="J104" s="9"/>
    </row>
    <row r="105" spans="1:10" ht="30" customHeight="1" x14ac:dyDescent="0.3">
      <c r="A105" s="5"/>
      <c r="B105" s="3"/>
      <c r="C105" s="8"/>
      <c r="D105" s="27"/>
      <c r="E105" s="6"/>
      <c r="F105" s="23"/>
      <c r="G105" s="21"/>
      <c r="H105" s="21"/>
      <c r="I105" s="55"/>
      <c r="J105" s="9"/>
    </row>
    <row r="106" spans="1:10" ht="30" customHeight="1" x14ac:dyDescent="0.3">
      <c r="A106" s="5"/>
      <c r="B106" s="3"/>
      <c r="C106" s="8"/>
      <c r="D106" s="27"/>
      <c r="E106" s="6"/>
      <c r="F106" s="8"/>
      <c r="G106" s="21"/>
      <c r="H106" s="21"/>
      <c r="I106" s="55"/>
      <c r="J106" s="9"/>
    </row>
    <row r="107" spans="1:10" ht="30" customHeight="1" x14ac:dyDescent="0.3">
      <c r="A107" s="5"/>
      <c r="B107" s="3"/>
      <c r="C107" s="8"/>
      <c r="D107" s="27"/>
      <c r="E107" s="6"/>
      <c r="F107" s="8"/>
      <c r="G107" s="21"/>
      <c r="H107" s="21"/>
      <c r="I107" s="55"/>
      <c r="J107" s="9"/>
    </row>
    <row r="108" spans="1:10" ht="30" customHeight="1" x14ac:dyDescent="0.3">
      <c r="A108" s="64"/>
      <c r="B108" s="3"/>
      <c r="C108" s="8"/>
      <c r="D108" s="27"/>
      <c r="E108" s="6"/>
      <c r="F108" s="23"/>
      <c r="G108" s="21"/>
      <c r="H108" s="21"/>
      <c r="I108" s="55"/>
      <c r="J108" s="9"/>
    </row>
    <row r="109" spans="1:10" ht="30" customHeight="1" x14ac:dyDescent="0.3">
      <c r="A109" s="5"/>
      <c r="B109" s="3"/>
      <c r="C109" s="8"/>
      <c r="D109" s="27"/>
      <c r="E109" s="6"/>
      <c r="F109" s="23"/>
      <c r="G109" s="21"/>
      <c r="H109" s="21"/>
      <c r="I109" s="55"/>
      <c r="J109" s="9"/>
    </row>
    <row r="110" spans="1:10" ht="30" customHeight="1" x14ac:dyDescent="0.3">
      <c r="A110" s="5"/>
      <c r="B110" s="3"/>
      <c r="C110" s="8"/>
      <c r="D110" s="27"/>
      <c r="E110" s="6"/>
      <c r="F110" s="8"/>
      <c r="G110" s="21"/>
      <c r="H110" s="21"/>
      <c r="I110" s="55"/>
      <c r="J110" s="9"/>
    </row>
    <row r="111" spans="1:10" ht="30" customHeight="1" x14ac:dyDescent="0.3">
      <c r="A111" s="5"/>
      <c r="B111" s="3"/>
      <c r="C111" s="8"/>
      <c r="D111" s="27"/>
      <c r="E111" s="6"/>
      <c r="F111" s="8"/>
      <c r="G111" s="21"/>
      <c r="H111" s="21"/>
      <c r="I111" s="55"/>
      <c r="J111" s="9"/>
    </row>
    <row r="112" spans="1:10" ht="30" customHeight="1" x14ac:dyDescent="0.3">
      <c r="A112" s="5"/>
      <c r="B112" s="3"/>
      <c r="C112" s="8"/>
      <c r="D112" s="27"/>
      <c r="E112" s="6"/>
      <c r="F112" s="8"/>
      <c r="G112" s="21"/>
      <c r="H112" s="21"/>
      <c r="I112" s="55"/>
      <c r="J112" s="9"/>
    </row>
    <row r="113" spans="1:10" ht="30" customHeight="1" x14ac:dyDescent="0.3">
      <c r="A113" s="5"/>
      <c r="B113" s="3"/>
      <c r="C113" s="8"/>
      <c r="D113" s="27"/>
      <c r="E113" s="6"/>
      <c r="F113" s="8"/>
      <c r="G113" s="21"/>
      <c r="H113" s="21"/>
      <c r="I113" s="55"/>
      <c r="J113" s="9"/>
    </row>
    <row r="114" spans="1:10" ht="30" customHeight="1" x14ac:dyDescent="0.3">
      <c r="A114" s="5"/>
      <c r="B114" s="3"/>
      <c r="C114" s="8"/>
      <c r="D114" s="27"/>
      <c r="E114" s="6"/>
      <c r="F114" s="8"/>
      <c r="G114" s="21"/>
      <c r="H114" s="21"/>
      <c r="I114" s="55"/>
      <c r="J114" s="9"/>
    </row>
    <row r="115" spans="1:10" ht="30" customHeight="1" x14ac:dyDescent="0.3">
      <c r="A115" s="5"/>
      <c r="B115" s="3"/>
      <c r="C115" s="8"/>
      <c r="D115" s="27"/>
      <c r="E115" s="6"/>
      <c r="F115" s="8"/>
      <c r="G115" s="21"/>
      <c r="H115" s="21"/>
      <c r="I115" s="55"/>
      <c r="J115" s="9"/>
    </row>
    <row r="116" spans="1:10" ht="30" customHeight="1" x14ac:dyDescent="0.3">
      <c r="A116" s="5"/>
      <c r="B116" s="3"/>
      <c r="C116" s="8"/>
      <c r="D116" s="27"/>
      <c r="E116" s="6"/>
      <c r="F116" s="8"/>
      <c r="G116" s="21"/>
      <c r="H116" s="21"/>
      <c r="I116" s="55"/>
      <c r="J116" s="9"/>
    </row>
    <row r="117" spans="1:10" ht="30" customHeight="1" x14ac:dyDescent="0.3">
      <c r="A117" s="5"/>
      <c r="B117" s="3"/>
      <c r="C117" s="8"/>
      <c r="D117" s="27"/>
      <c r="E117" s="6"/>
      <c r="F117" s="8"/>
      <c r="G117" s="21"/>
      <c r="H117" s="21"/>
      <c r="I117" s="55"/>
      <c r="J117" s="9"/>
    </row>
    <row r="118" spans="1:10" ht="30" customHeight="1" x14ac:dyDescent="0.3">
      <c r="A118" s="5"/>
      <c r="B118" s="3"/>
      <c r="C118" s="8"/>
      <c r="D118" s="27"/>
      <c r="E118" s="6"/>
      <c r="F118" s="8"/>
      <c r="G118" s="21"/>
      <c r="H118" s="21"/>
      <c r="I118" s="55"/>
      <c r="J118" s="9"/>
    </row>
    <row r="119" spans="1:10" ht="30" customHeight="1" x14ac:dyDescent="0.3">
      <c r="A119" s="5"/>
      <c r="B119" s="3"/>
      <c r="C119" s="8"/>
      <c r="D119" s="27"/>
      <c r="E119" s="6"/>
      <c r="F119" s="23"/>
      <c r="G119" s="21"/>
      <c r="H119" s="21"/>
      <c r="I119" s="55"/>
      <c r="J119" s="9"/>
    </row>
    <row r="120" spans="1:10" ht="30" customHeight="1" x14ac:dyDescent="0.3">
      <c r="A120" s="5"/>
      <c r="B120" s="3"/>
      <c r="C120" s="8"/>
      <c r="D120" s="27"/>
      <c r="E120" s="6"/>
      <c r="F120" s="8"/>
      <c r="G120" s="21"/>
      <c r="H120" s="21"/>
      <c r="I120" s="55"/>
      <c r="J120" s="9"/>
    </row>
    <row r="121" spans="1:10" ht="30" customHeight="1" x14ac:dyDescent="0.3">
      <c r="A121" s="5"/>
      <c r="B121" s="3"/>
      <c r="C121" s="8"/>
      <c r="D121" s="27"/>
      <c r="E121" s="6"/>
      <c r="F121" s="8"/>
      <c r="G121" s="21"/>
      <c r="H121" s="21"/>
      <c r="I121" s="55"/>
      <c r="J121" s="9"/>
    </row>
    <row r="122" spans="1:10" ht="30" customHeight="1" x14ac:dyDescent="0.3">
      <c r="A122" s="5"/>
      <c r="B122" s="3"/>
      <c r="C122" s="8"/>
      <c r="D122" s="27"/>
      <c r="E122" s="6"/>
      <c r="F122" s="8"/>
      <c r="G122" s="21"/>
      <c r="H122" s="21"/>
      <c r="I122" s="55"/>
      <c r="J122" s="9"/>
    </row>
    <row r="123" spans="1:10" ht="30" customHeight="1" x14ac:dyDescent="0.3">
      <c r="A123" s="5"/>
      <c r="B123" s="3"/>
      <c r="C123" s="8"/>
      <c r="D123" s="27"/>
      <c r="E123" s="6"/>
      <c r="F123" s="8"/>
      <c r="G123" s="21"/>
      <c r="H123" s="21"/>
      <c r="I123" s="55"/>
      <c r="J123" s="9"/>
    </row>
    <row r="124" spans="1:10" ht="30" customHeight="1" x14ac:dyDescent="0.3">
      <c r="A124" s="5"/>
      <c r="B124" s="3"/>
      <c r="C124" s="8"/>
      <c r="D124" s="27"/>
      <c r="E124" s="6"/>
      <c r="F124" s="23"/>
      <c r="G124" s="25"/>
      <c r="H124" s="21"/>
      <c r="I124" s="55"/>
      <c r="J124" s="9"/>
    </row>
    <row r="125" spans="1:10" ht="30" customHeight="1" x14ac:dyDescent="0.3">
      <c r="A125" s="5"/>
      <c r="B125" s="3"/>
      <c r="C125" s="8"/>
      <c r="D125" s="27"/>
      <c r="E125" s="6"/>
      <c r="F125" s="23"/>
      <c r="G125" s="21"/>
      <c r="H125" s="21"/>
      <c r="I125" s="55"/>
      <c r="J125" s="9"/>
    </row>
    <row r="126" spans="1:10" ht="30" customHeight="1" x14ac:dyDescent="0.3">
      <c r="A126" s="5"/>
      <c r="B126" s="3"/>
      <c r="C126" s="8"/>
      <c r="D126" s="27"/>
      <c r="E126" s="8"/>
      <c r="F126" s="8"/>
      <c r="G126" s="21"/>
      <c r="H126" s="21"/>
      <c r="I126" s="55"/>
      <c r="J126" s="9"/>
    </row>
    <row r="127" spans="1:10" ht="30" customHeight="1" x14ac:dyDescent="0.3">
      <c r="A127" s="5"/>
      <c r="B127" s="3"/>
      <c r="C127" s="8"/>
      <c r="D127" s="27"/>
      <c r="E127" s="6"/>
      <c r="F127" s="8"/>
      <c r="G127" s="21"/>
      <c r="H127" s="21"/>
      <c r="I127" s="55"/>
      <c r="J127" s="9"/>
    </row>
    <row r="128" spans="1:10" ht="30" customHeight="1" x14ac:dyDescent="0.3">
      <c r="A128" s="5"/>
      <c r="B128" s="3"/>
      <c r="C128" s="8"/>
      <c r="D128" s="27"/>
      <c r="E128" s="6"/>
      <c r="F128" s="8"/>
      <c r="G128" s="21"/>
      <c r="H128" s="21"/>
      <c r="I128" s="55"/>
      <c r="J128" s="9"/>
    </row>
    <row r="129" spans="1:10" ht="30" customHeight="1" x14ac:dyDescent="0.3">
      <c r="A129" s="5"/>
      <c r="B129" s="3"/>
      <c r="C129" s="8"/>
      <c r="D129" s="27"/>
      <c r="E129" s="6"/>
      <c r="F129" s="23"/>
      <c r="G129" s="21"/>
      <c r="H129" s="21"/>
      <c r="I129" s="55"/>
      <c r="J129" s="9"/>
    </row>
    <row r="130" spans="1:10" ht="30" customHeight="1" x14ac:dyDescent="0.3">
      <c r="A130" s="5"/>
      <c r="B130" s="3"/>
      <c r="C130" s="8"/>
      <c r="D130" s="27"/>
      <c r="E130" s="6"/>
      <c r="F130" s="8"/>
      <c r="G130" s="21"/>
      <c r="H130" s="21"/>
      <c r="I130" s="55"/>
      <c r="J130" s="9"/>
    </row>
    <row r="131" spans="1:10" ht="30" customHeight="1" x14ac:dyDescent="0.3">
      <c r="A131" s="5"/>
      <c r="B131" s="3"/>
      <c r="C131" s="8"/>
      <c r="D131" s="27"/>
      <c r="E131" s="27"/>
      <c r="F131" s="8"/>
      <c r="G131" s="21"/>
      <c r="H131" s="21"/>
      <c r="I131" s="55"/>
      <c r="J131" s="9"/>
    </row>
    <row r="132" spans="1:10" ht="30" customHeight="1" x14ac:dyDescent="0.3">
      <c r="A132" s="5"/>
      <c r="B132" s="3"/>
      <c r="C132" s="8"/>
      <c r="D132" s="27"/>
      <c r="E132" s="6"/>
      <c r="F132" s="8"/>
      <c r="G132" s="21"/>
      <c r="H132" s="21"/>
      <c r="I132" s="55"/>
      <c r="J132" s="9"/>
    </row>
    <row r="133" spans="1:10" ht="30" customHeight="1" x14ac:dyDescent="0.3">
      <c r="A133" s="5"/>
      <c r="B133" s="3"/>
      <c r="C133" s="8"/>
      <c r="D133" s="27"/>
      <c r="E133" s="6"/>
      <c r="F133" s="8"/>
      <c r="G133" s="21"/>
      <c r="H133" s="21"/>
      <c r="I133" s="55"/>
      <c r="J133" s="9"/>
    </row>
    <row r="134" spans="1:10" ht="30" customHeight="1" x14ac:dyDescent="0.3">
      <c r="A134" s="5"/>
      <c r="B134" s="3"/>
      <c r="C134" s="8"/>
      <c r="D134" s="27"/>
      <c r="E134" s="6"/>
      <c r="F134" s="8"/>
      <c r="G134" s="21"/>
      <c r="H134" s="21"/>
      <c r="I134" s="55"/>
      <c r="J134" s="9"/>
    </row>
    <row r="135" spans="1:10" ht="30" customHeight="1" x14ac:dyDescent="0.3">
      <c r="A135" s="5"/>
      <c r="B135" s="3"/>
      <c r="C135" s="8"/>
      <c r="D135" s="27"/>
      <c r="E135" s="6"/>
      <c r="F135" s="23"/>
      <c r="G135" s="21"/>
      <c r="H135" s="21"/>
      <c r="I135" s="55"/>
      <c r="J135" s="9"/>
    </row>
    <row r="136" spans="1:10" ht="30" customHeight="1" x14ac:dyDescent="0.3">
      <c r="A136" s="5"/>
      <c r="B136" s="3"/>
      <c r="C136" s="8"/>
      <c r="D136" s="27"/>
      <c r="E136" s="6"/>
      <c r="F136" s="8"/>
      <c r="G136" s="21"/>
      <c r="H136" s="21"/>
      <c r="I136" s="55"/>
      <c r="J136" s="9"/>
    </row>
    <row r="137" spans="1:10" ht="30" customHeight="1" x14ac:dyDescent="0.3">
      <c r="A137" s="5"/>
      <c r="B137" s="3"/>
      <c r="C137" s="8"/>
      <c r="D137" s="27"/>
      <c r="E137" s="6"/>
      <c r="F137" s="8"/>
      <c r="G137" s="21"/>
      <c r="H137" s="21"/>
      <c r="I137" s="55"/>
      <c r="J137" s="9"/>
    </row>
    <row r="138" spans="1:10" ht="30" customHeight="1" x14ac:dyDescent="0.3">
      <c r="A138" s="5"/>
      <c r="B138" s="3"/>
      <c r="C138" s="8"/>
      <c r="D138" s="27"/>
      <c r="E138" s="6"/>
      <c r="F138" s="8"/>
      <c r="G138" s="21"/>
      <c r="H138" s="21"/>
      <c r="I138" s="55"/>
      <c r="J138" s="9"/>
    </row>
    <row r="139" spans="1:10" ht="30" customHeight="1" x14ac:dyDescent="0.3">
      <c r="A139" s="5"/>
      <c r="B139" s="3"/>
      <c r="C139" s="8"/>
      <c r="D139" s="27"/>
      <c r="E139" s="6"/>
      <c r="F139" s="23"/>
      <c r="G139" s="21"/>
      <c r="H139" s="21"/>
      <c r="I139" s="55"/>
      <c r="J139" s="9"/>
    </row>
    <row r="140" spans="1:10" ht="30" customHeight="1" x14ac:dyDescent="0.3">
      <c r="A140" s="5"/>
      <c r="B140" s="3"/>
      <c r="C140" s="8"/>
      <c r="D140" s="27"/>
      <c r="E140" s="6"/>
      <c r="F140" s="23"/>
      <c r="G140" s="21"/>
      <c r="H140" s="21"/>
      <c r="I140" s="55"/>
      <c r="J140" s="9"/>
    </row>
    <row r="141" spans="1:10" ht="30" customHeight="1" x14ac:dyDescent="0.3">
      <c r="A141" s="5"/>
      <c r="B141" s="3"/>
      <c r="C141" s="8"/>
      <c r="D141" s="27"/>
      <c r="E141" s="6"/>
      <c r="F141" s="8"/>
      <c r="G141" s="21"/>
      <c r="H141" s="21"/>
      <c r="I141" s="55"/>
      <c r="J141" s="9"/>
    </row>
    <row r="142" spans="1:10" ht="30" customHeight="1" x14ac:dyDescent="0.3">
      <c r="A142" s="5"/>
      <c r="B142" s="3"/>
      <c r="C142" s="8"/>
      <c r="D142" s="27"/>
      <c r="E142" s="6"/>
      <c r="F142" s="8"/>
      <c r="G142" s="21"/>
      <c r="H142" s="21"/>
      <c r="I142" s="55"/>
      <c r="J142" s="9"/>
    </row>
    <row r="143" spans="1:10" ht="30" customHeight="1" x14ac:dyDescent="0.3">
      <c r="A143" s="5"/>
      <c r="B143" s="3"/>
      <c r="C143" s="8"/>
      <c r="D143" s="27"/>
      <c r="E143" s="6"/>
      <c r="F143" s="8"/>
      <c r="G143" s="21"/>
      <c r="H143" s="21"/>
      <c r="I143" s="55"/>
      <c r="J143" s="9"/>
    </row>
    <row r="144" spans="1:10" ht="30" customHeight="1" x14ac:dyDescent="0.3">
      <c r="A144" s="5"/>
      <c r="B144" s="3"/>
      <c r="C144" s="8"/>
      <c r="D144" s="27"/>
      <c r="E144" s="6"/>
      <c r="F144" s="8"/>
      <c r="G144" s="21"/>
      <c r="H144" s="21"/>
      <c r="I144" s="55" t="s">
        <v>407</v>
      </c>
      <c r="J144" s="9"/>
    </row>
    <row r="145" spans="1:10" ht="30" customHeight="1" x14ac:dyDescent="0.3">
      <c r="A145" s="5"/>
      <c r="B145" s="3"/>
      <c r="C145" s="8"/>
      <c r="D145" s="27"/>
      <c r="E145" s="6"/>
      <c r="F145" s="8"/>
      <c r="G145" s="21"/>
      <c r="H145" s="21"/>
      <c r="I145" s="55"/>
      <c r="J145" s="9"/>
    </row>
    <row r="146" spans="1:10" ht="30" customHeight="1" x14ac:dyDescent="0.3">
      <c r="A146" s="5"/>
      <c r="B146" s="3"/>
      <c r="C146" s="8"/>
      <c r="D146" s="27"/>
      <c r="E146" s="6"/>
      <c r="F146" s="8"/>
      <c r="G146" s="21"/>
      <c r="H146" s="21"/>
      <c r="I146" s="55"/>
      <c r="J146" s="9"/>
    </row>
    <row r="147" spans="1:10" ht="30" customHeight="1" x14ac:dyDescent="0.3">
      <c r="A147" s="5"/>
      <c r="B147" s="3"/>
      <c r="C147" s="8"/>
      <c r="D147" s="27"/>
      <c r="E147" s="6"/>
      <c r="F147" s="8"/>
      <c r="G147" s="21"/>
      <c r="H147" s="21"/>
      <c r="I147" s="55"/>
      <c r="J147" s="9"/>
    </row>
    <row r="148" spans="1:10" ht="30" customHeight="1" x14ac:dyDescent="0.3">
      <c r="A148" s="5"/>
      <c r="B148" s="3"/>
      <c r="C148" s="8"/>
      <c r="D148" s="27"/>
      <c r="E148" s="6"/>
      <c r="F148" s="6"/>
      <c r="G148" s="21"/>
      <c r="H148" s="21"/>
      <c r="I148" s="55"/>
      <c r="J148" s="9"/>
    </row>
    <row r="149" spans="1:10" ht="30" customHeight="1" x14ac:dyDescent="0.3">
      <c r="A149" s="5"/>
      <c r="B149" s="3"/>
      <c r="C149" s="8"/>
      <c r="D149" s="27"/>
      <c r="E149" s="6"/>
      <c r="F149" s="8"/>
      <c r="G149" s="21"/>
      <c r="H149" s="21"/>
      <c r="I149" s="55"/>
      <c r="J149" s="9"/>
    </row>
    <row r="150" spans="1:10" ht="30" customHeight="1" x14ac:dyDescent="0.3">
      <c r="A150" s="5"/>
      <c r="B150" s="3"/>
      <c r="C150" s="8"/>
      <c r="D150" s="27"/>
      <c r="E150" s="6"/>
      <c r="F150" s="8"/>
      <c r="G150" s="21"/>
      <c r="H150" s="21"/>
      <c r="I150" s="55"/>
      <c r="J150" s="9"/>
    </row>
    <row r="151" spans="1:10" ht="30" customHeight="1" x14ac:dyDescent="0.3">
      <c r="A151" s="5"/>
      <c r="B151" s="3"/>
      <c r="C151" s="8"/>
      <c r="D151" s="27"/>
      <c r="E151" s="6"/>
      <c r="F151" s="8"/>
      <c r="G151" s="21"/>
      <c r="H151" s="21"/>
      <c r="I151" s="55"/>
      <c r="J151" s="9"/>
    </row>
    <row r="152" spans="1:10" ht="30" customHeight="1" x14ac:dyDescent="0.3">
      <c r="A152" s="5"/>
      <c r="B152" s="3"/>
      <c r="C152" s="8"/>
      <c r="D152" s="27"/>
      <c r="E152" s="6"/>
      <c r="F152" s="8"/>
      <c r="G152" s="3"/>
      <c r="H152" s="3"/>
      <c r="I152" s="55"/>
      <c r="J152" s="9"/>
    </row>
    <row r="153" spans="1:10" ht="30" customHeight="1" x14ac:dyDescent="0.3">
      <c r="A153" s="5"/>
      <c r="B153" s="3"/>
      <c r="C153" s="8"/>
      <c r="D153" s="27"/>
      <c r="E153" s="6"/>
      <c r="F153" s="8"/>
      <c r="G153" s="3"/>
      <c r="H153" s="3"/>
      <c r="I153" s="55"/>
      <c r="J153" s="9"/>
    </row>
    <row r="154" spans="1:10" ht="30" customHeight="1" x14ac:dyDescent="0.3">
      <c r="A154" s="5"/>
      <c r="B154" s="3"/>
      <c r="C154" s="8"/>
      <c r="D154" s="27"/>
      <c r="E154" s="6"/>
      <c r="F154" s="23"/>
      <c r="G154" s="3"/>
      <c r="H154" s="3"/>
      <c r="I154" s="55"/>
      <c r="J154" s="9"/>
    </row>
    <row r="155" spans="1:10" ht="30" customHeight="1" x14ac:dyDescent="0.3">
      <c r="A155" s="5"/>
      <c r="B155" s="3"/>
      <c r="C155" s="8"/>
      <c r="D155" s="27"/>
      <c r="E155" s="6"/>
      <c r="F155" s="23"/>
      <c r="G155" s="21"/>
      <c r="H155" s="25"/>
      <c r="I155" s="55"/>
      <c r="J155" s="9"/>
    </row>
    <row r="156" spans="1:10" ht="30" customHeight="1" x14ac:dyDescent="0.3">
      <c r="A156" s="5"/>
      <c r="B156" s="3"/>
      <c r="C156" s="8"/>
      <c r="D156" s="27"/>
      <c r="E156" s="6"/>
      <c r="F156" s="8"/>
      <c r="G156" s="3"/>
      <c r="H156" s="3"/>
      <c r="I156" s="55"/>
      <c r="J156" s="9"/>
    </row>
    <row r="157" spans="1:10" ht="30" customHeight="1" x14ac:dyDescent="0.3">
      <c r="A157" s="5"/>
      <c r="B157" s="3"/>
      <c r="C157" s="8"/>
      <c r="D157" s="27"/>
      <c r="E157" s="6"/>
      <c r="F157" s="8"/>
      <c r="G157" s="3"/>
      <c r="H157" s="3"/>
      <c r="I157" s="55"/>
      <c r="J157" s="9"/>
    </row>
    <row r="158" spans="1:10" ht="30" customHeight="1" x14ac:dyDescent="0.3">
      <c r="A158" s="5"/>
      <c r="B158" s="3"/>
      <c r="C158" s="8"/>
      <c r="D158" s="27"/>
      <c r="E158" s="6"/>
      <c r="F158" s="8"/>
      <c r="G158" s="3"/>
      <c r="H158" s="3"/>
      <c r="I158" s="55"/>
      <c r="J158" s="9"/>
    </row>
    <row r="159" spans="1:10" ht="30" customHeight="1" x14ac:dyDescent="0.3">
      <c r="A159" s="5"/>
      <c r="B159" s="3"/>
      <c r="C159" s="8"/>
      <c r="D159" s="27"/>
      <c r="E159" s="6"/>
      <c r="F159" s="8"/>
      <c r="G159" s="3"/>
      <c r="H159" s="3"/>
      <c r="I159" s="55"/>
      <c r="J159" s="9"/>
    </row>
    <row r="160" spans="1:10" ht="30" customHeight="1" x14ac:dyDescent="0.3">
      <c r="A160" s="5"/>
      <c r="B160" s="3"/>
      <c r="C160" s="8"/>
      <c r="D160" s="27"/>
      <c r="E160" s="6"/>
      <c r="F160" s="8"/>
      <c r="G160" s="3"/>
      <c r="H160" s="3"/>
      <c r="I160" s="55"/>
      <c r="J160" s="9"/>
    </row>
    <row r="161" spans="1:10" ht="30" customHeight="1" x14ac:dyDescent="0.3">
      <c r="A161" s="5"/>
      <c r="B161" s="3"/>
      <c r="C161" s="8"/>
      <c r="D161" s="27"/>
      <c r="E161" s="6"/>
      <c r="F161" s="8"/>
      <c r="G161" s="3"/>
      <c r="H161" s="3"/>
      <c r="I161" s="55"/>
      <c r="J161" s="9"/>
    </row>
    <row r="162" spans="1:10" ht="30" customHeight="1" x14ac:dyDescent="0.3">
      <c r="A162" s="5"/>
      <c r="B162" s="3"/>
      <c r="C162" s="8"/>
      <c r="D162" s="27"/>
      <c r="E162" s="6"/>
      <c r="F162" s="8"/>
      <c r="G162" s="3"/>
      <c r="H162" s="3"/>
      <c r="I162" s="55"/>
      <c r="J162" s="9"/>
    </row>
    <row r="163" spans="1:10" ht="30" customHeight="1" x14ac:dyDescent="0.3">
      <c r="A163" s="5"/>
      <c r="B163" s="3"/>
      <c r="C163" s="8"/>
      <c r="D163" s="27"/>
      <c r="E163" s="6"/>
      <c r="F163" s="8"/>
      <c r="G163" s="3"/>
      <c r="H163" s="3"/>
      <c r="I163" s="55"/>
      <c r="J163" s="9"/>
    </row>
    <row r="164" spans="1:10" ht="30" customHeight="1" x14ac:dyDescent="0.3">
      <c r="A164" s="5"/>
      <c r="B164" s="3"/>
      <c r="C164" s="8"/>
      <c r="D164" s="27"/>
      <c r="E164" s="6"/>
      <c r="F164" s="8"/>
      <c r="G164" s="3"/>
      <c r="H164" s="3"/>
      <c r="I164" s="9"/>
    </row>
    <row r="165" spans="1:10" ht="30" customHeight="1" x14ac:dyDescent="0.3">
      <c r="A165" s="5"/>
      <c r="B165" s="3"/>
      <c r="C165" s="8"/>
      <c r="D165" s="27"/>
      <c r="E165" s="6"/>
      <c r="F165" s="8"/>
      <c r="G165" s="3"/>
      <c r="H165" s="3"/>
      <c r="I165" s="9"/>
    </row>
    <row r="166" spans="1:10" ht="30" customHeight="1" x14ac:dyDescent="0.3">
      <c r="A166" s="5"/>
      <c r="B166" s="3"/>
      <c r="C166" s="8"/>
      <c r="D166" s="27"/>
      <c r="E166" s="6"/>
      <c r="F166" s="8"/>
      <c r="G166" s="3"/>
      <c r="H166" s="3"/>
      <c r="I166" s="9"/>
    </row>
    <row r="167" spans="1:10" ht="30" customHeight="1" x14ac:dyDescent="0.3">
      <c r="A167" s="5"/>
      <c r="B167" s="3"/>
      <c r="C167" s="8"/>
      <c r="D167" s="27"/>
      <c r="E167" s="6"/>
      <c r="F167" s="8"/>
      <c r="G167" s="3"/>
      <c r="H167" s="3"/>
      <c r="I167" s="9"/>
    </row>
    <row r="168" spans="1:10" ht="30" customHeight="1" x14ac:dyDescent="0.3">
      <c r="A168" s="5"/>
      <c r="B168" s="3"/>
      <c r="C168" s="8"/>
      <c r="D168" s="27"/>
      <c r="E168" s="6"/>
      <c r="F168" s="8"/>
      <c r="G168" s="3"/>
      <c r="H168" s="3"/>
      <c r="I168" s="9"/>
    </row>
    <row r="169" spans="1:10" ht="30" customHeight="1" x14ac:dyDescent="0.3">
      <c r="A169" s="5"/>
      <c r="B169" s="3"/>
      <c r="C169" s="8"/>
      <c r="D169" s="27"/>
      <c r="E169" s="6"/>
      <c r="F169" s="8"/>
      <c r="G169" s="3"/>
      <c r="H169" s="3"/>
      <c r="I169" s="9"/>
    </row>
    <row r="170" spans="1:10" ht="30" customHeight="1" x14ac:dyDescent="0.3">
      <c r="A170" s="5"/>
      <c r="B170" s="3"/>
      <c r="C170" s="8"/>
      <c r="D170" s="27"/>
      <c r="E170" s="6"/>
      <c r="F170" s="8"/>
      <c r="G170" s="3"/>
      <c r="H170" s="3"/>
      <c r="I170" s="9"/>
    </row>
    <row r="171" spans="1:10" ht="30" customHeight="1" x14ac:dyDescent="0.3">
      <c r="A171" s="5"/>
      <c r="B171" s="3"/>
      <c r="C171" s="8"/>
      <c r="D171" s="27"/>
      <c r="E171" s="6"/>
      <c r="F171" s="8"/>
      <c r="G171" s="3"/>
      <c r="H171" s="3"/>
      <c r="I171" s="9"/>
    </row>
    <row r="172" spans="1:10" ht="30" customHeight="1" x14ac:dyDescent="0.3">
      <c r="A172" s="5"/>
      <c r="B172" s="3"/>
      <c r="C172" s="8"/>
      <c r="D172" s="27"/>
      <c r="E172" s="6"/>
      <c r="F172" s="8"/>
      <c r="G172" s="3"/>
      <c r="H172" s="3"/>
      <c r="I172" s="9"/>
    </row>
    <row r="173" spans="1:10" ht="30" customHeight="1" x14ac:dyDescent="0.3">
      <c r="A173" s="5"/>
      <c r="B173" s="3"/>
      <c r="C173" s="10"/>
      <c r="D173" s="27"/>
      <c r="E173" s="6"/>
      <c r="F173" s="8"/>
      <c r="G173" s="3"/>
      <c r="H173" s="3"/>
      <c r="I173" s="9"/>
    </row>
    <row r="174" spans="1:10" ht="30" customHeight="1" x14ac:dyDescent="0.3">
      <c r="A174" s="5"/>
      <c r="B174" s="3"/>
      <c r="C174" s="10"/>
      <c r="D174" s="27"/>
      <c r="E174" s="6"/>
      <c r="F174" s="8"/>
      <c r="G174" s="3"/>
      <c r="H174" s="3"/>
      <c r="I174" s="9"/>
    </row>
    <row r="175" spans="1:10" ht="30" customHeight="1" x14ac:dyDescent="0.3">
      <c r="A175" s="5"/>
      <c r="B175" s="3"/>
      <c r="C175" s="10"/>
      <c r="D175" s="27"/>
      <c r="E175" s="6"/>
      <c r="F175" s="8"/>
      <c r="G175" s="3"/>
      <c r="H175" s="3"/>
      <c r="I175" s="9"/>
    </row>
    <row r="176" spans="1:10" ht="30" customHeight="1" x14ac:dyDescent="0.3">
      <c r="A176" s="5"/>
      <c r="B176" s="3"/>
      <c r="C176" s="10"/>
      <c r="D176" s="27"/>
      <c r="E176" s="6"/>
      <c r="F176" s="8"/>
      <c r="G176" s="3"/>
      <c r="H176" s="3"/>
      <c r="I176" s="9"/>
    </row>
    <row r="177" spans="1:9" ht="30" customHeight="1" x14ac:dyDescent="0.3">
      <c r="A177" s="5"/>
      <c r="B177" s="3"/>
      <c r="C177" s="10"/>
      <c r="D177" s="27"/>
      <c r="E177" s="6"/>
      <c r="F177" s="8"/>
      <c r="G177" s="3"/>
      <c r="H177" s="3"/>
      <c r="I177" s="9"/>
    </row>
    <row r="178" spans="1:9" ht="30" customHeight="1" x14ac:dyDescent="0.3">
      <c r="A178" s="5"/>
      <c r="B178" s="3"/>
      <c r="C178" s="10"/>
      <c r="D178" s="27"/>
      <c r="E178" s="6"/>
      <c r="F178" s="8"/>
      <c r="G178" s="3"/>
      <c r="H178" s="3"/>
      <c r="I178" s="9"/>
    </row>
    <row r="179" spans="1:9" ht="30" customHeight="1" x14ac:dyDescent="0.3">
      <c r="A179" s="5"/>
      <c r="B179" s="3"/>
      <c r="C179" s="10"/>
      <c r="D179" s="27"/>
      <c r="E179" s="6"/>
      <c r="F179" s="8"/>
      <c r="G179" s="3"/>
      <c r="H179" s="3"/>
      <c r="I179" s="9"/>
    </row>
    <row r="180" spans="1:9" ht="30" customHeight="1" x14ac:dyDescent="0.3">
      <c r="A180" s="5"/>
      <c r="B180" s="3"/>
      <c r="C180" s="10"/>
      <c r="D180" s="27"/>
      <c r="E180" s="6"/>
      <c r="F180" s="23"/>
      <c r="G180" s="3"/>
      <c r="H180" s="3"/>
      <c r="I180" s="9"/>
    </row>
    <row r="181" spans="1:9" ht="30" customHeight="1" x14ac:dyDescent="0.3">
      <c r="A181" s="5"/>
      <c r="B181" s="3"/>
      <c r="C181" s="9"/>
      <c r="D181" s="27"/>
      <c r="F181" s="75"/>
      <c r="G181" s="3"/>
      <c r="H181" s="3"/>
      <c r="I181" s="9"/>
    </row>
    <row r="182" spans="1:9" ht="30" customHeight="1" x14ac:dyDescent="0.3">
      <c r="A182" s="5"/>
      <c r="B182" s="3"/>
      <c r="C182" s="9"/>
      <c r="D182" s="27"/>
      <c r="E182" s="6"/>
      <c r="F182" s="8"/>
      <c r="G182" s="3"/>
      <c r="H182" s="3"/>
      <c r="I182" s="9"/>
    </row>
    <row r="183" spans="1:9" ht="30" customHeight="1" x14ac:dyDescent="0.3">
      <c r="A183" s="5"/>
      <c r="B183" s="3"/>
      <c r="C183" s="9"/>
      <c r="D183" s="27"/>
      <c r="E183" s="6"/>
      <c r="F183" s="23"/>
      <c r="G183" s="3"/>
      <c r="H183" s="3"/>
      <c r="I183" s="9"/>
    </row>
    <row r="184" spans="1:9" ht="132" customHeight="1" x14ac:dyDescent="0.3">
      <c r="A184" s="5"/>
      <c r="B184" s="3"/>
      <c r="C184" s="9"/>
      <c r="D184" s="27"/>
      <c r="E184" s="6"/>
      <c r="F184" s="8"/>
      <c r="G184" s="3"/>
      <c r="H184" s="3"/>
      <c r="I184" s="9"/>
    </row>
    <row r="185" spans="1:9" x14ac:dyDescent="0.3">
      <c r="D185" s="27"/>
      <c r="E185" s="6"/>
      <c r="F185" s="8"/>
    </row>
    <row r="186" spans="1:9" ht="30" customHeight="1" x14ac:dyDescent="0.3">
      <c r="A186" s="5"/>
      <c r="B186" s="3"/>
      <c r="C186" s="9"/>
      <c r="D186" s="27"/>
      <c r="E186" s="6"/>
      <c r="F186" s="23"/>
      <c r="G186" s="3"/>
      <c r="H186" s="3"/>
      <c r="I186" s="9"/>
    </row>
    <row r="187" spans="1:9" ht="30" customHeight="1" x14ac:dyDescent="0.3">
      <c r="A187" s="5"/>
      <c r="B187" s="3"/>
      <c r="C187" s="9"/>
      <c r="D187" s="27"/>
      <c r="E187" s="6"/>
      <c r="F187" s="8"/>
      <c r="G187" s="3"/>
      <c r="H187" s="3"/>
      <c r="I187" s="9"/>
    </row>
    <row r="188" spans="1:9" ht="30" customHeight="1" x14ac:dyDescent="0.3">
      <c r="A188" s="5"/>
      <c r="B188" s="3"/>
      <c r="C188" s="9"/>
      <c r="D188" s="27"/>
      <c r="E188" s="6"/>
      <c r="F188" s="8"/>
      <c r="G188" s="3"/>
      <c r="H188" s="3"/>
      <c r="I188" s="9"/>
    </row>
    <row r="189" spans="1:9" ht="30" customHeight="1" x14ac:dyDescent="0.3">
      <c r="A189" s="5"/>
      <c r="B189" s="3"/>
      <c r="C189" s="9"/>
      <c r="D189" s="27"/>
      <c r="E189" s="6"/>
      <c r="F189" s="23"/>
      <c r="G189" s="3"/>
      <c r="H189" s="3"/>
      <c r="I189" s="9"/>
    </row>
    <row r="190" spans="1:9" ht="30" customHeight="1" x14ac:dyDescent="0.3">
      <c r="A190" s="5"/>
      <c r="B190" s="3"/>
      <c r="C190" s="9"/>
      <c r="D190" s="27"/>
      <c r="E190" s="6"/>
      <c r="F190" s="8"/>
      <c r="G190" s="3"/>
      <c r="H190" s="3"/>
      <c r="I190" s="9"/>
    </row>
    <row r="191" spans="1:9" ht="30" customHeight="1" x14ac:dyDescent="0.3">
      <c r="A191" s="5"/>
      <c r="B191" s="3"/>
      <c r="C191" s="9"/>
      <c r="D191" s="27"/>
      <c r="E191" s="6"/>
      <c r="F191" s="23"/>
      <c r="G191" s="3"/>
      <c r="H191" s="3"/>
      <c r="I191" s="9"/>
    </row>
    <row r="192" spans="1:9" ht="30" customHeight="1" x14ac:dyDescent="0.3">
      <c r="A192" s="5"/>
      <c r="B192" s="3"/>
      <c r="C192" s="9"/>
      <c r="D192" s="27"/>
      <c r="E192" s="6"/>
      <c r="F192" s="8"/>
      <c r="G192" s="3"/>
      <c r="H192" s="3"/>
      <c r="I192" s="9"/>
    </row>
    <row r="193" spans="1:9" ht="30" customHeight="1" x14ac:dyDescent="0.3">
      <c r="A193" s="5"/>
      <c r="B193" s="3"/>
      <c r="C193" s="9"/>
      <c r="D193" s="27"/>
      <c r="E193" s="6"/>
      <c r="F193" s="8"/>
      <c r="G193" s="3"/>
      <c r="H193" s="3"/>
      <c r="I193" s="9"/>
    </row>
    <row r="194" spans="1:9" ht="30" customHeight="1" x14ac:dyDescent="0.3">
      <c r="A194" s="5"/>
      <c r="B194" s="3"/>
      <c r="C194" s="9"/>
      <c r="D194" s="27"/>
      <c r="E194" s="6"/>
      <c r="F194" s="8"/>
      <c r="G194" s="3"/>
      <c r="H194" s="3"/>
      <c r="I194" s="9"/>
    </row>
    <row r="195" spans="1:9" ht="30" customHeight="1" x14ac:dyDescent="0.3">
      <c r="A195" s="5"/>
      <c r="B195" s="3"/>
      <c r="C195" s="9"/>
      <c r="D195" s="27"/>
      <c r="E195" s="6"/>
      <c r="F195" s="23"/>
      <c r="G195" s="3"/>
      <c r="H195" s="3"/>
      <c r="I195" s="9"/>
    </row>
    <row r="196" spans="1:9" ht="30" customHeight="1" x14ac:dyDescent="0.3">
      <c r="A196" s="5"/>
      <c r="B196" s="3"/>
      <c r="C196" s="9"/>
      <c r="D196" s="27"/>
      <c r="E196" s="6"/>
      <c r="F196" s="8"/>
      <c r="G196" s="3"/>
      <c r="H196" s="3"/>
      <c r="I196" s="9"/>
    </row>
    <row r="197" spans="1:9" ht="30" customHeight="1" x14ac:dyDescent="0.3">
      <c r="A197" s="5"/>
      <c r="B197" s="3"/>
      <c r="C197" s="9"/>
      <c r="D197" s="27"/>
      <c r="E197" s="6"/>
      <c r="F197" s="8"/>
      <c r="G197" s="3"/>
      <c r="H197" s="3"/>
      <c r="I197" s="9"/>
    </row>
    <row r="198" spans="1:9" ht="30" customHeight="1" x14ac:dyDescent="0.3">
      <c r="A198" s="5"/>
      <c r="B198" s="3"/>
      <c r="C198" s="9"/>
      <c r="D198" s="27"/>
      <c r="E198" s="6"/>
      <c r="F198" s="23"/>
      <c r="G198" s="3"/>
      <c r="H198" s="3"/>
      <c r="I198" s="9"/>
    </row>
    <row r="199" spans="1:9" ht="30" customHeight="1" x14ac:dyDescent="0.3">
      <c r="A199" s="5"/>
      <c r="B199" s="3"/>
      <c r="C199" s="9"/>
      <c r="D199" s="27"/>
      <c r="E199" s="6"/>
      <c r="F199" s="8"/>
      <c r="G199" s="3"/>
      <c r="H199" s="3"/>
      <c r="I199" s="9"/>
    </row>
    <row r="200" spans="1:9" ht="30" customHeight="1" x14ac:dyDescent="0.3">
      <c r="A200" s="5"/>
      <c r="B200" s="3"/>
      <c r="C200" s="9"/>
      <c r="D200" s="27"/>
      <c r="E200" s="6"/>
      <c r="F200" s="8"/>
      <c r="G200" s="3"/>
      <c r="H200" s="3"/>
      <c r="I200" s="9"/>
    </row>
    <row r="201" spans="1:9" ht="30" customHeight="1" x14ac:dyDescent="0.3">
      <c r="A201" s="5"/>
      <c r="B201" s="3"/>
      <c r="C201" s="9"/>
      <c r="D201" s="27"/>
      <c r="E201" s="6"/>
      <c r="F201" s="8"/>
      <c r="G201" s="3"/>
      <c r="H201" s="3"/>
      <c r="I201" s="9"/>
    </row>
    <row r="202" spans="1:9" ht="30" customHeight="1" x14ac:dyDescent="0.3">
      <c r="A202" s="5"/>
      <c r="B202" s="3"/>
      <c r="C202" s="9"/>
      <c r="D202" s="27"/>
      <c r="E202" s="3"/>
      <c r="F202" s="23"/>
      <c r="G202" s="3"/>
      <c r="H202" s="3"/>
      <c r="I202" s="9"/>
    </row>
    <row r="203" spans="1:9" ht="30" customHeight="1" x14ac:dyDescent="0.3">
      <c r="A203" s="5"/>
      <c r="B203" s="3"/>
      <c r="C203" s="9"/>
      <c r="D203" s="27"/>
      <c r="E203" s="3"/>
      <c r="F203" s="23"/>
      <c r="G203" s="3"/>
      <c r="H203" s="3"/>
      <c r="I203" s="9"/>
    </row>
    <row r="204" spans="1:9" ht="30" customHeight="1" x14ac:dyDescent="0.3">
      <c r="A204" s="5"/>
      <c r="B204" s="3"/>
      <c r="C204" s="9"/>
      <c r="D204" s="27"/>
      <c r="E204" s="6"/>
      <c r="F204" s="23"/>
      <c r="G204" s="3"/>
      <c r="H204" s="3"/>
      <c r="I204" s="9"/>
    </row>
    <row r="205" spans="1:9" ht="30" customHeight="1" x14ac:dyDescent="0.3">
      <c r="A205" s="5"/>
      <c r="B205" s="3"/>
      <c r="C205" s="9"/>
      <c r="D205" s="27"/>
      <c r="E205" s="6"/>
      <c r="F205" s="8"/>
      <c r="G205" s="3"/>
      <c r="H205" s="3"/>
      <c r="I205" s="9"/>
    </row>
    <row r="206" spans="1:9" ht="30" customHeight="1" x14ac:dyDescent="0.3">
      <c r="A206" s="5"/>
      <c r="B206" s="3"/>
      <c r="C206" s="9"/>
      <c r="D206" s="27"/>
      <c r="E206" s="6"/>
      <c r="F206" s="8"/>
      <c r="G206" s="3"/>
      <c r="H206" s="3"/>
      <c r="I206" s="9"/>
    </row>
    <row r="207" spans="1:9" ht="30" customHeight="1" x14ac:dyDescent="0.3">
      <c r="A207" s="5"/>
      <c r="B207" s="3"/>
      <c r="C207" s="9"/>
      <c r="D207" s="27"/>
      <c r="E207" s="6"/>
      <c r="F207" s="23"/>
      <c r="G207" s="3"/>
      <c r="H207" s="3"/>
      <c r="I207" s="9"/>
    </row>
    <row r="208" spans="1:9" ht="30" customHeight="1" x14ac:dyDescent="0.3">
      <c r="A208" s="5"/>
      <c r="B208" s="3"/>
      <c r="C208" s="9"/>
      <c r="D208" s="27"/>
      <c r="E208" s="6"/>
      <c r="F208" s="23"/>
      <c r="G208" s="3"/>
      <c r="H208" s="3"/>
      <c r="I208" s="9"/>
    </row>
    <row r="209" spans="1:9" ht="30" customHeight="1" x14ac:dyDescent="0.3">
      <c r="A209" s="5"/>
      <c r="B209" s="3"/>
      <c r="C209" s="9"/>
      <c r="D209" s="27"/>
      <c r="E209" s="6"/>
      <c r="F209" s="23"/>
      <c r="G209" s="3"/>
      <c r="H209" s="3"/>
      <c r="I209" s="9"/>
    </row>
    <row r="210" spans="1:9" ht="30" customHeight="1" x14ac:dyDescent="0.3">
      <c r="A210" s="5"/>
      <c r="B210" s="3"/>
      <c r="C210" s="9"/>
      <c r="D210" s="27"/>
      <c r="E210" s="6"/>
      <c r="F210" s="8"/>
      <c r="G210" s="3"/>
      <c r="H210" s="3"/>
      <c r="I210" s="9"/>
    </row>
    <row r="211" spans="1:9" ht="30" customHeight="1" x14ac:dyDescent="0.3">
      <c r="A211" s="5"/>
      <c r="B211" s="3"/>
      <c r="C211" s="9"/>
      <c r="D211" s="27"/>
      <c r="E211" s="6"/>
      <c r="F211" s="8"/>
      <c r="G211" s="3"/>
      <c r="H211" s="3"/>
      <c r="I211" s="9"/>
    </row>
    <row r="212" spans="1:9" ht="30" customHeight="1" x14ac:dyDescent="0.3">
      <c r="A212" s="5"/>
      <c r="B212" s="3"/>
      <c r="C212" s="9"/>
      <c r="D212" s="27"/>
      <c r="E212" s="6"/>
      <c r="F212" s="23"/>
      <c r="G212" s="3"/>
      <c r="H212" s="3"/>
      <c r="I212" s="9"/>
    </row>
    <row r="213" spans="1:9" ht="30" customHeight="1" x14ac:dyDescent="0.3">
      <c r="A213" s="5"/>
      <c r="B213" s="3"/>
      <c r="C213" s="9"/>
      <c r="D213" s="27"/>
      <c r="E213" s="6"/>
      <c r="F213" s="8"/>
      <c r="G213" s="3"/>
      <c r="H213" s="3"/>
      <c r="I213" s="9"/>
    </row>
    <row r="214" spans="1:9" ht="30" customHeight="1" x14ac:dyDescent="0.3">
      <c r="A214" s="5"/>
      <c r="B214" s="3"/>
      <c r="C214" s="9"/>
      <c r="D214" s="27"/>
      <c r="E214" s="6"/>
      <c r="F214" s="23"/>
      <c r="G214" s="3"/>
      <c r="H214" s="3"/>
      <c r="I214" s="9"/>
    </row>
    <row r="215" spans="1:9" ht="30" customHeight="1" x14ac:dyDescent="0.3">
      <c r="A215" s="5"/>
      <c r="B215" s="3"/>
      <c r="C215" s="9"/>
      <c r="D215" s="27"/>
      <c r="E215" s="6"/>
      <c r="F215" s="23"/>
      <c r="G215" s="3"/>
      <c r="H215" s="3"/>
      <c r="I215" s="9"/>
    </row>
    <row r="216" spans="1:9" ht="30" customHeight="1" x14ac:dyDescent="0.3">
      <c r="A216" s="5"/>
      <c r="B216" s="3"/>
      <c r="C216" s="9"/>
      <c r="D216" s="27"/>
      <c r="E216" s="6"/>
      <c r="F216" s="8"/>
      <c r="G216" s="3"/>
      <c r="H216" s="3"/>
      <c r="I216" s="9"/>
    </row>
    <row r="217" spans="1:9" ht="30" customHeight="1" x14ac:dyDescent="0.3">
      <c r="A217" s="5"/>
      <c r="B217" s="3"/>
      <c r="C217" s="9"/>
      <c r="D217" s="27"/>
      <c r="E217" s="6"/>
      <c r="F217" s="8"/>
      <c r="G217" s="3"/>
      <c r="H217" s="3"/>
      <c r="I217" s="9"/>
    </row>
    <row r="218" spans="1:9" ht="30" customHeight="1" x14ac:dyDescent="0.3">
      <c r="A218" s="5"/>
      <c r="B218" s="3"/>
      <c r="C218" s="9"/>
      <c r="D218" s="27"/>
      <c r="E218" s="6"/>
      <c r="F218" s="8"/>
      <c r="G218" s="3"/>
      <c r="H218" s="3"/>
      <c r="I218" s="9"/>
    </row>
    <row r="219" spans="1:9" ht="30" customHeight="1" x14ac:dyDescent="0.3">
      <c r="A219" s="5"/>
      <c r="B219" s="3"/>
      <c r="C219" s="9"/>
      <c r="D219" s="27"/>
      <c r="E219" s="6"/>
      <c r="F219" s="8"/>
      <c r="G219" s="3"/>
      <c r="H219" s="3"/>
      <c r="I219" s="9"/>
    </row>
    <row r="220" spans="1:9" ht="30" customHeight="1" x14ac:dyDescent="0.3">
      <c r="A220" s="5"/>
      <c r="B220" s="3"/>
      <c r="C220" s="9"/>
      <c r="D220" s="27"/>
      <c r="E220" s="6"/>
      <c r="F220" s="6"/>
      <c r="G220" s="3"/>
      <c r="H220" s="3"/>
      <c r="I220" s="9"/>
    </row>
    <row r="221" spans="1:9" ht="30" customHeight="1" x14ac:dyDescent="0.3">
      <c r="A221" s="5"/>
      <c r="B221" s="3"/>
      <c r="C221" s="9"/>
      <c r="D221" s="27"/>
      <c r="E221" s="6"/>
      <c r="F221" s="8"/>
      <c r="G221" s="3"/>
      <c r="H221" s="3"/>
      <c r="I221" s="9"/>
    </row>
    <row r="222" spans="1:9" ht="30" customHeight="1" x14ac:dyDescent="0.3">
      <c r="A222" s="5"/>
      <c r="B222" s="3"/>
      <c r="C222" s="9"/>
      <c r="D222" s="27"/>
      <c r="E222" s="6"/>
      <c r="F222" s="8"/>
      <c r="G222" s="3"/>
      <c r="H222" s="3"/>
      <c r="I222" s="9"/>
    </row>
    <row r="223" spans="1:9" ht="30" customHeight="1" x14ac:dyDescent="0.3">
      <c r="A223" s="5"/>
      <c r="B223" s="3"/>
      <c r="C223" s="9"/>
      <c r="D223" s="27"/>
      <c r="E223" s="6"/>
      <c r="F223" s="23"/>
      <c r="G223" s="3"/>
      <c r="H223" s="3"/>
      <c r="I223" s="9"/>
    </row>
    <row r="224" spans="1:9" ht="30" customHeight="1" x14ac:dyDescent="0.3">
      <c r="A224" s="5"/>
      <c r="B224" s="3"/>
      <c r="C224" s="9"/>
      <c r="D224" s="27"/>
      <c r="E224" s="6"/>
      <c r="F224" s="8"/>
      <c r="G224" s="3"/>
      <c r="H224" s="3"/>
      <c r="I224" s="9"/>
    </row>
    <row r="225" spans="1:9" ht="30" customHeight="1" x14ac:dyDescent="0.3">
      <c r="A225" s="5"/>
      <c r="B225" s="3"/>
      <c r="C225" s="9"/>
      <c r="D225" s="27"/>
      <c r="E225" s="6"/>
      <c r="F225" s="8"/>
      <c r="G225" s="3"/>
      <c r="H225" s="3"/>
      <c r="I225" s="9"/>
    </row>
    <row r="226" spans="1:9" ht="30" customHeight="1" x14ac:dyDescent="0.3">
      <c r="A226" s="5"/>
      <c r="B226" s="3"/>
      <c r="C226" s="9"/>
      <c r="D226" s="27"/>
      <c r="E226" s="6"/>
      <c r="F226" s="8"/>
      <c r="G226" s="3"/>
      <c r="H226" s="3"/>
      <c r="I226" s="9"/>
    </row>
    <row r="227" spans="1:9" ht="30" customHeight="1" x14ac:dyDescent="0.3">
      <c r="A227" s="5"/>
      <c r="B227" s="3"/>
      <c r="C227" s="9"/>
      <c r="D227" s="27"/>
      <c r="E227" s="6"/>
      <c r="F227" s="8"/>
      <c r="G227" s="3"/>
      <c r="H227" s="3"/>
      <c r="I227" s="9"/>
    </row>
    <row r="228" spans="1:9" ht="30" customHeight="1" x14ac:dyDescent="0.3">
      <c r="A228" s="5"/>
      <c r="B228" s="3"/>
      <c r="C228" s="9"/>
      <c r="D228" s="27"/>
      <c r="E228" s="6"/>
      <c r="F228" s="8"/>
      <c r="G228" s="3"/>
      <c r="H228" s="3"/>
      <c r="I228" s="9"/>
    </row>
    <row r="229" spans="1:9" ht="30" customHeight="1" x14ac:dyDescent="0.3">
      <c r="A229" s="5"/>
      <c r="B229" s="3"/>
      <c r="C229" s="9"/>
      <c r="D229" s="27"/>
      <c r="E229" s="6"/>
      <c r="F229" s="8"/>
      <c r="G229" s="3"/>
      <c r="H229" s="3"/>
      <c r="I229" s="9"/>
    </row>
    <row r="230" spans="1:9" ht="30" customHeight="1" x14ac:dyDescent="0.3">
      <c r="A230" s="5"/>
      <c r="B230" s="3"/>
      <c r="C230" s="9"/>
      <c r="D230" s="27"/>
      <c r="E230" s="6"/>
      <c r="F230" s="8"/>
      <c r="G230" s="3"/>
      <c r="H230" s="3"/>
      <c r="I230" s="9"/>
    </row>
    <row r="231" spans="1:9" ht="30" customHeight="1" x14ac:dyDescent="0.3">
      <c r="A231" s="5"/>
      <c r="B231" s="3"/>
      <c r="C231" s="9"/>
      <c r="D231" s="27"/>
      <c r="E231" s="6"/>
      <c r="F231" s="23"/>
      <c r="G231" s="3"/>
      <c r="H231" s="3"/>
      <c r="I231" s="9"/>
    </row>
    <row r="232" spans="1:9" ht="30" customHeight="1" x14ac:dyDescent="0.3">
      <c r="A232" s="5"/>
      <c r="B232" s="3"/>
      <c r="C232" s="9"/>
      <c r="D232" s="27"/>
      <c r="E232" s="6"/>
      <c r="F232" s="8"/>
      <c r="G232" s="3"/>
      <c r="H232" s="3"/>
      <c r="I232" s="9"/>
    </row>
    <row r="233" spans="1:9" ht="30" customHeight="1" x14ac:dyDescent="0.3">
      <c r="A233" s="5"/>
      <c r="B233" s="3"/>
      <c r="C233" s="9"/>
      <c r="D233" s="27"/>
      <c r="E233" s="6"/>
      <c r="F233" s="23"/>
      <c r="G233" s="3"/>
      <c r="H233" s="3"/>
      <c r="I233" s="9"/>
    </row>
    <row r="234" spans="1:9" ht="30" customHeight="1" x14ac:dyDescent="0.3">
      <c r="A234" s="5"/>
      <c r="B234" s="3"/>
      <c r="C234" s="9"/>
      <c r="D234" s="27"/>
      <c r="E234" s="6"/>
      <c r="F234" s="23"/>
      <c r="G234" s="3"/>
      <c r="H234" s="3"/>
      <c r="I234" s="9"/>
    </row>
    <row r="235" spans="1:9" ht="30" customHeight="1" x14ac:dyDescent="0.3">
      <c r="A235" s="5"/>
      <c r="B235" s="3"/>
      <c r="C235" s="9"/>
      <c r="D235" s="27"/>
      <c r="E235" s="6"/>
      <c r="F235" s="8"/>
      <c r="G235" s="3"/>
      <c r="H235" s="3"/>
      <c r="I235" s="9"/>
    </row>
    <row r="236" spans="1:9" ht="30" customHeight="1" x14ac:dyDescent="0.3">
      <c r="A236" s="5"/>
      <c r="B236" s="3"/>
      <c r="C236" s="9"/>
      <c r="D236" s="27"/>
      <c r="E236" s="6"/>
      <c r="F236" s="23"/>
      <c r="G236" s="3"/>
      <c r="H236" s="3"/>
      <c r="I236" s="9"/>
    </row>
    <row r="237" spans="1:9" ht="30" customHeight="1" x14ac:dyDescent="0.3">
      <c r="A237" s="5"/>
      <c r="B237" s="3"/>
      <c r="C237" s="9"/>
      <c r="D237" s="27"/>
      <c r="E237" s="6"/>
      <c r="F237" s="8"/>
      <c r="G237" s="3"/>
      <c r="H237" s="3"/>
      <c r="I237" s="9"/>
    </row>
    <row r="238" spans="1:9" ht="30" customHeight="1" x14ac:dyDescent="0.3">
      <c r="A238" s="5"/>
      <c r="B238" s="3"/>
      <c r="C238" s="9"/>
      <c r="D238" s="27"/>
      <c r="E238" s="31"/>
      <c r="F238" s="31"/>
      <c r="G238" s="3"/>
      <c r="H238" s="3"/>
      <c r="I238" s="9"/>
    </row>
    <row r="239" spans="1:9" ht="30" customHeight="1" x14ac:dyDescent="0.3">
      <c r="A239" s="5"/>
      <c r="B239" s="3"/>
      <c r="C239" s="9"/>
      <c r="D239" s="27"/>
      <c r="E239" s="6"/>
      <c r="F239" s="8"/>
      <c r="G239" s="3"/>
      <c r="H239" s="3"/>
      <c r="I239" s="9"/>
    </row>
    <row r="240" spans="1:9" ht="30" customHeight="1" x14ac:dyDescent="0.3">
      <c r="A240" s="5"/>
      <c r="B240" s="3"/>
      <c r="C240" s="9"/>
      <c r="D240" s="27"/>
      <c r="E240" s="6"/>
      <c r="F240" s="8"/>
      <c r="G240" s="3"/>
      <c r="H240" s="3"/>
      <c r="I240" s="9"/>
    </row>
    <row r="241" spans="1:9" ht="30" customHeight="1" x14ac:dyDescent="0.3">
      <c r="A241" s="5"/>
      <c r="B241" s="3"/>
      <c r="C241" s="9"/>
      <c r="D241" s="27"/>
      <c r="E241" s="6"/>
      <c r="F241" s="8"/>
      <c r="G241" s="3"/>
      <c r="H241" s="3"/>
      <c r="I241" s="9"/>
    </row>
    <row r="242" spans="1:9" ht="30" customHeight="1" x14ac:dyDescent="0.3">
      <c r="A242" s="5"/>
      <c r="B242" s="3"/>
      <c r="C242" s="9"/>
      <c r="D242" s="27"/>
      <c r="E242" s="6"/>
      <c r="F242" s="8"/>
      <c r="G242" s="3"/>
      <c r="H242" s="3"/>
      <c r="I242" s="9"/>
    </row>
    <row r="243" spans="1:9" ht="30" customHeight="1" x14ac:dyDescent="0.3">
      <c r="A243" s="5"/>
      <c r="B243" s="3"/>
      <c r="C243" s="9"/>
      <c r="D243" s="27"/>
      <c r="E243" s="6"/>
      <c r="F243" s="8"/>
      <c r="G243" s="3"/>
      <c r="H243" s="3"/>
      <c r="I243" s="9"/>
    </row>
    <row r="244" spans="1:9" ht="30" customHeight="1" x14ac:dyDescent="0.3">
      <c r="A244" s="5"/>
      <c r="B244" s="3"/>
      <c r="C244" s="9"/>
      <c r="D244" s="27"/>
      <c r="E244" s="6"/>
      <c r="F244" s="8"/>
      <c r="G244" s="3"/>
      <c r="H244" s="3"/>
      <c r="I244" s="9"/>
    </row>
    <row r="245" spans="1:9" ht="30" customHeight="1" x14ac:dyDescent="0.3">
      <c r="A245" s="5"/>
      <c r="B245" s="3"/>
      <c r="C245" s="9"/>
      <c r="D245" s="27"/>
      <c r="E245" s="6"/>
      <c r="F245" s="8"/>
      <c r="G245" s="3"/>
      <c r="H245" s="3"/>
      <c r="I245" s="9"/>
    </row>
    <row r="246" spans="1:9" ht="30" customHeight="1" x14ac:dyDescent="0.3">
      <c r="A246" s="5"/>
      <c r="B246" s="3"/>
      <c r="C246" s="9"/>
      <c r="D246" s="27"/>
      <c r="E246" s="6"/>
      <c r="F246" s="8"/>
      <c r="G246" s="3"/>
      <c r="H246" s="3"/>
      <c r="I246" s="9"/>
    </row>
    <row r="247" spans="1:9" ht="30" customHeight="1" x14ac:dyDescent="0.3">
      <c r="A247" s="5"/>
      <c r="B247" s="3"/>
      <c r="C247" s="9"/>
      <c r="D247" s="27"/>
      <c r="E247" s="6"/>
      <c r="F247" s="8"/>
      <c r="G247" s="3"/>
      <c r="H247" s="3"/>
      <c r="I247" s="9"/>
    </row>
    <row r="248" spans="1:9" ht="30" customHeight="1" x14ac:dyDescent="0.3">
      <c r="A248" s="64"/>
      <c r="B248" s="3"/>
      <c r="C248" s="9"/>
      <c r="D248" s="27"/>
      <c r="E248" s="6"/>
      <c r="F248" s="8"/>
      <c r="G248" s="3"/>
      <c r="H248" s="3"/>
      <c r="I248" s="9"/>
    </row>
    <row r="249" spans="1:9" ht="30" customHeight="1" x14ac:dyDescent="0.3">
      <c r="A249" s="5"/>
      <c r="B249" s="3"/>
      <c r="C249" s="9"/>
      <c r="D249" s="27"/>
      <c r="E249" s="6"/>
      <c r="F249" s="8"/>
      <c r="G249" s="3"/>
      <c r="H249" s="3"/>
      <c r="I249" s="9"/>
    </row>
    <row r="250" spans="1:9" ht="30" customHeight="1" x14ac:dyDescent="0.3">
      <c r="A250" s="5"/>
      <c r="B250" s="3"/>
      <c r="C250" s="9"/>
      <c r="D250" s="27"/>
      <c r="E250" s="6"/>
      <c r="F250" s="8"/>
      <c r="G250" s="3"/>
      <c r="H250" s="3"/>
      <c r="I250" s="9"/>
    </row>
    <row r="251" spans="1:9" ht="30" customHeight="1" x14ac:dyDescent="0.3">
      <c r="A251" s="5"/>
      <c r="B251" s="3"/>
      <c r="C251" s="9"/>
      <c r="D251" s="27"/>
      <c r="E251" s="6"/>
      <c r="F251" s="23"/>
      <c r="G251" s="3"/>
      <c r="H251" s="3"/>
      <c r="I251" s="9"/>
    </row>
    <row r="252" spans="1:9" ht="30" customHeight="1" x14ac:dyDescent="0.3">
      <c r="A252" s="5"/>
      <c r="B252" s="3"/>
      <c r="C252" s="9"/>
      <c r="D252" s="27"/>
      <c r="E252" s="6"/>
      <c r="F252" s="8"/>
      <c r="G252" s="3"/>
      <c r="H252" s="3"/>
      <c r="I252" s="9"/>
    </row>
    <row r="253" spans="1:9" ht="30" customHeight="1" x14ac:dyDescent="0.3">
      <c r="A253" s="5"/>
      <c r="B253" s="3"/>
      <c r="C253" s="9"/>
      <c r="D253" s="27"/>
      <c r="E253" s="6"/>
      <c r="F253" s="23"/>
      <c r="G253" s="3"/>
      <c r="H253" s="3"/>
      <c r="I253" s="9"/>
    </row>
    <row r="254" spans="1:9" ht="30" customHeight="1" x14ac:dyDescent="0.3">
      <c r="A254" s="64"/>
      <c r="B254" s="3"/>
      <c r="C254" s="9"/>
      <c r="D254" s="27"/>
      <c r="E254" s="6"/>
      <c r="F254" s="8"/>
      <c r="G254" s="3"/>
      <c r="H254" s="3"/>
      <c r="I254" s="9"/>
    </row>
    <row r="255" spans="1:9" ht="30" customHeight="1" x14ac:dyDescent="0.3">
      <c r="A255" s="64"/>
      <c r="B255" s="3"/>
      <c r="C255" s="9"/>
      <c r="D255" s="27"/>
      <c r="E255" s="6"/>
      <c r="F255" s="8"/>
      <c r="G255" s="3"/>
      <c r="H255" s="3"/>
      <c r="I255" s="9"/>
    </row>
    <row r="256" spans="1:9" ht="30" customHeight="1" x14ac:dyDescent="0.3">
      <c r="A256" s="5"/>
      <c r="B256" s="3"/>
      <c r="C256" s="9"/>
      <c r="D256" s="27"/>
      <c r="E256" s="6"/>
      <c r="F256" s="8"/>
      <c r="G256" s="3"/>
      <c r="H256" s="3"/>
      <c r="I256" s="9"/>
    </row>
    <row r="257" spans="1:9" ht="30" customHeight="1" x14ac:dyDescent="0.3">
      <c r="A257" s="64"/>
      <c r="B257" s="3"/>
      <c r="C257" s="9"/>
      <c r="D257" s="27"/>
      <c r="E257" s="6"/>
      <c r="F257" s="8"/>
      <c r="G257" s="3"/>
      <c r="H257" s="3"/>
      <c r="I257" s="9"/>
    </row>
    <row r="258" spans="1:9" ht="30" customHeight="1" x14ac:dyDescent="0.3">
      <c r="A258" s="5"/>
      <c r="B258" s="3"/>
      <c r="C258" s="9"/>
      <c r="D258" s="27"/>
      <c r="E258" s="6"/>
      <c r="F258" s="8"/>
      <c r="G258" s="3"/>
      <c r="H258" s="3"/>
      <c r="I258" s="9"/>
    </row>
    <row r="259" spans="1:9" ht="30" customHeight="1" x14ac:dyDescent="0.3">
      <c r="A259" s="5"/>
      <c r="B259" s="3"/>
      <c r="C259" s="9"/>
      <c r="D259" s="27"/>
      <c r="E259" s="6"/>
      <c r="F259" s="8"/>
      <c r="G259" s="3"/>
      <c r="H259" s="3"/>
      <c r="I259" s="9"/>
    </row>
    <row r="260" spans="1:9" ht="30" customHeight="1" x14ac:dyDescent="0.3">
      <c r="A260" s="5"/>
      <c r="B260" s="3"/>
      <c r="C260" s="9"/>
      <c r="D260" s="27"/>
      <c r="E260" s="6"/>
      <c r="F260" s="8"/>
      <c r="G260" s="3"/>
      <c r="H260" s="3"/>
      <c r="I260" s="9"/>
    </row>
    <row r="261" spans="1:9" ht="30" customHeight="1" x14ac:dyDescent="0.3">
      <c r="A261" s="5"/>
      <c r="B261" s="3"/>
      <c r="C261" s="9"/>
      <c r="D261" s="27"/>
      <c r="E261" s="6"/>
      <c r="F261" s="8"/>
      <c r="G261" s="3"/>
      <c r="H261" s="3"/>
      <c r="I261" s="9"/>
    </row>
    <row r="262" spans="1:9" ht="30" customHeight="1" x14ac:dyDescent="0.3">
      <c r="A262" s="5"/>
      <c r="B262" s="3"/>
      <c r="C262" s="9"/>
      <c r="D262" s="27"/>
      <c r="E262" s="6"/>
      <c r="F262" s="8"/>
      <c r="G262" s="3"/>
      <c r="H262" s="3"/>
      <c r="I262" s="9"/>
    </row>
    <row r="263" spans="1:9" ht="30" customHeight="1" x14ac:dyDescent="0.3">
      <c r="A263" s="5"/>
      <c r="B263" s="3"/>
      <c r="C263" s="9"/>
      <c r="D263" s="27"/>
      <c r="E263" s="6"/>
      <c r="F263" s="8"/>
      <c r="G263" s="3"/>
      <c r="H263" s="3"/>
      <c r="I263" s="9"/>
    </row>
    <row r="264" spans="1:9" ht="30" customHeight="1" x14ac:dyDescent="0.3">
      <c r="A264" s="5"/>
      <c r="B264" s="3"/>
      <c r="C264" s="9"/>
      <c r="D264" s="27"/>
      <c r="E264" s="6"/>
      <c r="F264" s="8"/>
      <c r="G264" s="3"/>
      <c r="H264" s="3"/>
      <c r="I264" s="9"/>
    </row>
    <row r="265" spans="1:9" ht="30" customHeight="1" x14ac:dyDescent="0.3">
      <c r="A265" s="5"/>
      <c r="B265" s="3"/>
      <c r="C265" s="9"/>
      <c r="D265" s="27"/>
      <c r="E265" s="6"/>
      <c r="F265" s="8"/>
      <c r="G265" s="3"/>
      <c r="H265" s="3"/>
      <c r="I265" s="9"/>
    </row>
    <row r="266" spans="1:9" ht="30" customHeight="1" x14ac:dyDescent="0.3">
      <c r="A266" s="5"/>
      <c r="B266" s="3"/>
      <c r="C266" s="9"/>
      <c r="D266" s="27"/>
      <c r="E266" s="6"/>
      <c r="F266" s="8"/>
      <c r="G266" s="3"/>
      <c r="H266" s="3"/>
      <c r="I266" s="9"/>
    </row>
    <row r="267" spans="1:9" ht="30" customHeight="1" x14ac:dyDescent="0.3">
      <c r="A267" s="5"/>
      <c r="B267" s="3"/>
      <c r="C267" s="9"/>
      <c r="D267" s="27"/>
      <c r="E267" s="6"/>
      <c r="F267" s="8"/>
      <c r="G267" s="3"/>
      <c r="H267" s="3"/>
      <c r="I267" s="9"/>
    </row>
    <row r="268" spans="1:9" ht="30" customHeight="1" x14ac:dyDescent="0.3">
      <c r="A268" s="5"/>
      <c r="B268" s="3"/>
      <c r="C268" s="9"/>
      <c r="D268" s="27"/>
      <c r="E268" s="6"/>
      <c r="F268" s="8"/>
      <c r="G268" s="3"/>
      <c r="H268" s="3"/>
      <c r="I268" s="9"/>
    </row>
    <row r="269" spans="1:9" ht="30" customHeight="1" x14ac:dyDescent="0.3">
      <c r="A269" s="5"/>
      <c r="B269" s="3"/>
      <c r="C269" s="9"/>
      <c r="D269" s="27"/>
      <c r="E269" s="6"/>
      <c r="F269" s="8"/>
      <c r="G269" s="3"/>
      <c r="H269" s="3"/>
      <c r="I269" s="9"/>
    </row>
    <row r="270" spans="1:9" ht="30" customHeight="1" x14ac:dyDescent="0.3">
      <c r="A270" s="5"/>
      <c r="B270" s="3"/>
      <c r="C270" s="9"/>
      <c r="D270" s="27"/>
      <c r="E270" s="6"/>
      <c r="F270" s="8"/>
      <c r="G270" s="3"/>
      <c r="H270" s="3"/>
      <c r="I270" s="9"/>
    </row>
    <row r="271" spans="1:9" ht="30" customHeight="1" x14ac:dyDescent="0.3">
      <c r="A271" s="5"/>
      <c r="B271" s="3"/>
      <c r="C271" s="9"/>
      <c r="D271" s="27"/>
      <c r="E271" s="6"/>
      <c r="F271" s="8"/>
      <c r="G271" s="3"/>
      <c r="H271" s="3"/>
      <c r="I271" s="9"/>
    </row>
    <row r="272" spans="1:9" ht="30" customHeight="1" x14ac:dyDescent="0.3">
      <c r="A272" s="5"/>
      <c r="B272" s="3"/>
      <c r="C272" s="9"/>
      <c r="D272" s="27"/>
      <c r="E272" s="6"/>
      <c r="F272" s="8"/>
      <c r="G272" s="3"/>
      <c r="H272" s="3"/>
      <c r="I272" s="9"/>
    </row>
    <row r="273" spans="1:9" ht="30" customHeight="1" x14ac:dyDescent="0.3">
      <c r="A273" s="5"/>
      <c r="B273" s="3"/>
      <c r="C273" s="9"/>
      <c r="D273" s="27"/>
      <c r="E273" s="6"/>
      <c r="F273" s="8"/>
      <c r="G273" s="3"/>
      <c r="H273" s="3"/>
      <c r="I273" s="9"/>
    </row>
    <row r="274" spans="1:9" ht="30" customHeight="1" x14ac:dyDescent="0.3">
      <c r="A274" s="5"/>
      <c r="B274" s="3"/>
      <c r="C274" s="9"/>
      <c r="D274" s="27"/>
      <c r="E274" s="6"/>
      <c r="F274" s="8"/>
      <c r="G274" s="3"/>
      <c r="H274" s="3"/>
      <c r="I274" s="9"/>
    </row>
    <row r="275" spans="1:9" ht="30" customHeight="1" x14ac:dyDescent="0.3">
      <c r="A275" s="2"/>
      <c r="B275" s="2"/>
      <c r="C275" s="9"/>
      <c r="D275" s="27"/>
      <c r="E275" s="6"/>
      <c r="F275" s="8"/>
      <c r="G275" s="3"/>
      <c r="H275" s="3"/>
      <c r="I275" s="9"/>
    </row>
    <row r="276" spans="1:9" ht="30" customHeight="1" x14ac:dyDescent="0.3">
      <c r="A276" s="2"/>
      <c r="B276" s="2"/>
      <c r="C276" s="9"/>
      <c r="D276" s="27"/>
      <c r="E276" s="12"/>
      <c r="F276" s="80"/>
      <c r="G276" s="3"/>
      <c r="H276" s="2"/>
      <c r="I276" s="9"/>
    </row>
    <row r="277" spans="1:9" ht="30" customHeight="1" x14ac:dyDescent="0.3">
      <c r="A277" s="2"/>
      <c r="B277" s="2"/>
      <c r="C277" s="9"/>
      <c r="D277" s="27"/>
      <c r="E277" s="6"/>
      <c r="F277" s="23"/>
      <c r="G277" s="3"/>
      <c r="H277" s="3"/>
      <c r="I277" s="9"/>
    </row>
    <row r="278" spans="1:9" ht="30" customHeight="1" x14ac:dyDescent="0.3">
      <c r="A278" s="2"/>
      <c r="B278" s="2"/>
      <c r="C278" s="9"/>
      <c r="D278" s="27"/>
      <c r="E278" s="6"/>
      <c r="F278" s="10"/>
      <c r="G278" s="3"/>
      <c r="H278" s="2"/>
      <c r="I278" s="9"/>
    </row>
    <row r="279" spans="1:9" ht="30" customHeight="1" x14ac:dyDescent="0.3">
      <c r="A279" s="3"/>
      <c r="B279" s="2"/>
      <c r="C279" s="9"/>
      <c r="D279" s="27"/>
      <c r="E279" s="6"/>
      <c r="F279" s="8"/>
      <c r="G279" s="3"/>
      <c r="H279" s="2"/>
      <c r="I279" s="9"/>
    </row>
    <row r="280" spans="1:9" ht="30" customHeight="1" x14ac:dyDescent="0.3">
      <c r="A280" s="2"/>
      <c r="B280" s="2"/>
      <c r="C280" s="9"/>
      <c r="D280" s="27"/>
      <c r="E280" s="6"/>
      <c r="F280" s="8"/>
      <c r="G280" s="2"/>
      <c r="H280" s="2"/>
      <c r="I280" s="9"/>
    </row>
    <row r="281" spans="1:9" ht="30" customHeight="1" x14ac:dyDescent="0.3">
      <c r="A281" s="2"/>
      <c r="B281" s="2"/>
      <c r="C281" s="9"/>
      <c r="D281" s="27"/>
      <c r="E281" s="2"/>
      <c r="F281" s="10"/>
      <c r="G281" s="2"/>
      <c r="H281" s="2"/>
      <c r="I281" s="9"/>
    </row>
    <row r="282" spans="1:9" ht="30" customHeight="1" x14ac:dyDescent="0.3">
      <c r="A282" s="2"/>
      <c r="B282" s="2"/>
      <c r="C282" s="9"/>
      <c r="D282" s="27"/>
      <c r="E282" s="2"/>
      <c r="F282" s="10"/>
      <c r="G282" s="2"/>
      <c r="H282" s="2"/>
      <c r="I282" s="9"/>
    </row>
    <row r="283" spans="1:9" x14ac:dyDescent="0.3">
      <c r="A283" s="9"/>
      <c r="B283" s="9"/>
      <c r="C283" s="9"/>
      <c r="D283" s="27"/>
      <c r="E283" s="9"/>
      <c r="F283" s="9"/>
      <c r="G283" s="2"/>
      <c r="H283" s="9"/>
      <c r="I283" s="9"/>
    </row>
    <row r="284" spans="1:9" x14ac:dyDescent="0.3">
      <c r="A284" s="9"/>
      <c r="B284" s="9"/>
      <c r="C284" s="9"/>
      <c r="D284" s="27"/>
      <c r="E284" s="9"/>
      <c r="F284" s="9"/>
      <c r="G284" s="2"/>
      <c r="H284" s="9"/>
      <c r="I284" s="9"/>
    </row>
    <row r="285" spans="1:9" x14ac:dyDescent="0.3">
      <c r="A285" s="9"/>
      <c r="B285" s="9"/>
      <c r="C285" s="9"/>
      <c r="D285" s="27"/>
      <c r="E285" s="9"/>
      <c r="F285" s="9"/>
      <c r="G285" s="9"/>
      <c r="H285" s="9"/>
      <c r="I285" s="9"/>
    </row>
    <row r="286" spans="1:9" x14ac:dyDescent="0.3">
      <c r="A286" s="9"/>
      <c r="B286" s="9"/>
      <c r="C286" s="9"/>
      <c r="D286" s="27"/>
      <c r="E286" s="9"/>
      <c r="F286" s="9"/>
      <c r="G286" s="9"/>
      <c r="H286" s="9"/>
      <c r="I286" s="9"/>
    </row>
    <row r="287" spans="1:9" x14ac:dyDescent="0.3">
      <c r="A287" s="9"/>
      <c r="B287" s="9"/>
      <c r="C287" s="9"/>
      <c r="D287" s="27"/>
      <c r="E287" s="3"/>
      <c r="F287" s="21"/>
      <c r="G287" s="3"/>
      <c r="H287" s="3"/>
      <c r="I287" s="9"/>
    </row>
    <row r="288" spans="1:9" x14ac:dyDescent="0.3">
      <c r="A288" s="9"/>
      <c r="B288" s="9"/>
      <c r="C288" s="9"/>
      <c r="D288" s="27"/>
      <c r="E288" s="3"/>
      <c r="F288" s="21"/>
      <c r="G288" s="3"/>
      <c r="H288" s="3"/>
      <c r="I288" s="9"/>
    </row>
    <row r="289" spans="1:9" x14ac:dyDescent="0.3">
      <c r="A289" s="9"/>
      <c r="B289" s="9"/>
      <c r="C289" s="9"/>
      <c r="D289" s="27"/>
      <c r="E289" s="3"/>
      <c r="F289" s="21"/>
      <c r="G289" s="3"/>
      <c r="H289" s="3"/>
      <c r="I289" s="9"/>
    </row>
    <row r="290" spans="1:9" x14ac:dyDescent="0.3">
      <c r="A290" s="9"/>
      <c r="B290" s="9"/>
      <c r="C290" s="9"/>
      <c r="D290" s="27"/>
      <c r="E290" s="3"/>
      <c r="F290" s="21"/>
      <c r="G290" s="3"/>
      <c r="H290" s="3"/>
      <c r="I290" s="9"/>
    </row>
    <row r="291" spans="1:9" x14ac:dyDescent="0.3">
      <c r="A291" s="9"/>
      <c r="B291" s="9"/>
      <c r="C291" s="9"/>
      <c r="D291" s="27"/>
      <c r="E291" s="3"/>
      <c r="F291" s="3"/>
      <c r="G291" s="3"/>
      <c r="H291" s="3"/>
      <c r="I291" s="9"/>
    </row>
    <row r="292" spans="1:9" x14ac:dyDescent="0.3">
      <c r="A292" s="9"/>
      <c r="B292" s="9"/>
      <c r="C292" s="9"/>
      <c r="D292" s="27"/>
      <c r="E292" s="3"/>
      <c r="F292" s="21"/>
      <c r="G292" s="3"/>
      <c r="H292" s="9"/>
      <c r="I292" s="9"/>
    </row>
    <row r="293" spans="1:9" x14ac:dyDescent="0.3">
      <c r="A293" s="9"/>
      <c r="B293" s="9"/>
      <c r="C293" s="9"/>
      <c r="D293" s="27"/>
      <c r="E293" s="3"/>
      <c r="F293" s="21"/>
      <c r="G293" s="9"/>
      <c r="H293" s="9"/>
      <c r="I293" s="9"/>
    </row>
    <row r="294" spans="1:9" x14ac:dyDescent="0.3">
      <c r="A294" s="9"/>
      <c r="B294" s="9"/>
      <c r="C294" s="9"/>
      <c r="D294" s="27"/>
      <c r="E294" s="3"/>
      <c r="F294" s="82"/>
      <c r="G294" s="3"/>
      <c r="H294" s="3"/>
      <c r="I294" s="9"/>
    </row>
    <row r="295" spans="1:9" x14ac:dyDescent="0.3">
      <c r="A295" s="9"/>
      <c r="B295" s="9"/>
      <c r="C295" s="9"/>
      <c r="D295" s="27"/>
      <c r="E295" s="3"/>
      <c r="F295" s="3"/>
      <c r="G295" s="3"/>
      <c r="H295" s="9"/>
      <c r="I295" s="9"/>
    </row>
    <row r="296" spans="1:9" x14ac:dyDescent="0.3">
      <c r="A296" s="9"/>
      <c r="B296" s="9"/>
      <c r="C296" s="9"/>
      <c r="D296" s="27"/>
      <c r="E296" s="3"/>
      <c r="F296" s="50"/>
      <c r="G296" s="9"/>
      <c r="H296" s="9"/>
      <c r="I296" s="9"/>
    </row>
    <row r="297" spans="1:9" x14ac:dyDescent="0.3">
      <c r="A297" s="9"/>
      <c r="B297" s="9"/>
      <c r="C297" s="9"/>
      <c r="D297" s="27"/>
      <c r="E297" s="9"/>
      <c r="F297" s="9"/>
      <c r="G297" s="9"/>
      <c r="H297" s="9"/>
      <c r="I297" s="9"/>
    </row>
    <row r="298" spans="1:9" x14ac:dyDescent="0.3">
      <c r="A298" s="9"/>
      <c r="B298" s="9"/>
      <c r="C298" s="9"/>
      <c r="D298" s="27"/>
      <c r="E298" s="3"/>
      <c r="F298" s="17"/>
      <c r="G298" s="3"/>
      <c r="H298" s="3"/>
      <c r="I298" s="9"/>
    </row>
    <row r="299" spans="1:9" x14ac:dyDescent="0.3">
      <c r="A299" s="9"/>
      <c r="B299" s="9"/>
      <c r="C299" s="9"/>
      <c r="D299" s="27"/>
      <c r="E299" s="9"/>
      <c r="F299" s="17"/>
      <c r="G299" s="3"/>
      <c r="H299" s="3"/>
      <c r="I299" s="9"/>
    </row>
    <row r="300" spans="1:9" x14ac:dyDescent="0.3">
      <c r="A300" s="9"/>
      <c r="B300" s="9"/>
      <c r="C300" s="9"/>
      <c r="D300" s="27"/>
      <c r="E300" s="9"/>
      <c r="F300" s="3"/>
      <c r="G300" s="3"/>
      <c r="H300" s="3"/>
      <c r="I300" s="9"/>
    </row>
    <row r="301" spans="1:9" x14ac:dyDescent="0.3">
      <c r="A301" s="9"/>
      <c r="B301" s="9"/>
      <c r="C301" s="9"/>
      <c r="D301" s="3"/>
      <c r="E301" s="3"/>
      <c r="F301" s="3"/>
      <c r="G301" s="3"/>
      <c r="H301" s="9"/>
      <c r="I301" s="9"/>
    </row>
    <row r="302" spans="1:9" x14ac:dyDescent="0.3">
      <c r="A302" s="9"/>
      <c r="B302" s="9"/>
      <c r="C302" s="9"/>
      <c r="D302" s="3"/>
      <c r="E302" s="3"/>
      <c r="F302" s="17"/>
      <c r="G302" s="3"/>
      <c r="H302" s="9"/>
      <c r="I302" s="9"/>
    </row>
    <row r="303" spans="1:9" x14ac:dyDescent="0.3">
      <c r="A303" s="9"/>
      <c r="B303" s="9"/>
      <c r="C303" s="9"/>
      <c r="D303" s="3"/>
      <c r="E303" s="9"/>
      <c r="F303" s="3"/>
      <c r="G303" s="9"/>
      <c r="H303" s="9"/>
      <c r="I303" s="9"/>
    </row>
    <row r="304" spans="1:9" x14ac:dyDescent="0.3">
      <c r="A304" s="9"/>
      <c r="B304" s="9"/>
      <c r="C304" s="9"/>
      <c r="D304" s="3"/>
      <c r="E304" s="9"/>
      <c r="F304" s="3"/>
      <c r="G304" s="9"/>
      <c r="H304" s="9"/>
      <c r="I304" s="9"/>
    </row>
    <row r="305" spans="1:9" x14ac:dyDescent="0.3">
      <c r="A305" s="9"/>
      <c r="B305" s="9"/>
      <c r="C305" s="9"/>
      <c r="D305" s="9"/>
      <c r="E305" s="9"/>
      <c r="F305" s="9"/>
      <c r="G305" s="9"/>
      <c r="H305" s="3"/>
      <c r="I305" s="9"/>
    </row>
    <row r="306" spans="1:9" x14ac:dyDescent="0.3">
      <c r="A306" s="9"/>
      <c r="B306" s="9"/>
      <c r="C306" s="9"/>
      <c r="D306" s="9"/>
      <c r="E306" s="9"/>
      <c r="F306" s="9"/>
      <c r="G306" s="9"/>
      <c r="H306" s="9"/>
      <c r="I306" s="9"/>
    </row>
    <row r="307" spans="1:9" x14ac:dyDescent="0.3">
      <c r="A307" s="9"/>
      <c r="B307" s="9"/>
      <c r="C307" s="9"/>
      <c r="D307" s="9"/>
      <c r="E307" s="9"/>
      <c r="F307" s="9"/>
      <c r="G307" s="9"/>
      <c r="H307" s="9"/>
      <c r="I307" s="9"/>
    </row>
    <row r="308" spans="1:9" x14ac:dyDescent="0.3">
      <c r="A308" s="9"/>
      <c r="B308" s="9"/>
      <c r="C308" s="9"/>
      <c r="D308" s="9"/>
      <c r="E308" s="9"/>
      <c r="F308" s="9"/>
      <c r="G308" s="9"/>
      <c r="H308" s="9"/>
      <c r="I308" s="9"/>
    </row>
    <row r="309" spans="1:9" x14ac:dyDescent="0.3">
      <c r="A309" s="9"/>
      <c r="B309" s="9"/>
      <c r="C309" s="9"/>
      <c r="D309" s="9"/>
      <c r="E309" s="9"/>
      <c r="F309" s="9"/>
      <c r="G309" s="9"/>
      <c r="H309" s="9"/>
      <c r="I309" s="9"/>
    </row>
    <row r="310" spans="1:9" x14ac:dyDescent="0.3">
      <c r="A310" s="9"/>
      <c r="B310" s="9"/>
      <c r="C310" s="9"/>
      <c r="D310" s="9"/>
      <c r="E310" s="9"/>
      <c r="F310" s="9"/>
      <c r="G310" s="9"/>
      <c r="H310" s="9"/>
      <c r="I310" s="9"/>
    </row>
    <row r="311" spans="1:9" x14ac:dyDescent="0.3">
      <c r="A311" s="9"/>
      <c r="B311" s="9"/>
      <c r="C311" s="9"/>
      <c r="D311" s="9"/>
      <c r="E311" s="9"/>
      <c r="F311" s="9"/>
      <c r="G311" s="9"/>
      <c r="H311" s="9"/>
      <c r="I311" s="9"/>
    </row>
    <row r="312" spans="1:9" x14ac:dyDescent="0.3">
      <c r="A312" s="9"/>
      <c r="B312" s="9"/>
      <c r="C312" s="9"/>
      <c r="D312" s="9"/>
      <c r="E312" s="9"/>
      <c r="F312" s="9"/>
      <c r="G312" s="9"/>
      <c r="H312" s="9"/>
      <c r="I312" s="9"/>
    </row>
    <row r="313" spans="1:9" x14ac:dyDescent="0.3">
      <c r="A313" s="9"/>
      <c r="B313" s="9"/>
      <c r="C313" s="9"/>
      <c r="D313" s="9"/>
      <c r="E313" s="9"/>
      <c r="F313" s="9"/>
      <c r="G313" s="9"/>
      <c r="H313" s="9"/>
      <c r="I313" s="9"/>
    </row>
    <row r="314" spans="1:9" x14ac:dyDescent="0.3">
      <c r="A314" s="9"/>
      <c r="B314" s="9"/>
      <c r="C314" s="9"/>
      <c r="D314" s="9"/>
      <c r="E314" s="9"/>
      <c r="F314" s="9"/>
      <c r="G314" s="9"/>
      <c r="H314" s="9"/>
      <c r="I314" s="9"/>
    </row>
    <row r="315" spans="1:9" x14ac:dyDescent="0.3">
      <c r="A315" s="9"/>
      <c r="B315" s="9"/>
      <c r="C315" s="9"/>
      <c r="D315" s="9"/>
      <c r="E315" s="9"/>
      <c r="F315" s="9"/>
      <c r="G315" s="9"/>
      <c r="H315" s="9"/>
      <c r="I315" s="9"/>
    </row>
    <row r="316" spans="1:9" x14ac:dyDescent="0.3">
      <c r="A316" s="9"/>
      <c r="B316" s="9"/>
      <c r="C316" s="9"/>
      <c r="D316" s="9"/>
      <c r="E316" s="9"/>
      <c r="F316" s="9"/>
      <c r="G316" s="9"/>
      <c r="H316" s="9"/>
      <c r="I316" s="9"/>
    </row>
    <row r="317" spans="1:9" x14ac:dyDescent="0.3">
      <c r="A317" s="9"/>
      <c r="B317" s="9"/>
      <c r="C317" s="9"/>
      <c r="D317" s="9"/>
      <c r="E317" s="9"/>
      <c r="F317" s="9"/>
      <c r="G317" s="9"/>
      <c r="H317" s="9"/>
      <c r="I317" s="9"/>
    </row>
    <row r="318" spans="1:9" x14ac:dyDescent="0.3">
      <c r="A318" s="9"/>
      <c r="B318" s="9"/>
      <c r="C318" s="9"/>
      <c r="D318" s="9"/>
      <c r="E318" s="9"/>
      <c r="F318" s="9"/>
      <c r="G318" s="9"/>
      <c r="H318" s="9"/>
      <c r="I318" s="9"/>
    </row>
    <row r="319" spans="1:9" x14ac:dyDescent="0.3">
      <c r="A319" s="9"/>
      <c r="B319" s="9"/>
      <c r="C319" s="9"/>
      <c r="D319" s="9"/>
      <c r="E319" s="9"/>
      <c r="F319" s="9"/>
      <c r="G319" s="9"/>
      <c r="H319" s="9"/>
      <c r="I319" s="9"/>
    </row>
    <row r="320" spans="1:9" x14ac:dyDescent="0.3">
      <c r="A320" s="9"/>
      <c r="B320" s="9"/>
      <c r="C320" s="9"/>
      <c r="D320" s="9"/>
      <c r="E320" s="9"/>
      <c r="F320" s="9"/>
      <c r="G320" s="9"/>
      <c r="H320" s="9"/>
      <c r="I320" s="9"/>
    </row>
    <row r="321" spans="1:9" x14ac:dyDescent="0.3">
      <c r="A321" s="9"/>
      <c r="B321" s="9"/>
      <c r="C321" s="9"/>
      <c r="D321" s="9"/>
      <c r="E321" s="9"/>
      <c r="F321" s="9"/>
      <c r="G321" s="9"/>
      <c r="H321" s="9"/>
      <c r="I321" s="9"/>
    </row>
    <row r="322" spans="1:9" x14ac:dyDescent="0.3">
      <c r="A322" s="9"/>
      <c r="B322" s="9"/>
      <c r="C322" s="9"/>
      <c r="D322" s="9"/>
      <c r="E322" s="9"/>
      <c r="F322" s="9"/>
      <c r="G322" s="9"/>
      <c r="H322" s="9"/>
      <c r="I322" s="9"/>
    </row>
    <row r="323" spans="1:9" x14ac:dyDescent="0.3">
      <c r="A323" s="9"/>
      <c r="B323" s="9"/>
      <c r="C323" s="9"/>
      <c r="D323" s="9"/>
      <c r="E323" s="9"/>
      <c r="F323" s="9"/>
      <c r="G323" s="9"/>
      <c r="H323" s="9"/>
      <c r="I323" s="9"/>
    </row>
    <row r="324" spans="1:9" x14ac:dyDescent="0.3">
      <c r="A324" s="9"/>
      <c r="B324" s="9"/>
      <c r="C324" s="9"/>
      <c r="D324" s="9"/>
      <c r="E324" s="9"/>
      <c r="F324" s="9"/>
      <c r="G324" s="9"/>
      <c r="H324" s="9"/>
      <c r="I324" s="9"/>
    </row>
    <row r="325" spans="1:9" x14ac:dyDescent="0.3">
      <c r="A325" s="9"/>
      <c r="B325" s="9"/>
      <c r="C325" s="9"/>
      <c r="D325" s="9"/>
      <c r="E325" s="9"/>
      <c r="F325" s="9"/>
      <c r="G325" s="9"/>
      <c r="H325" s="9"/>
      <c r="I325" s="9"/>
    </row>
    <row r="326" spans="1:9" x14ac:dyDescent="0.3">
      <c r="A326" s="9"/>
      <c r="B326" s="9"/>
      <c r="C326" s="9"/>
      <c r="D326" s="9"/>
      <c r="E326" s="9"/>
      <c r="F326" s="9"/>
      <c r="G326" s="9"/>
      <c r="H326" s="9"/>
      <c r="I326" s="9"/>
    </row>
    <row r="327" spans="1:9" x14ac:dyDescent="0.3">
      <c r="A327" s="9"/>
      <c r="B327" s="9"/>
      <c r="C327" s="9"/>
      <c r="D327" s="9"/>
      <c r="E327" s="9"/>
      <c r="F327" s="9"/>
      <c r="G327" s="9"/>
      <c r="H327" s="9"/>
      <c r="I327" s="9"/>
    </row>
    <row r="328" spans="1:9" x14ac:dyDescent="0.3">
      <c r="A328" s="9"/>
      <c r="B328" s="9"/>
      <c r="C328" s="9"/>
      <c r="D328" s="9"/>
      <c r="E328" s="9"/>
      <c r="F328" s="9"/>
      <c r="G328" s="9"/>
      <c r="H328" s="9"/>
      <c r="I328" s="9"/>
    </row>
    <row r="329" spans="1:9" x14ac:dyDescent="0.3">
      <c r="A329" s="9"/>
      <c r="B329" s="9"/>
      <c r="C329" s="9"/>
      <c r="D329" s="9"/>
      <c r="E329" s="9"/>
      <c r="F329" s="9"/>
      <c r="G329" s="9"/>
      <c r="H329" s="9"/>
      <c r="I329" s="9"/>
    </row>
    <row r="330" spans="1:9" x14ac:dyDescent="0.3">
      <c r="A330" s="9"/>
      <c r="B330" s="9"/>
      <c r="C330" s="9"/>
      <c r="D330" s="9"/>
      <c r="E330" s="9"/>
      <c r="F330" s="9"/>
      <c r="G330" s="9"/>
      <c r="H330" s="9"/>
      <c r="I330" s="9"/>
    </row>
    <row r="331" spans="1:9" x14ac:dyDescent="0.3">
      <c r="A331" s="9"/>
      <c r="B331" s="9"/>
      <c r="C331" s="9"/>
      <c r="D331" s="9"/>
      <c r="E331" s="9"/>
      <c r="F331" s="9"/>
      <c r="G331" s="9"/>
      <c r="H331" s="9"/>
      <c r="I331" s="9"/>
    </row>
    <row r="332" spans="1:9" x14ac:dyDescent="0.3">
      <c r="A332" s="9"/>
      <c r="B332" s="9"/>
      <c r="C332" s="9"/>
      <c r="D332" s="9"/>
      <c r="E332" s="9"/>
      <c r="F332" s="9"/>
      <c r="G332" s="9"/>
      <c r="H332" s="9"/>
      <c r="I332" s="9"/>
    </row>
    <row r="333" spans="1:9" x14ac:dyDescent="0.3">
      <c r="A333" s="9"/>
      <c r="B333" s="9"/>
      <c r="C333" s="9"/>
      <c r="D333" s="9"/>
      <c r="E333" s="9"/>
      <c r="F333" s="9"/>
      <c r="G333" s="9"/>
      <c r="H333" s="9"/>
      <c r="I333" s="9"/>
    </row>
    <row r="334" spans="1:9" x14ac:dyDescent="0.3">
      <c r="A334" s="9"/>
      <c r="B334" s="9"/>
      <c r="C334" s="9"/>
      <c r="D334" s="9"/>
      <c r="E334" s="9"/>
      <c r="F334" s="9"/>
      <c r="G334" s="9"/>
      <c r="H334" s="9"/>
      <c r="I334" s="9"/>
    </row>
    <row r="335" spans="1:9" x14ac:dyDescent="0.3">
      <c r="A335" s="9"/>
      <c r="B335" s="9"/>
      <c r="C335" s="9"/>
      <c r="D335" s="9"/>
      <c r="E335" s="9"/>
      <c r="F335" s="9"/>
      <c r="G335" s="9"/>
      <c r="H335" s="9"/>
      <c r="I335" s="9"/>
    </row>
    <row r="336" spans="1:9" x14ac:dyDescent="0.3">
      <c r="A336" s="9"/>
      <c r="B336" s="9"/>
      <c r="C336" s="9"/>
      <c r="D336" s="9"/>
      <c r="E336" s="9"/>
      <c r="F336" s="9"/>
      <c r="G336" s="9"/>
      <c r="H336" s="9"/>
      <c r="I336" s="9"/>
    </row>
    <row r="337" spans="1:9" x14ac:dyDescent="0.3">
      <c r="A337" s="9"/>
      <c r="B337" s="9"/>
      <c r="C337" s="9"/>
      <c r="D337" s="9"/>
      <c r="E337" s="9"/>
      <c r="F337" s="9"/>
      <c r="G337" s="9"/>
      <c r="H337" s="9"/>
      <c r="I337" s="9"/>
    </row>
    <row r="338" spans="1:9" x14ac:dyDescent="0.3">
      <c r="A338" s="9"/>
      <c r="B338" s="9"/>
      <c r="C338" s="9"/>
      <c r="D338" s="9"/>
      <c r="E338" s="9"/>
      <c r="F338" s="9"/>
      <c r="G338" s="9"/>
      <c r="H338" s="9"/>
      <c r="I338" s="9"/>
    </row>
    <row r="339" spans="1:9" x14ac:dyDescent="0.3">
      <c r="A339" s="9"/>
      <c r="B339" s="9"/>
      <c r="C339" s="9"/>
      <c r="D339" s="9"/>
      <c r="E339" s="9"/>
      <c r="F339" s="9"/>
      <c r="G339" s="9"/>
      <c r="H339" s="9"/>
      <c r="I339" s="9"/>
    </row>
    <row r="340" spans="1:9" x14ac:dyDescent="0.3">
      <c r="A340" s="9"/>
      <c r="B340" s="9"/>
      <c r="C340" s="9"/>
      <c r="D340" s="9"/>
      <c r="E340" s="9"/>
      <c r="F340" s="9"/>
      <c r="G340" s="9"/>
      <c r="H340" s="9"/>
      <c r="I340" s="9"/>
    </row>
    <row r="341" spans="1:9" x14ac:dyDescent="0.3">
      <c r="A341" s="9"/>
      <c r="B341" s="9"/>
      <c r="C341" s="9"/>
      <c r="D341" s="9"/>
      <c r="E341" s="9"/>
      <c r="F341" s="9"/>
      <c r="G341" s="9"/>
      <c r="H341" s="9"/>
      <c r="I341" s="9"/>
    </row>
    <row r="342" spans="1:9" x14ac:dyDescent="0.3">
      <c r="A342" s="9"/>
      <c r="B342" s="9"/>
      <c r="C342" s="9"/>
      <c r="D342" s="9"/>
      <c r="E342" s="9"/>
      <c r="F342" s="9"/>
      <c r="G342" s="9"/>
      <c r="H342" s="9"/>
      <c r="I342" s="9"/>
    </row>
    <row r="343" spans="1:9" x14ac:dyDescent="0.3">
      <c r="A343" s="9"/>
      <c r="B343" s="9"/>
      <c r="C343" s="9"/>
      <c r="D343" s="9"/>
      <c r="E343" s="9"/>
      <c r="F343" s="9"/>
      <c r="G343" s="9"/>
      <c r="H343" s="9"/>
      <c r="I343" s="9"/>
    </row>
    <row r="344" spans="1:9" x14ac:dyDescent="0.3">
      <c r="A344" s="9"/>
      <c r="B344" s="9"/>
      <c r="C344" s="9"/>
      <c r="D344" s="9"/>
      <c r="E344" s="9"/>
      <c r="F344" s="9"/>
      <c r="G344" s="9"/>
      <c r="H344" s="9"/>
      <c r="I344" s="9"/>
    </row>
    <row r="345" spans="1:9" x14ac:dyDescent="0.3">
      <c r="A345" s="9"/>
      <c r="B345" s="9"/>
      <c r="C345" s="9"/>
      <c r="D345" s="9"/>
      <c r="E345" s="9"/>
      <c r="F345" s="9"/>
      <c r="G345" s="9"/>
      <c r="H345" s="9"/>
      <c r="I345" s="9"/>
    </row>
    <row r="346" spans="1:9" x14ac:dyDescent="0.3">
      <c r="A346" s="9"/>
      <c r="B346" s="9"/>
      <c r="C346" s="9"/>
      <c r="D346" s="9"/>
      <c r="E346" s="9"/>
      <c r="F346" s="9"/>
      <c r="G346" s="9"/>
      <c r="H346" s="9"/>
      <c r="I346" s="9"/>
    </row>
    <row r="347" spans="1:9" x14ac:dyDescent="0.3">
      <c r="A347" s="9"/>
      <c r="B347" s="9"/>
      <c r="C347" s="9"/>
      <c r="D347" s="9"/>
      <c r="E347" s="9"/>
      <c r="F347" s="9"/>
      <c r="G347" s="9"/>
      <c r="H347" s="9"/>
      <c r="I347" s="9"/>
    </row>
    <row r="348" spans="1:9" x14ac:dyDescent="0.3">
      <c r="A348" s="9"/>
      <c r="B348" s="9"/>
      <c r="C348" s="9"/>
      <c r="D348" s="9"/>
      <c r="E348" s="9"/>
      <c r="F348" s="9"/>
      <c r="G348" s="9"/>
      <c r="H348" s="9"/>
      <c r="I348" s="9"/>
    </row>
    <row r="349" spans="1:9" x14ac:dyDescent="0.3">
      <c r="A349" s="9"/>
      <c r="B349" s="9"/>
      <c r="C349" s="9"/>
      <c r="D349" s="9"/>
      <c r="E349" s="9"/>
      <c r="F349" s="9"/>
      <c r="G349" s="9"/>
      <c r="H349" s="9"/>
      <c r="I349" s="9"/>
    </row>
    <row r="350" spans="1:9" x14ac:dyDescent="0.3">
      <c r="A350" s="9"/>
      <c r="B350" s="9"/>
      <c r="C350" s="9"/>
      <c r="D350" s="9"/>
      <c r="E350" s="9"/>
      <c r="F350" s="9"/>
      <c r="G350" s="9"/>
      <c r="H350" s="9"/>
      <c r="I350" s="9"/>
    </row>
    <row r="351" spans="1:9" x14ac:dyDescent="0.3">
      <c r="A351" s="9"/>
      <c r="B351" s="9"/>
      <c r="C351" s="9"/>
      <c r="D351" s="9"/>
      <c r="E351" s="9"/>
      <c r="F351" s="9"/>
      <c r="G351" s="9"/>
      <c r="H351" s="9"/>
      <c r="I351" s="9"/>
    </row>
    <row r="352" spans="1:9" x14ac:dyDescent="0.3">
      <c r="A352" s="9"/>
      <c r="B352" s="9"/>
      <c r="C352" s="9"/>
      <c r="D352" s="9"/>
      <c r="E352" s="9"/>
      <c r="F352" s="9"/>
      <c r="G352" s="9"/>
      <c r="H352" s="9"/>
      <c r="I352" s="9"/>
    </row>
    <row r="353" spans="1:9" x14ac:dyDescent="0.3">
      <c r="A353" s="9"/>
      <c r="B353" s="9"/>
      <c r="C353" s="9"/>
      <c r="D353" s="9"/>
      <c r="E353" s="9"/>
      <c r="F353" s="9"/>
      <c r="G353" s="9"/>
      <c r="H353" s="9"/>
      <c r="I353" s="9"/>
    </row>
    <row r="354" spans="1:9" x14ac:dyDescent="0.3">
      <c r="A354" s="9"/>
      <c r="B354" s="9"/>
      <c r="C354" s="9"/>
      <c r="D354" s="9"/>
      <c r="E354" s="9"/>
      <c r="F354" s="9"/>
      <c r="G354" s="9"/>
      <c r="H354" s="9"/>
      <c r="I354" s="9"/>
    </row>
    <row r="355" spans="1:9" x14ac:dyDescent="0.3">
      <c r="A355" s="9"/>
      <c r="B355" s="9"/>
      <c r="C355" s="9"/>
      <c r="D355" s="9"/>
      <c r="E355" s="9"/>
      <c r="F355" s="9"/>
      <c r="G355" s="9"/>
      <c r="H355" s="9"/>
      <c r="I355" s="9"/>
    </row>
    <row r="356" spans="1:9" x14ac:dyDescent="0.3">
      <c r="A356" s="9"/>
      <c r="B356" s="9"/>
      <c r="C356" s="9"/>
      <c r="D356" s="9"/>
      <c r="E356" s="9"/>
      <c r="F356" s="9"/>
      <c r="G356" s="9"/>
      <c r="H356" s="9"/>
      <c r="I356" s="9"/>
    </row>
    <row r="357" spans="1:9" x14ac:dyDescent="0.3">
      <c r="A357" s="9"/>
      <c r="B357" s="9"/>
      <c r="C357" s="9"/>
      <c r="D357" s="9"/>
      <c r="E357" s="9"/>
      <c r="F357" s="9"/>
      <c r="G357" s="9"/>
      <c r="H357" s="9"/>
      <c r="I357" s="9"/>
    </row>
    <row r="358" spans="1:9" x14ac:dyDescent="0.3">
      <c r="A358" s="9"/>
      <c r="B358" s="9"/>
      <c r="C358" s="9"/>
      <c r="D358" s="9"/>
      <c r="E358" s="9"/>
      <c r="F358" s="9"/>
      <c r="G358" s="9"/>
      <c r="H358" s="9"/>
      <c r="I358" s="9"/>
    </row>
    <row r="359" spans="1:9" x14ac:dyDescent="0.3">
      <c r="A359" s="9"/>
      <c r="B359" s="9"/>
      <c r="C359" s="9"/>
      <c r="D359" s="9"/>
      <c r="E359" s="9"/>
      <c r="F359" s="9"/>
      <c r="G359" s="9"/>
      <c r="H359" s="9"/>
      <c r="I359" s="9"/>
    </row>
    <row r="360" spans="1:9" x14ac:dyDescent="0.3">
      <c r="A360" s="9"/>
      <c r="B360" s="9"/>
      <c r="C360" s="9"/>
      <c r="D360" s="9"/>
      <c r="E360" s="9"/>
      <c r="F360" s="9"/>
      <c r="G360" s="9"/>
      <c r="H360" s="9"/>
      <c r="I360" s="9"/>
    </row>
    <row r="361" spans="1:9" x14ac:dyDescent="0.3">
      <c r="A361" s="9"/>
      <c r="B361" s="9"/>
      <c r="C361" s="9"/>
      <c r="D361" s="9"/>
      <c r="E361" s="9"/>
      <c r="F361" s="9"/>
      <c r="G361" s="9"/>
      <c r="H361" s="9"/>
      <c r="I361" s="9"/>
    </row>
    <row r="362" spans="1:9" x14ac:dyDescent="0.3">
      <c r="A362" s="9"/>
      <c r="B362" s="9"/>
      <c r="C362" s="9"/>
      <c r="D362" s="9"/>
      <c r="E362" s="9"/>
      <c r="F362" s="9"/>
      <c r="G362" s="9"/>
      <c r="H362" s="9"/>
      <c r="I362" s="9"/>
    </row>
    <row r="363" spans="1:9" x14ac:dyDescent="0.3">
      <c r="A363" s="9"/>
      <c r="B363" s="9"/>
      <c r="C363" s="9"/>
      <c r="D363" s="9"/>
      <c r="E363" s="9"/>
      <c r="F363" s="9"/>
      <c r="G363" s="9"/>
      <c r="H363" s="9"/>
      <c r="I363" s="9"/>
    </row>
    <row r="364" spans="1:9" x14ac:dyDescent="0.3">
      <c r="A364" s="9"/>
      <c r="B364" s="9"/>
      <c r="C364" s="9"/>
      <c r="D364" s="9"/>
      <c r="E364" s="9"/>
      <c r="F364" s="9"/>
      <c r="G364" s="9"/>
      <c r="H364" s="9"/>
      <c r="I364" s="9"/>
    </row>
    <row r="365" spans="1:9" x14ac:dyDescent="0.3">
      <c r="A365" s="9"/>
      <c r="B365" s="9"/>
      <c r="C365" s="9"/>
      <c r="D365" s="9"/>
      <c r="E365" s="9"/>
      <c r="F365" s="9"/>
      <c r="G365" s="9"/>
      <c r="H365" s="9"/>
      <c r="I365" s="9"/>
    </row>
    <row r="366" spans="1:9" x14ac:dyDescent="0.3">
      <c r="A366" s="9"/>
      <c r="B366" s="9"/>
      <c r="C366" s="9"/>
      <c r="D366" s="9"/>
      <c r="E366" s="9"/>
      <c r="F366" s="9"/>
      <c r="G366" s="9"/>
      <c r="H366" s="9"/>
      <c r="I366" s="9"/>
    </row>
    <row r="367" spans="1:9" x14ac:dyDescent="0.3">
      <c r="A367" s="9"/>
      <c r="B367" s="9"/>
      <c r="C367" s="9"/>
      <c r="D367" s="9"/>
      <c r="E367" s="9"/>
      <c r="F367" s="9"/>
      <c r="G367" s="9"/>
      <c r="H367" s="9"/>
      <c r="I367" s="9"/>
    </row>
    <row r="368" spans="1:9" x14ac:dyDescent="0.3">
      <c r="A368" s="9"/>
      <c r="B368" s="9"/>
      <c r="C368" s="9"/>
      <c r="D368" s="9"/>
      <c r="E368" s="9"/>
      <c r="F368" s="9"/>
      <c r="G368" s="9"/>
      <c r="H368" s="9"/>
      <c r="I368" s="9"/>
    </row>
    <row r="369" spans="1:9" x14ac:dyDescent="0.3">
      <c r="A369" s="9"/>
      <c r="B369" s="9"/>
      <c r="C369" s="9"/>
      <c r="D369" s="9"/>
      <c r="E369" s="9"/>
      <c r="F369" s="9"/>
      <c r="G369" s="9"/>
      <c r="H369" s="9"/>
      <c r="I369" s="9"/>
    </row>
    <row r="370" spans="1:9" x14ac:dyDescent="0.3">
      <c r="A370" s="9"/>
      <c r="B370" s="9"/>
      <c r="C370" s="9"/>
      <c r="D370" s="9"/>
      <c r="E370" s="9"/>
      <c r="F370" s="9"/>
      <c r="G370" s="9"/>
      <c r="H370" s="9"/>
      <c r="I370" s="9"/>
    </row>
    <row r="371" spans="1:9" x14ac:dyDescent="0.3">
      <c r="A371" s="9"/>
      <c r="B371" s="9"/>
      <c r="C371" s="9"/>
      <c r="D371" s="9"/>
      <c r="E371" s="9"/>
      <c r="F371" s="9"/>
      <c r="G371" s="9"/>
      <c r="H371" s="9"/>
      <c r="I371" s="9"/>
    </row>
    <row r="372" spans="1:9" x14ac:dyDescent="0.3">
      <c r="A372" s="9"/>
      <c r="B372" s="9"/>
      <c r="C372" s="9"/>
      <c r="D372" s="9"/>
      <c r="E372" s="9"/>
      <c r="F372" s="9"/>
      <c r="G372" s="9"/>
      <c r="H372" s="9"/>
      <c r="I372" s="9"/>
    </row>
    <row r="373" spans="1:9" x14ac:dyDescent="0.3">
      <c r="A373" s="9"/>
      <c r="B373" s="9"/>
      <c r="C373" s="9"/>
      <c r="D373" s="9"/>
      <c r="E373" s="9"/>
      <c r="F373" s="9"/>
      <c r="G373" s="9"/>
      <c r="H373" s="9"/>
      <c r="I373" s="9"/>
    </row>
    <row r="374" spans="1:9" x14ac:dyDescent="0.3">
      <c r="A374" s="9"/>
      <c r="B374" s="9"/>
      <c r="C374" s="9"/>
      <c r="D374" s="9"/>
      <c r="E374" s="9"/>
      <c r="F374" s="9"/>
      <c r="G374" s="9"/>
      <c r="H374" s="9"/>
      <c r="I374" s="9"/>
    </row>
    <row r="375" spans="1:9" x14ac:dyDescent="0.3">
      <c r="A375" s="9"/>
      <c r="B375" s="9"/>
      <c r="C375" s="9"/>
      <c r="D375" s="9"/>
      <c r="E375" s="9"/>
      <c r="F375" s="9"/>
      <c r="G375" s="9"/>
      <c r="H375" s="9"/>
      <c r="I375" s="9"/>
    </row>
    <row r="376" spans="1:9" x14ac:dyDescent="0.3">
      <c r="A376" s="9"/>
      <c r="B376" s="9"/>
      <c r="C376" s="9"/>
      <c r="D376" s="9"/>
      <c r="E376" s="9"/>
      <c r="F376" s="9"/>
      <c r="G376" s="9"/>
      <c r="H376" s="9"/>
      <c r="I376" s="9"/>
    </row>
    <row r="377" spans="1:9" x14ac:dyDescent="0.3">
      <c r="A377" s="9"/>
      <c r="B377" s="9"/>
      <c r="C377" s="9"/>
      <c r="D377" s="9"/>
      <c r="E377" s="9"/>
      <c r="F377" s="9"/>
      <c r="G377" s="9"/>
      <c r="H377" s="9"/>
      <c r="I377" s="9"/>
    </row>
    <row r="378" spans="1:9" x14ac:dyDescent="0.3">
      <c r="A378" s="9"/>
      <c r="B378" s="9"/>
      <c r="C378" s="9"/>
      <c r="D378" s="9"/>
      <c r="E378" s="9"/>
      <c r="F378" s="9"/>
      <c r="G378" s="9"/>
      <c r="H378" s="9"/>
      <c r="I378" s="9"/>
    </row>
    <row r="379" spans="1:9" x14ac:dyDescent="0.3">
      <c r="A379" s="9"/>
      <c r="B379" s="9"/>
      <c r="C379" s="9"/>
      <c r="D379" s="9"/>
      <c r="E379" s="9"/>
      <c r="F379" s="9"/>
      <c r="G379" s="9"/>
      <c r="H379" s="9"/>
      <c r="I379" s="9"/>
    </row>
    <row r="380" spans="1:9" x14ac:dyDescent="0.3">
      <c r="A380" s="9"/>
      <c r="B380" s="9"/>
      <c r="C380" s="9"/>
      <c r="D380" s="9"/>
      <c r="E380" s="9"/>
      <c r="F380" s="9"/>
      <c r="G380" s="9"/>
      <c r="H380" s="9"/>
      <c r="I380" s="9"/>
    </row>
    <row r="381" spans="1:9" x14ac:dyDescent="0.3">
      <c r="A381" s="9"/>
      <c r="B381" s="9"/>
      <c r="C381" s="9"/>
      <c r="D381" s="9"/>
      <c r="E381" s="9"/>
      <c r="F381" s="9"/>
      <c r="G381" s="9"/>
      <c r="H381" s="9"/>
      <c r="I381" s="9"/>
    </row>
    <row r="382" spans="1:9" x14ac:dyDescent="0.3">
      <c r="A382" s="9"/>
      <c r="B382" s="9"/>
      <c r="C382" s="9"/>
      <c r="D382" s="9"/>
      <c r="E382" s="9"/>
      <c r="F382" s="9"/>
      <c r="G382" s="9"/>
      <c r="H382" s="9"/>
      <c r="I382" s="9"/>
    </row>
    <row r="383" spans="1:9" x14ac:dyDescent="0.3">
      <c r="A383" s="9"/>
      <c r="B383" s="9"/>
      <c r="C383" s="9"/>
      <c r="D383" s="9"/>
      <c r="E383" s="9"/>
      <c r="F383" s="9"/>
      <c r="G383" s="9"/>
      <c r="H383" s="9"/>
      <c r="I383" s="9"/>
    </row>
    <row r="384" spans="1:9" x14ac:dyDescent="0.3">
      <c r="A384" s="9"/>
      <c r="B384" s="9"/>
      <c r="C384" s="9"/>
      <c r="D384" s="9"/>
      <c r="E384" s="9"/>
      <c r="F384" s="9"/>
      <c r="G384" s="9"/>
      <c r="H384" s="9"/>
      <c r="I384" s="9"/>
    </row>
    <row r="385" spans="1:9" x14ac:dyDescent="0.3">
      <c r="A385" s="9"/>
      <c r="B385" s="9"/>
      <c r="C385" s="9"/>
      <c r="D385" s="9"/>
      <c r="E385" s="9"/>
      <c r="F385" s="9"/>
      <c r="G385" s="9"/>
      <c r="H385" s="9"/>
      <c r="I385" s="9"/>
    </row>
    <row r="386" spans="1:9" x14ac:dyDescent="0.3">
      <c r="A386" s="9"/>
      <c r="B386" s="9"/>
      <c r="C386" s="9"/>
      <c r="D386" s="9"/>
      <c r="E386" s="9"/>
      <c r="F386" s="9"/>
      <c r="G386" s="9"/>
      <c r="H386" s="9"/>
      <c r="I386" s="9"/>
    </row>
    <row r="387" spans="1:9" x14ac:dyDescent="0.3">
      <c r="A387" s="9"/>
      <c r="B387" s="9"/>
      <c r="C387" s="9"/>
      <c r="D387" s="9"/>
      <c r="E387" s="9"/>
      <c r="F387" s="9"/>
      <c r="G387" s="9"/>
      <c r="H387" s="9"/>
      <c r="I387" s="9"/>
    </row>
    <row r="388" spans="1:9" x14ac:dyDescent="0.3">
      <c r="A388" s="9"/>
      <c r="B388" s="9"/>
      <c r="C388" s="9"/>
      <c r="D388" s="9"/>
      <c r="E388" s="9"/>
      <c r="F388" s="9"/>
      <c r="G388" s="9"/>
      <c r="H388" s="9"/>
      <c r="I388" s="9"/>
    </row>
    <row r="389" spans="1:9" x14ac:dyDescent="0.3">
      <c r="A389" s="9"/>
      <c r="B389" s="9"/>
      <c r="C389" s="9"/>
      <c r="D389" s="9"/>
      <c r="E389" s="9"/>
      <c r="F389" s="9"/>
      <c r="G389" s="9"/>
      <c r="H389" s="9"/>
      <c r="I389" s="9"/>
    </row>
    <row r="390" spans="1:9" x14ac:dyDescent="0.3">
      <c r="A390" s="9"/>
      <c r="B390" s="9"/>
      <c r="C390" s="9"/>
      <c r="D390" s="9"/>
      <c r="E390" s="9"/>
      <c r="F390" s="9"/>
      <c r="G390" s="9"/>
      <c r="H390" s="9"/>
      <c r="I390" s="9"/>
    </row>
    <row r="391" spans="1:9" x14ac:dyDescent="0.3">
      <c r="A391" s="9"/>
      <c r="B391" s="9"/>
      <c r="C391" s="9"/>
      <c r="D391" s="9"/>
      <c r="E391" s="9"/>
      <c r="F391" s="9"/>
      <c r="G391" s="9"/>
      <c r="H391" s="9"/>
      <c r="I391" s="9"/>
    </row>
    <row r="392" spans="1:9" x14ac:dyDescent="0.3">
      <c r="A392" s="9"/>
      <c r="B392" s="9"/>
      <c r="C392" s="9"/>
      <c r="D392" s="9"/>
      <c r="E392" s="9"/>
      <c r="F392" s="9"/>
      <c r="G392" s="9"/>
      <c r="H392" s="9"/>
      <c r="I392" s="9"/>
    </row>
    <row r="393" spans="1:9" x14ac:dyDescent="0.3">
      <c r="A393" s="9"/>
      <c r="B393" s="9"/>
      <c r="C393" s="9"/>
      <c r="D393" s="9"/>
      <c r="E393" s="9"/>
      <c r="F393" s="9"/>
      <c r="G393" s="9"/>
      <c r="H393" s="9"/>
      <c r="I393" s="9"/>
    </row>
    <row r="394" spans="1:9" x14ac:dyDescent="0.3">
      <c r="A394" s="9"/>
      <c r="B394" s="9"/>
      <c r="C394" s="9"/>
      <c r="D394" s="9"/>
      <c r="E394" s="9"/>
      <c r="F394" s="9"/>
      <c r="G394" s="9"/>
      <c r="H394" s="9"/>
      <c r="I394" s="9"/>
    </row>
    <row r="395" spans="1:9" x14ac:dyDescent="0.3">
      <c r="A395" s="9"/>
      <c r="B395" s="9"/>
      <c r="C395" s="9"/>
      <c r="D395" s="9"/>
      <c r="E395" s="9"/>
      <c r="F395" s="9"/>
      <c r="G395" s="9"/>
      <c r="H395" s="9"/>
      <c r="I395" s="9"/>
    </row>
    <row r="396" spans="1:9" x14ac:dyDescent="0.3">
      <c r="A396" s="9"/>
      <c r="B396" s="9"/>
      <c r="C396" s="9"/>
      <c r="D396" s="9"/>
      <c r="E396" s="9"/>
      <c r="F396" s="9"/>
      <c r="G396" s="9"/>
      <c r="H396" s="9"/>
      <c r="I396" s="9"/>
    </row>
    <row r="397" spans="1:9" x14ac:dyDescent="0.3">
      <c r="A397" s="9"/>
      <c r="B397" s="9"/>
      <c r="C397" s="9"/>
      <c r="D397" s="9"/>
      <c r="E397" s="9"/>
      <c r="F397" s="9"/>
      <c r="G397" s="9"/>
      <c r="H397" s="9"/>
      <c r="I397" s="9"/>
    </row>
    <row r="398" spans="1:9" x14ac:dyDescent="0.3">
      <c r="A398" s="9"/>
      <c r="B398" s="9"/>
      <c r="C398" s="9"/>
      <c r="D398" s="9"/>
      <c r="E398" s="9"/>
      <c r="F398" s="9"/>
      <c r="G398" s="9"/>
      <c r="H398" s="9"/>
      <c r="I398" s="9"/>
    </row>
    <row r="399" spans="1:9" x14ac:dyDescent="0.3">
      <c r="A399" s="9"/>
      <c r="B399" s="9"/>
      <c r="C399" s="9"/>
      <c r="D399" s="9"/>
      <c r="E399" s="9"/>
      <c r="F399" s="9"/>
      <c r="G399" s="9"/>
      <c r="H399" s="9"/>
      <c r="I399" s="9"/>
    </row>
    <row r="400" spans="1:9" x14ac:dyDescent="0.3">
      <c r="A400" s="9"/>
      <c r="B400" s="9"/>
      <c r="C400" s="9"/>
      <c r="D400" s="9"/>
      <c r="E400" s="9"/>
      <c r="F400" s="9"/>
      <c r="G400" s="9"/>
      <c r="H400" s="9"/>
      <c r="I400" s="9"/>
    </row>
    <row r="401" spans="1:9" x14ac:dyDescent="0.3">
      <c r="A401" s="9"/>
      <c r="B401" s="9"/>
      <c r="C401" s="9"/>
      <c r="D401" s="9"/>
      <c r="E401" s="9"/>
      <c r="F401" s="9"/>
      <c r="G401" s="9"/>
      <c r="H401" s="9"/>
      <c r="I401" s="9"/>
    </row>
    <row r="402" spans="1:9" x14ac:dyDescent="0.3">
      <c r="A402" s="9"/>
      <c r="B402" s="9"/>
      <c r="C402" s="9"/>
      <c r="D402" s="9"/>
      <c r="E402" s="9"/>
      <c r="F402" s="9"/>
      <c r="G402" s="9"/>
      <c r="H402" s="9"/>
      <c r="I402" s="9"/>
    </row>
    <row r="403" spans="1:9" x14ac:dyDescent="0.3">
      <c r="A403" s="9"/>
      <c r="B403" s="9"/>
      <c r="C403" s="9"/>
      <c r="D403" s="9"/>
      <c r="E403" s="9"/>
      <c r="F403" s="9"/>
      <c r="G403" s="9"/>
      <c r="H403" s="9"/>
      <c r="I403" s="9"/>
    </row>
    <row r="404" spans="1:9" x14ac:dyDescent="0.3">
      <c r="A404" s="9"/>
      <c r="B404" s="9"/>
      <c r="C404" s="9"/>
      <c r="D404" s="9"/>
      <c r="E404" s="9"/>
      <c r="F404" s="9"/>
      <c r="G404" s="9"/>
      <c r="H404" s="9"/>
      <c r="I404" s="9"/>
    </row>
    <row r="405" spans="1:9" x14ac:dyDescent="0.3">
      <c r="A405" s="9"/>
      <c r="B405" s="9"/>
      <c r="C405" s="9"/>
      <c r="D405" s="9"/>
      <c r="E405" s="9"/>
      <c r="F405" s="9"/>
      <c r="G405" s="9"/>
      <c r="H405" s="9"/>
      <c r="I405" s="9"/>
    </row>
    <row r="406" spans="1:9" x14ac:dyDescent="0.3">
      <c r="A406" s="9"/>
      <c r="B406" s="9"/>
      <c r="C406" s="9"/>
      <c r="D406" s="9"/>
      <c r="E406" s="9"/>
      <c r="F406" s="9"/>
      <c r="G406" s="9"/>
      <c r="H406" s="9"/>
      <c r="I406" s="9"/>
    </row>
    <row r="407" spans="1:9" x14ac:dyDescent="0.3">
      <c r="A407" s="9"/>
      <c r="B407" s="9"/>
      <c r="C407" s="9"/>
      <c r="D407" s="9"/>
      <c r="E407" s="9"/>
      <c r="F407" s="9"/>
      <c r="G407" s="9"/>
      <c r="H407" s="9"/>
      <c r="I407" s="9"/>
    </row>
    <row r="408" spans="1:9" x14ac:dyDescent="0.3">
      <c r="A408" s="9"/>
      <c r="B408" s="9"/>
      <c r="C408" s="9"/>
      <c r="D408" s="9"/>
      <c r="E408" s="9"/>
      <c r="F408" s="9"/>
      <c r="G408" s="9"/>
      <c r="H408" s="9"/>
      <c r="I408" s="9"/>
    </row>
    <row r="409" spans="1:9" x14ac:dyDescent="0.3">
      <c r="A409" s="9"/>
      <c r="B409" s="9"/>
      <c r="C409" s="9"/>
      <c r="D409" s="9"/>
      <c r="E409" s="9"/>
      <c r="F409" s="9"/>
      <c r="G409" s="9"/>
      <c r="H409" s="9"/>
      <c r="I409" s="9"/>
    </row>
    <row r="410" spans="1:9" x14ac:dyDescent="0.3">
      <c r="A410" s="9"/>
      <c r="B410" s="9"/>
      <c r="C410" s="9"/>
      <c r="D410" s="9"/>
      <c r="E410" s="9"/>
      <c r="F410" s="9"/>
      <c r="G410" s="9"/>
      <c r="H410" s="9"/>
      <c r="I410" s="9"/>
    </row>
    <row r="411" spans="1:9" x14ac:dyDescent="0.3">
      <c r="A411" s="9"/>
      <c r="B411" s="9"/>
      <c r="C411" s="9"/>
      <c r="D411" s="9"/>
      <c r="E411" s="9"/>
      <c r="F411" s="9"/>
      <c r="G411" s="9"/>
      <c r="H411" s="9"/>
      <c r="I411" s="9"/>
    </row>
    <row r="412" spans="1:9" x14ac:dyDescent="0.3">
      <c r="A412" s="9"/>
      <c r="B412" s="9"/>
      <c r="C412" s="9"/>
      <c r="D412" s="9"/>
      <c r="E412" s="9"/>
      <c r="F412" s="9"/>
      <c r="G412" s="9"/>
      <c r="H412" s="9"/>
      <c r="I412" s="9"/>
    </row>
    <row r="413" spans="1:9" x14ac:dyDescent="0.3">
      <c r="G413" s="9"/>
    </row>
    <row r="414" spans="1:9" x14ac:dyDescent="0.3">
      <c r="G414" s="9"/>
    </row>
  </sheetData>
  <mergeCells count="10">
    <mergeCell ref="J3:J4"/>
    <mergeCell ref="A1:I1"/>
    <mergeCell ref="A3:B3"/>
    <mergeCell ref="C3:C4"/>
    <mergeCell ref="D3:D4"/>
    <mergeCell ref="E3:E4"/>
    <mergeCell ref="F3:F4"/>
    <mergeCell ref="G3:G4"/>
    <mergeCell ref="H3:H4"/>
    <mergeCell ref="I3:I4"/>
  </mergeCells>
  <pageMargins left="0.7" right="0.7" top="0.75" bottom="0.75" header="0.3" footer="0.3"/>
  <pageSetup orientation="portrait" horizontalDpi="360" verticalDpi="36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644D-8C70-45FE-9C24-B02475C4CD18}">
  <dimension ref="A1"/>
  <sheetViews>
    <sheetView workbookViewId="0">
      <selection activeCell="C34" sqref="C34"/>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OB SLIP 2026</vt:lpstr>
      <vt:lpstr>LEAVE 2026</vt:lpstr>
      <vt:lpstr>POST TRAVEL REPORT 2026</vt:lpstr>
      <vt:lpstr>TRAVEL ORDER 2026</vt:lpstr>
      <vt:lpstr>FUEL CHARGE-DRIVERS TRIP 2026</vt:lpstr>
      <vt:lpstr>PURCHASE REQUEST 2026</vt:lpstr>
      <vt:lpstr>OTHER DOCUMENTS 2026</vt:lpstr>
      <vt:lpstr>COMMUNICATION 2026</vt:lpstr>
      <vt:lpstr>REQUEST VEHICLE CAPITOL 2026</vt:lpstr>
      <vt:lpstr>OUTGOING</vt:lpstr>
      <vt:lpstr>TRANSMITTAL 2026</vt:lpstr>
      <vt:lpstr>ENDORSEMENT 2026</vt:lpstr>
      <vt:lpstr>Sheet2</vt:lpstr>
      <vt:lpstr>APADTC RESERVATION 2026</vt:lpstr>
      <vt:lpstr>APADTC RIS-PAR 2026</vt:lpstr>
      <vt:lpstr>PR(OBLIGATION REQUEST) 2026</vt:lpstr>
      <vt:lpstr>PROJECT PROPOSAL 2026</vt:lpstr>
      <vt:lpstr>INCOMING LETTER 2026</vt:lpstr>
      <vt:lpstr>OFFICE ORDER</vt:lpstr>
      <vt:lpstr>ISSUANCE SLIP</vt:lpstr>
      <vt:lpstr>ACCEPTANCE AND INSPECTION REPOR</vt:lpstr>
      <vt:lpstr>CANCELLED OBR</vt:lpstr>
      <vt:lpstr>OBR</vt:lpstr>
      <vt:lpstr>FUEL CONSUMPTION REPORT</vt:lpstr>
      <vt:lpstr>OUTGOING 2026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Planning</dc:creator>
  <cp:lastModifiedBy>Planning</cp:lastModifiedBy>
  <cp:lastPrinted>2026-03-23T19:33:32Z</cp:lastPrinted>
  <dcterms:created xsi:type="dcterms:W3CDTF">2026-01-13T20:31:10Z</dcterms:created>
  <dcterms:modified xsi:type="dcterms:W3CDTF">2026-08-25T05:37:16Z</dcterms:modified>
</cp:coreProperties>
</file>